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0720" windowHeight="17700"/>
  </bookViews>
  <sheets>
    <sheet sheetId="1" name="AYLIK" state="visible" r:id="rId4"/>
    <sheet sheetId="2" name="KAPAK" state="visible" r:id="rId5"/>
  </sheets>
  <definedNames>
    <definedName name="_xlnm._FilterDatabase">AYLIK!$A$7:$AL$8</definedName>
    <definedName name="_xlnm.Print_Area" localSheetId="0">'AYLIK'!$A1:$AL8</definedName>
    <definedName name="_xlnm.Print_Titles" localSheetId="0">'AYLIK'!$1:$8</definedName>
  </definedNames>
  <calcPr calcId="171027"/>
</workbook>
</file>

<file path=xl/sharedStrings.xml><?xml version="1.0" encoding="utf-8"?>
<sst xmlns="http://schemas.openxmlformats.org/spreadsheetml/2006/main" count="4931" uniqueCount="406">
  <si>
    <t>Aylık Puantaj Çizelgesi</t>
  </si>
  <si>
    <t>Doküman No: FR/HR/009</t>
  </si>
  <si>
    <t xml:space="preserve">Aylık Puantaj Çizelgesi </t>
  </si>
  <si>
    <t xml:space="preserve"> </t>
  </si>
  <si>
    <t>BÖLÜM ADI: KAT HİZMETLERİ</t>
  </si>
  <si>
    <t>PUANTAJ AYI/YILI: AĞUSTOS 2026</t>
  </si>
  <si>
    <t>SIRA NO</t>
  </si>
  <si>
    <t xml:space="preserve">Sicil No            </t>
  </si>
  <si>
    <t xml:space="preserve">Adı - Soyadı              </t>
  </si>
  <si>
    <t>Çalışma</t>
  </si>
  <si>
    <t>GÜNLER</t>
  </si>
  <si>
    <t xml:space="preserve">Fazla Mesai Saati Toplamı </t>
  </si>
  <si>
    <t>Toplam Gün</t>
  </si>
  <si>
    <t>Personel İmza</t>
  </si>
  <si>
    <t>Normal</t>
  </si>
  <si>
    <t>Hafta Tatili</t>
  </si>
  <si>
    <t>resmi Tatil</t>
  </si>
  <si>
    <t>Resmi Tatil Çalışması</t>
  </si>
  <si>
    <t>Çalışılan Hafta Tatili</t>
  </si>
  <si>
    <t>Ücretli İzin</t>
  </si>
  <si>
    <t>Yıllık İzin</t>
  </si>
  <si>
    <t>Raporlu</t>
  </si>
  <si>
    <t>Ücretsiz İzin</t>
  </si>
  <si>
    <t>Ücretsiz  Raporlu</t>
  </si>
  <si>
    <t>Devamsızlık</t>
  </si>
  <si>
    <t>Toplam</t>
  </si>
  <si>
    <t>485315</t>
  </si>
  <si>
    <t>Alev Yüksel</t>
  </si>
  <si>
    <t>N.M</t>
  </si>
  <si>
    <t>A</t>
  </si>
  <si>
    <t>O</t>
  </si>
  <si>
    <t>ÇRT</t>
  </si>
  <si>
    <t>F.M</t>
  </si>
  <si>
    <t>487893</t>
  </si>
  <si>
    <t>Arda Yasak</t>
  </si>
  <si>
    <t>Ü</t>
  </si>
  <si>
    <t>C</t>
  </si>
  <si>
    <t>486634</t>
  </si>
  <si>
    <t>Arif Ceyhan</t>
  </si>
  <si>
    <t>0001241</t>
  </si>
  <si>
    <t>Arife Güzel</t>
  </si>
  <si>
    <t>F</t>
  </si>
  <si>
    <t>484705</t>
  </si>
  <si>
    <t>Aygül Uysal</t>
  </si>
  <si>
    <t>ÇHT</t>
  </si>
  <si>
    <t>484891</t>
  </si>
  <si>
    <t>Ayşe Aydın</t>
  </si>
  <si>
    <t>R.</t>
  </si>
  <si>
    <t>484746</t>
  </si>
  <si>
    <t>Ayşe Çalık</t>
  </si>
  <si>
    <t>B</t>
  </si>
  <si>
    <t>487287</t>
  </si>
  <si>
    <t>Ayşe Karahan</t>
  </si>
  <si>
    <t>DV</t>
  </si>
  <si>
    <t>482604</t>
  </si>
  <si>
    <t>Ayşe Orhan</t>
  </si>
  <si>
    <t>485278</t>
  </si>
  <si>
    <t>Ayşe Sarak</t>
  </si>
  <si>
    <t>0001633</t>
  </si>
  <si>
    <t>Ayşegül Bayraktar</t>
  </si>
  <si>
    <t>487948</t>
  </si>
  <si>
    <t>Ayşegül Gök</t>
  </si>
  <si>
    <t>486289</t>
  </si>
  <si>
    <t>Aytekin Uryan</t>
  </si>
  <si>
    <t>485326</t>
  </si>
  <si>
    <t>Ayten Özkaya</t>
  </si>
  <si>
    <t>487358</t>
  </si>
  <si>
    <t>Barış Yılmazkara</t>
  </si>
  <si>
    <t>Ö</t>
  </si>
  <si>
    <t>487308</t>
  </si>
  <si>
    <t>Begzod Jurakulov</t>
  </si>
  <si>
    <t>486460</t>
  </si>
  <si>
    <t>Bektımur Rozmetov</t>
  </si>
  <si>
    <t>487286</t>
  </si>
  <si>
    <t>Bülent Dursun</t>
  </si>
  <si>
    <t>486632</t>
  </si>
  <si>
    <t>Çağlar Özcan</t>
  </si>
  <si>
    <t>0001826</t>
  </si>
  <si>
    <t>Cevriye Sarıoğlu</t>
  </si>
  <si>
    <t>R</t>
  </si>
  <si>
    <t>487955</t>
  </si>
  <si>
    <t>Cihangir Vural</t>
  </si>
  <si>
    <t>487863</t>
  </si>
  <si>
    <t>Çilem Özbek</t>
  </si>
  <si>
    <t>485963</t>
  </si>
  <si>
    <t>Dilek Demir</t>
  </si>
  <si>
    <t>485972</t>
  </si>
  <si>
    <t>Dilek Şimşek</t>
  </si>
  <si>
    <t>487310</t>
  </si>
  <si>
    <t>Dılmurodjon Azızov</t>
  </si>
  <si>
    <t>487816</t>
  </si>
  <si>
    <t>Dıyar Hayrullayev</t>
  </si>
  <si>
    <t>0001243</t>
  </si>
  <si>
    <t>Dudu Bozoğlu</t>
  </si>
  <si>
    <t>485197</t>
  </si>
  <si>
    <t>Dürdane Açıkgöz</t>
  </si>
  <si>
    <t>486076</t>
  </si>
  <si>
    <t>Durdu Yitim</t>
  </si>
  <si>
    <t>484800</t>
  </si>
  <si>
    <t>Durkadın Varol</t>
  </si>
  <si>
    <t>487796</t>
  </si>
  <si>
    <t>Elem Günal</t>
  </si>
  <si>
    <t>486467</t>
  </si>
  <si>
    <t>Elif Acar</t>
  </si>
  <si>
    <t>488025</t>
  </si>
  <si>
    <t>Elif Kırbaş</t>
  </si>
  <si>
    <t>0001040</t>
  </si>
  <si>
    <t>Elif Olgun</t>
  </si>
  <si>
    <t>487662</t>
  </si>
  <si>
    <t>Emir Ayşe Tutal</t>
  </si>
  <si>
    <t>487858</t>
  </si>
  <si>
    <t>Emir Denizkaya</t>
  </si>
  <si>
    <t>487953</t>
  </si>
  <si>
    <t>Enver Bağatır</t>
  </si>
  <si>
    <t>D</t>
  </si>
  <si>
    <t>486777</t>
  </si>
  <si>
    <t>Esengül Yüksek</t>
  </si>
  <si>
    <t>RT</t>
  </si>
  <si>
    <t>487795</t>
  </si>
  <si>
    <t>Esra Unutmaz</t>
  </si>
  <si>
    <t>486776</t>
  </si>
  <si>
    <t>Fadıl Benk</t>
  </si>
  <si>
    <t>487215</t>
  </si>
  <si>
    <t>Fatih Şahin</t>
  </si>
  <si>
    <t>487677</t>
  </si>
  <si>
    <t>Fatma Boru</t>
  </si>
  <si>
    <t>485805</t>
  </si>
  <si>
    <t>Fatma Irkara</t>
  </si>
  <si>
    <t>485385</t>
  </si>
  <si>
    <t>Fatma Yilmaz</t>
  </si>
  <si>
    <t>488019</t>
  </si>
  <si>
    <t>Fatmana Özütemiz</t>
  </si>
  <si>
    <t>487173</t>
  </si>
  <si>
    <t>Ferhat Burhan</t>
  </si>
  <si>
    <t>487361</t>
  </si>
  <si>
    <t>Ferudun Karaduman</t>
  </si>
  <si>
    <t>485201</t>
  </si>
  <si>
    <t>Filiz Güleç</t>
  </si>
  <si>
    <t>486595</t>
  </si>
  <si>
    <t>Göknur Erdal</t>
  </si>
  <si>
    <t>484017</t>
  </si>
  <si>
    <t>Gülcan Akın</t>
  </si>
  <si>
    <t>0001838</t>
  </si>
  <si>
    <t>Gülfen Eser</t>
  </si>
  <si>
    <t>482477</t>
  </si>
  <si>
    <t>Gülizar Aydın</t>
  </si>
  <si>
    <t>486253</t>
  </si>
  <si>
    <t>Gülşah Kılınç</t>
  </si>
  <si>
    <t>485333</t>
  </si>
  <si>
    <t>Gülsüm Kılınç</t>
  </si>
  <si>
    <t>0002236</t>
  </si>
  <si>
    <t>Gürcan Basut</t>
  </si>
  <si>
    <t>487949</t>
  </si>
  <si>
    <t>Hacer Kaçgın</t>
  </si>
  <si>
    <t>487185</t>
  </si>
  <si>
    <t>Halime Özekinci</t>
  </si>
  <si>
    <t>0001703</t>
  </si>
  <si>
    <t>Hanife Şahin</t>
  </si>
  <si>
    <t>485403</t>
  </si>
  <si>
    <t>Hasan Ergen</t>
  </si>
  <si>
    <t>485890</t>
  </si>
  <si>
    <t>Hasan Gül</t>
  </si>
  <si>
    <t>487961</t>
  </si>
  <si>
    <t>Hatice Hoplar</t>
  </si>
  <si>
    <t>487563</t>
  </si>
  <si>
    <t>Hatice Mutlu</t>
  </si>
  <si>
    <t>484703</t>
  </si>
  <si>
    <t>Hatice Önür</t>
  </si>
  <si>
    <t>486754</t>
  </si>
  <si>
    <t>Hayriye Orhan</t>
  </si>
  <si>
    <t>487281</t>
  </si>
  <si>
    <t>Hülya Keklikçi</t>
  </si>
  <si>
    <t>487732</t>
  </si>
  <si>
    <t>Hülya Ulutaş</t>
  </si>
  <si>
    <t>487780</t>
  </si>
  <si>
    <t>Hüseyin Aysan</t>
  </si>
  <si>
    <t>486977</t>
  </si>
  <si>
    <t>Ihlasbek Kuljanov</t>
  </si>
  <si>
    <t>487746</t>
  </si>
  <si>
    <t>Ihlasmyrat Atayev</t>
  </si>
  <si>
    <t>484623</t>
  </si>
  <si>
    <t>İklime Kavak</t>
  </si>
  <si>
    <t>487825</t>
  </si>
  <si>
    <t>İlayda Gülban</t>
  </si>
  <si>
    <t>486978</t>
  </si>
  <si>
    <t>Izzat Kurambayev</t>
  </si>
  <si>
    <t>487748</t>
  </si>
  <si>
    <t>Jemal Charyyeva</t>
  </si>
  <si>
    <t>487987</t>
  </si>
  <si>
    <t>Kadir Berme</t>
  </si>
  <si>
    <t>487766</t>
  </si>
  <si>
    <t>Kazım Ahmedov</t>
  </si>
  <si>
    <t>488018</t>
  </si>
  <si>
    <t>Leyla Kızıltaş</t>
  </si>
  <si>
    <t>487494</t>
  </si>
  <si>
    <t>Leyla Yaşar</t>
  </si>
  <si>
    <t>487635</t>
  </si>
  <si>
    <t>Lütfi Karık</t>
  </si>
  <si>
    <t>487973</t>
  </si>
  <si>
    <t>Mahmut Enes Aladağ</t>
  </si>
  <si>
    <t>487767</t>
  </si>
  <si>
    <t>Malıuda Baktyıarov Turgunbekova</t>
  </si>
  <si>
    <t>487172</t>
  </si>
  <si>
    <t>Mehmet Duman</t>
  </si>
  <si>
    <t>487775</t>
  </si>
  <si>
    <t>Mehmet Yıldırım</t>
  </si>
  <si>
    <t>487797</t>
  </si>
  <si>
    <t>Melike Topal</t>
  </si>
  <si>
    <t>486756</t>
  </si>
  <si>
    <t>Metin Çakır</t>
  </si>
  <si>
    <t>487711</t>
  </si>
  <si>
    <t>Mukaddaskhon Sultanova</t>
  </si>
  <si>
    <t>487843</t>
  </si>
  <si>
    <t>Mukam Ashırov</t>
  </si>
  <si>
    <t>487709</t>
  </si>
  <si>
    <t>Mukhammadjon Alıjonzoda</t>
  </si>
  <si>
    <t>486159</t>
  </si>
  <si>
    <t>Mustafa Doğan</t>
  </si>
  <si>
    <t>487033</t>
  </si>
  <si>
    <t>Naci Oğuz</t>
  </si>
  <si>
    <t>485736</t>
  </si>
  <si>
    <t>Nermin Olgun</t>
  </si>
  <si>
    <t>485997</t>
  </si>
  <si>
    <t>Nesibe Koşar</t>
  </si>
  <si>
    <t>485509</t>
  </si>
  <si>
    <t>Nihal Baylan</t>
  </si>
  <si>
    <t>485361</t>
  </si>
  <si>
    <t>Nılüfer Özdemır</t>
  </si>
  <si>
    <t>488031</t>
  </si>
  <si>
    <t>Nuran Çınar</t>
  </si>
  <si>
    <t>485866</t>
  </si>
  <si>
    <t>Nuray Sarı</t>
  </si>
  <si>
    <t>M</t>
  </si>
  <si>
    <t>487931</t>
  </si>
  <si>
    <t>Nurgül Kaya</t>
  </si>
  <si>
    <t>485211</t>
  </si>
  <si>
    <t>Nurgül Kenar</t>
  </si>
  <si>
    <t>484681</t>
  </si>
  <si>
    <t>Orhan Ertuğrul</t>
  </si>
  <si>
    <t>0002605</t>
  </si>
  <si>
    <t>Osman Demir</t>
  </si>
  <si>
    <t>487325</t>
  </si>
  <si>
    <t>Oya Akkurt</t>
  </si>
  <si>
    <t>484821</t>
  </si>
  <si>
    <t>Özge Çöllü Yiğit</t>
  </si>
  <si>
    <t>487324</t>
  </si>
  <si>
    <t>Özgül Koçar</t>
  </si>
  <si>
    <t>486726</t>
  </si>
  <si>
    <t>Özlem İnce</t>
  </si>
  <si>
    <t>487798</t>
  </si>
  <si>
    <t>Pembe Yılmaz</t>
  </si>
  <si>
    <t>487739</t>
  </si>
  <si>
    <t>Pınar Gözel</t>
  </si>
  <si>
    <t>0001204</t>
  </si>
  <si>
    <t>Rabiye Şahin</t>
  </si>
  <si>
    <t>487769</t>
  </si>
  <si>
    <t>Rayhon Matyazova</t>
  </si>
  <si>
    <t>487772</t>
  </si>
  <si>
    <t>Ruslan Kuljanov</t>
  </si>
  <si>
    <t>486392</t>
  </si>
  <si>
    <t>Saadet Gül</t>
  </si>
  <si>
    <t>487916</t>
  </si>
  <si>
    <t>Sabahat Demirci</t>
  </si>
  <si>
    <t>486580</t>
  </si>
  <si>
    <t>Sabahnur Gürbüz</t>
  </si>
  <si>
    <t>488030</t>
  </si>
  <si>
    <t>Şaban Atabek</t>
  </si>
  <si>
    <t>487714</t>
  </si>
  <si>
    <t>Sapargylych Paltayev</t>
  </si>
  <si>
    <t>487620</t>
  </si>
  <si>
    <t>Sara Zhelkushınova</t>
  </si>
  <si>
    <t>486588</t>
  </si>
  <si>
    <t>Savaş Zeybek</t>
  </si>
  <si>
    <t>484016</t>
  </si>
  <si>
    <t>Sefa Gökkaya</t>
  </si>
  <si>
    <t>485277</t>
  </si>
  <si>
    <t>Şehriban Demirtaş</t>
  </si>
  <si>
    <t>487285</t>
  </si>
  <si>
    <t>Selda Alkan</t>
  </si>
  <si>
    <t>487359</t>
  </si>
  <si>
    <t>Selin Beyaztaş</t>
  </si>
  <si>
    <t>486921</t>
  </si>
  <si>
    <t>Selma Akça</t>
  </si>
  <si>
    <t>486813</t>
  </si>
  <si>
    <t>Selva Cengiz</t>
  </si>
  <si>
    <t>0001751</t>
  </si>
  <si>
    <t>Semra Aslan</t>
  </si>
  <si>
    <t>484630</t>
  </si>
  <si>
    <t>Semra Özcan</t>
  </si>
  <si>
    <t>488016</t>
  </si>
  <si>
    <t>Sergül Karagöz</t>
  </si>
  <si>
    <t>484863</t>
  </si>
  <si>
    <t>Sevgi Arslan</t>
  </si>
  <si>
    <t>487947</t>
  </si>
  <si>
    <t>Sevilay Çakır</t>
  </si>
  <si>
    <t>487815</t>
  </si>
  <si>
    <t>Shahla Rajapova</t>
  </si>
  <si>
    <t>487771</t>
  </si>
  <si>
    <t>Shatlyk Tuvakov</t>
  </si>
  <si>
    <t>487770</t>
  </si>
  <si>
    <t>Shemshat Ashyrbayeva</t>
  </si>
  <si>
    <t>487609</t>
  </si>
  <si>
    <t>Sinem Acar</t>
  </si>
  <si>
    <t>485322</t>
  </si>
  <si>
    <t>Songül Ayhan</t>
  </si>
  <si>
    <t>485744</t>
  </si>
  <si>
    <t>Songül Gün</t>
  </si>
  <si>
    <t>484704</t>
  </si>
  <si>
    <t>Songül Yılmaz</t>
  </si>
  <si>
    <t>486957</t>
  </si>
  <si>
    <t>Sultan Erikçi</t>
  </si>
  <si>
    <t>0001039</t>
  </si>
  <si>
    <t>Teslime Takar</t>
  </si>
  <si>
    <t>485701</t>
  </si>
  <si>
    <t>Tuğba Kahraman</t>
  </si>
  <si>
    <t>0001487</t>
  </si>
  <si>
    <t>Tülay Özçaputoğlu</t>
  </si>
  <si>
    <t>484077</t>
  </si>
  <si>
    <t>Ulkiye Durna</t>
  </si>
  <si>
    <t>0001709</t>
  </si>
  <si>
    <t>Ummahan Güçlü</t>
  </si>
  <si>
    <t>487990</t>
  </si>
  <si>
    <t>Yaşar Eğri</t>
  </si>
  <si>
    <t>487036</t>
  </si>
  <si>
    <t>Yasemin Yurt</t>
  </si>
  <si>
    <t>488051</t>
  </si>
  <si>
    <t>Yiğit Kolçak</t>
  </si>
  <si>
    <t>487408</t>
  </si>
  <si>
    <t>Yıldız Uslu</t>
  </si>
  <si>
    <t>483367</t>
  </si>
  <si>
    <t>Yunus Emre Erpek</t>
  </si>
  <si>
    <t>487768</t>
  </si>
  <si>
    <t>Zharkynaı Berdıbek Kyzy</t>
  </si>
  <si>
    <t>485994</t>
  </si>
  <si>
    <t>Zinnet Baylan</t>
  </si>
  <si>
    <t>486366</t>
  </si>
  <si>
    <t>Zişan Tekerek</t>
  </si>
  <si>
    <t>486002</t>
  </si>
  <si>
    <t>Zümran Manav</t>
  </si>
  <si>
    <t>Departman Müdürünün İsmi / İmzası :</t>
  </si>
  <si>
    <t>İnsan Kaynakları Müdürü:</t>
  </si>
  <si>
    <t>A:</t>
  </si>
  <si>
    <t>08:00 - 16:00</t>
  </si>
  <si>
    <t>B:</t>
  </si>
  <si>
    <t>16:00 - 00:00</t>
  </si>
  <si>
    <t>C:</t>
  </si>
  <si>
    <t>24:00 - 08:00</t>
  </si>
  <si>
    <t>D:</t>
  </si>
  <si>
    <t>14:00 - 22:00</t>
  </si>
  <si>
    <t>E:</t>
  </si>
  <si>
    <t>18:00 - 02:00</t>
  </si>
  <si>
    <t>F:</t>
  </si>
  <si>
    <t>12:00 - 20:00</t>
  </si>
  <si>
    <t>M:</t>
  </si>
  <si>
    <t>09:00-17:00</t>
  </si>
  <si>
    <t>G:</t>
  </si>
  <si>
    <t>Görevli</t>
  </si>
  <si>
    <t>O:</t>
  </si>
  <si>
    <t>Haftalık İzin</t>
  </si>
  <si>
    <t>Y:</t>
  </si>
  <si>
    <t>Ü:</t>
  </si>
  <si>
    <t>Ö:</t>
  </si>
  <si>
    <t>Ödenen İzin</t>
  </si>
  <si>
    <t>AB:</t>
  </si>
  <si>
    <t>Antraklı Çalışma</t>
  </si>
  <si>
    <t>ÇRT:</t>
  </si>
  <si>
    <t>Çalışan Resmi Tatil Günü</t>
  </si>
  <si>
    <t>RT:</t>
  </si>
  <si>
    <t>Resmi Tatil</t>
  </si>
  <si>
    <t>DV:</t>
  </si>
  <si>
    <t>R:</t>
  </si>
  <si>
    <t>T:</t>
  </si>
  <si>
    <t>Telafi İzni</t>
  </si>
  <si>
    <t>ÇHT:</t>
  </si>
  <si>
    <t>Çalışılan Hafta Tatil Günü</t>
  </si>
  <si>
    <t>Yayın Tarihi : 28.03.2010</t>
  </si>
  <si>
    <t>Doküman No: FR/ HR/ 009</t>
  </si>
  <si>
    <t>Revizyon Numarası/ Tarihi 06/ 02.08.2024</t>
  </si>
  <si>
    <t>Revizyon Numarası</t>
  </si>
  <si>
    <t>Tarih</t>
  </si>
  <si>
    <t>Revizyonun özeti</t>
  </si>
  <si>
    <t>Geliştiren</t>
  </si>
  <si>
    <t>00</t>
  </si>
  <si>
    <t>Yeni doküman</t>
  </si>
  <si>
    <t>Kalite ve Eğitim Dept.</t>
  </si>
  <si>
    <t>01</t>
  </si>
  <si>
    <t>Formatı Değiştirildi</t>
  </si>
  <si>
    <t>Toplam Kalite Dept.</t>
  </si>
  <si>
    <t>02</t>
  </si>
  <si>
    <t>Formda değişiklikler yapıldı.</t>
  </si>
  <si>
    <t>03</t>
  </si>
  <si>
    <t>Fazla mesai sütunu eklendi</t>
  </si>
  <si>
    <t>İK ve Eğitim Dept.</t>
  </si>
  <si>
    <t>04</t>
  </si>
  <si>
    <t>Yeniden Düzenlendi.</t>
  </si>
  <si>
    <t>İnsan Kaynakları Dept.</t>
  </si>
  <si>
    <t>05</t>
  </si>
  <si>
    <t>Normal çalışma ve Fazla çalışma birlikte eklendi.</t>
  </si>
  <si>
    <t>06</t>
  </si>
  <si>
    <t>F vardiyası eklendi. Antraklı çalışma eklendi.</t>
  </si>
  <si>
    <t>Hazırlayan / Geliştiren :</t>
  </si>
  <si>
    <t>Rukiye GÖKSU / İK ve Eğitim Müdürü</t>
  </si>
  <si>
    <t>Sistem Onayı:</t>
  </si>
  <si>
    <t>Nurel GÜNEYLİOĞLU / Yönetim Temsilcisi</t>
  </si>
  <si>
    <r>
      <t>Onay:</t>
    </r>
    <r>
      <rPr>
        <charset val="162"/>
        <color indexed="8"/>
        <family val="2"/>
        <sz val="10"/>
        <rFont val="Tahoma"/>
      </rPr>
      <t xml:space="preserve"> Ümit ATALAY / Genel Müdür</t>
    </r>
  </si>
  <si>
    <r>
      <t xml:space="preserve">Tarih: </t>
    </r>
    <r>
      <rPr>
        <charset val="162"/>
        <color indexed="8"/>
        <family val="2"/>
        <sz val="10"/>
        <rFont val="Tahoma"/>
      </rPr>
      <t>02</t>
    </r>
    <r>
      <rPr>
        <charset val="162"/>
        <color indexed="8"/>
        <family val="2"/>
        <sz val="10"/>
        <rFont val="Tahoma"/>
      </rPr>
      <t>.08.2024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</si>
</sst>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 yyyy"/>
  </numFmts>
  <fonts count="20" x14ac:knownFonts="1">
    <font>
      <color theme="1"/>
      <family val="2"/>
      <scheme val="minor"/>
      <sz val="11"/>
      <name val="Calibri"/>
    </font>
    <font>
      <charset val="162"/>
      <family val="2"/>
      <sz val="10"/>
      <name val="Arial"/>
    </font>
    <font>
      <charset val="162"/>
      <color theme="1"/>
      <family val="2"/>
      <sz val="10"/>
      <name val="Tahoma"/>
    </font>
    <font>
      <b/>
      <charset val="162"/>
      <color theme="1"/>
      <family val="2"/>
      <sz val="11"/>
      <name val="Tahoma"/>
    </font>
    <font>
      <charset val="162"/>
      <color theme="1" tint="0.1499984740745262"/>
      <family val="2"/>
      <sz val="10"/>
      <name val="Tahoma"/>
    </font>
    <font>
      <b/>
      <charset val="162"/>
      <family val="2"/>
      <sz val="18"/>
      <name val="Tahoma"/>
    </font>
    <font>
      <b/>
      <charset val="162"/>
      <family val="2"/>
      <sz val="12"/>
      <name val="Tahoma"/>
    </font>
    <font>
      <charset val="162"/>
      <family val="2"/>
      <sz val="12"/>
      <name val="Tahoma"/>
    </font>
    <font>
      <charset val="162"/>
      <family val="2"/>
      <sz val="10"/>
      <name val="Tahoma"/>
    </font>
    <font>
      <charset val="162"/>
      <family val="2"/>
      <sz val="8"/>
      <name val="Tahoma"/>
    </font>
    <font>
      <charset val="162"/>
      <color indexed="10"/>
      <family val="2"/>
      <sz val="10"/>
      <name val="Tahoma"/>
    </font>
    <font>
      <b/>
      <charset val="162"/>
      <family val="2"/>
      <sz val="10"/>
      <name val="Tahoma"/>
    </font>
    <font>
      <b/>
      <charset val="162"/>
      <color theme="1" tint="0.1499984740745262"/>
      <family val="2"/>
      <sz val="10"/>
      <name val="Tahoma"/>
    </font>
    <font>
      <charset val="162"/>
      <family val="2"/>
      <sz val="11"/>
      <name val="Tahoma"/>
    </font>
    <font>
      <charset val="162"/>
      <color rgb="FFFF0000"/>
      <family val="2"/>
      <sz val="10"/>
      <name val="Arial"/>
    </font>
    <font>
      <b/>
      <charset val="162"/>
      <family val="2"/>
      <sz val="10"/>
      <name val="Arial"/>
    </font>
    <font>
      <b/>
    </font>
    <font>
      <charset val="162"/>
      <family val="2"/>
      <sz val="12"/>
      <name val="Arial"/>
    </font>
    <font>
      <charset val="162"/>
      <sz val="10"/>
      <name val="Arial"/>
    </font>
    <font>
      <b/>
      <charset val="162"/>
      <color theme="1"/>
      <family val="2"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404040"/>
      </left>
      <right style="thin">
        <color rgb="404040"/>
      </right>
      <top style="thin">
        <color rgb="404040"/>
      </top>
      <bottom style="thin">
        <color rgb="40404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4" fillId="0" borderId="2" xfId="0" applyFont="1" applyBorder="1" applyAlignment="1">
      <alignment horizontal="center" wrapText="1"/>
    </xf>
    <xf numFmtId="0" fontId="5" fillId="2" borderId="0" xfId="0" applyFont="1" applyFill="1" applyAlignment="1">
      <alignment horizontal="center"/>
    </xf>
    <xf numFmtId="0" fontId="1" fillId="0" borderId="3" xfId="0" applyFont="1" applyBorder="1"/>
    <xf numFmtId="0" fontId="1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164" fontId="10" fillId="0" borderId="0" xfId="0" applyNumberFormat="1" applyFont="1" applyAlignment="1">
      <alignment vertical="center"/>
    </xf>
    <xf numFmtId="0" fontId="8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/>
    <xf numFmtId="0" fontId="8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 textRotation="90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14" fillId="0" borderId="0" xfId="0" applyFont="1"/>
    <xf numFmtId="0" fontId="12" fillId="2" borderId="16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 textRotation="90"/>
    </xf>
    <xf numFmtId="0" fontId="8" fillId="2" borderId="12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 applyProtection="1">
      <alignment horizontal="center" vertical="center" wrapText="1"/>
      <protection hidden="1"/>
    </xf>
    <xf numFmtId="0" fontId="8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horizontal="left" vertical="top"/>
    </xf>
    <xf numFmtId="0" fontId="16" fillId="0" borderId="0" xfId="0" applyFont="1"/>
    <xf numFmtId="0" fontId="6" fillId="0" borderId="18" xfId="0" applyFont="1" applyBorder="1"/>
    <xf numFmtId="0" fontId="17" fillId="0" borderId="18" xfId="0" applyFont="1" applyBorder="1"/>
    <xf numFmtId="0" fontId="7" fillId="0" borderId="18" xfId="0" applyFont="1" applyBorder="1"/>
    <xf numFmtId="0" fontId="8" fillId="0" borderId="18" xfId="0" applyFont="1" applyBorder="1" applyAlignment="1">
      <alignment horizontal="left" indent="1"/>
    </xf>
    <xf numFmtId="0" fontId="8" fillId="0" borderId="1" xfId="0" applyFont="1" applyBorder="1"/>
    <xf numFmtId="0" fontId="7" fillId="0" borderId="1" xfId="0" applyFont="1" applyBorder="1" applyAlignment="1">
      <alignment horizontal="right"/>
    </xf>
    <xf numFmtId="0" fontId="8" fillId="0" borderId="19" xfId="0" applyFont="1" applyBorder="1"/>
    <xf numFmtId="0" fontId="1" fillId="0" borderId="19" xfId="0" applyFont="1" applyBorder="1"/>
    <xf numFmtId="0" fontId="8" fillId="0" borderId="19" xfId="0" applyFont="1" applyBorder="1" applyAlignment="1">
      <alignment horizontal="right"/>
    </xf>
    <xf numFmtId="0" fontId="8" fillId="0" borderId="2" xfId="0" applyFont="1" applyBorder="1"/>
    <xf numFmtId="0" fontId="7" fillId="0" borderId="2" xfId="0" applyFont="1" applyBorder="1" applyAlignment="1">
      <alignment horizontal="right"/>
    </xf>
    <xf numFmtId="0" fontId="18" fillId="0" borderId="19" xfId="0" applyFont="1" applyBorder="1"/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49" fontId="2" fillId="0" borderId="22" xfId="0" applyNumberFormat="1" applyFont="1" applyBorder="1" applyAlignment="1">
      <alignment horizontal="center" vertical="center" wrapText="1"/>
    </xf>
    <xf numFmtId="14" fontId="2" fillId="0" borderId="22" xfId="0" applyNumberFormat="1" applyFont="1" applyBorder="1" applyAlignment="1">
      <alignment horizontal="justify" vertical="top" wrapText="1"/>
    </xf>
    <xf numFmtId="0" fontId="2" fillId="0" borderId="22" xfId="0" applyFont="1" applyBorder="1" applyAlignment="1">
      <alignment horizontal="justify" vertical="top" wrapText="1"/>
    </xf>
    <xf numFmtId="0" fontId="2" fillId="0" borderId="8" xfId="0" applyFont="1" applyBorder="1" applyAlignment="1">
      <alignment horizontal="justify" vertical="top" wrapText="1"/>
    </xf>
    <xf numFmtId="49" fontId="2" fillId="0" borderId="13" xfId="0" applyNumberFormat="1" applyFont="1" applyBorder="1" applyAlignment="1">
      <alignment horizontal="center" vertical="top" wrapText="1"/>
    </xf>
    <xf numFmtId="14" fontId="2" fillId="0" borderId="13" xfId="0" applyNumberFormat="1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5" xfId="0" applyFont="1" applyBorder="1" applyAlignment="1">
      <alignment horizontal="justify" vertical="top" wrapText="1"/>
    </xf>
    <xf numFmtId="49" fontId="2" fillId="0" borderId="12" xfId="0" applyNumberFormat="1" applyFont="1" applyBorder="1" applyAlignment="1">
      <alignment horizontal="center" vertical="top" wrapText="1"/>
    </xf>
    <xf numFmtId="14" fontId="2" fillId="0" borderId="12" xfId="0" applyNumberFormat="1" applyFont="1" applyBorder="1" applyAlignment="1">
      <alignment horizontal="justify" vertical="top" wrapText="1"/>
    </xf>
    <xf numFmtId="0" fontId="2" fillId="0" borderId="12" xfId="0" applyFont="1" applyBorder="1" applyAlignment="1">
      <alignment horizontal="justify" vertical="top" wrapText="1"/>
    </xf>
    <xf numFmtId="49" fontId="2" fillId="0" borderId="22" xfId="0" applyNumberFormat="1" applyFont="1" applyBorder="1" applyAlignment="1">
      <alignment horizontal="center" vertical="top" wrapText="1"/>
    </xf>
    <xf numFmtId="49" fontId="2" fillId="0" borderId="12" xfId="0" applyNumberFormat="1" applyFont="1" applyBorder="1" applyAlignment="1">
      <alignment horizontal="justify" vertical="top" wrapText="1"/>
    </xf>
    <xf numFmtId="0" fontId="2" fillId="0" borderId="23" xfId="0" applyFont="1" applyBorder="1" applyAlignment="1">
      <alignment horizontal="justify" vertical="top" wrapText="1"/>
    </xf>
    <xf numFmtId="49" fontId="2" fillId="0" borderId="22" xfId="0" applyNumberFormat="1" applyFont="1" applyBorder="1" applyAlignment="1">
      <alignment vertical="top" wrapText="1"/>
    </xf>
    <xf numFmtId="49" fontId="2" fillId="0" borderId="16" xfId="0" applyNumberFormat="1" applyFont="1" applyBorder="1" applyAlignment="1">
      <alignment horizontal="justify" vertical="top" wrapText="1"/>
    </xf>
    <xf numFmtId="0" fontId="2" fillId="0" borderId="16" xfId="0" applyFont="1" applyBorder="1" applyAlignment="1">
      <alignment horizontal="justify" vertical="top" wrapText="1"/>
    </xf>
    <xf numFmtId="0" fontId="2" fillId="0" borderId="11" xfId="0" applyFont="1" applyBorder="1" applyAlignment="1">
      <alignment horizontal="justify" vertical="top" wrapText="1"/>
    </xf>
    <xf numFmtId="0" fontId="19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310"/>
  <sheetViews>
    <sheetView workbookViewId="0" showGridLines="0" zoomScale="80" zoomScaleNormal="80">
      <selection activeCell="A9" sqref="A9"/>
    </sheetView>
  </sheetViews>
  <sheetFormatPr defaultRowHeight="13" outlineLevelRow="0" outlineLevelCol="0" x14ac:dyDescent="0" defaultColWidth="9.33203125" customHeight="1"/>
  <cols>
    <col min="1" max="1" width="7" style="1" customWidth="1"/>
    <col min="2" max="2" width="8.5" style="1" customWidth="1"/>
    <col min="3" max="3" width="27.33203125" style="1" customWidth="1"/>
    <col min="4" max="4" width="5.33203125" style="1" customWidth="1"/>
    <col min="5" max="6" width="5.6640625" style="1" customWidth="1"/>
    <col min="7" max="7" width="6.33203125" style="1" customWidth="1"/>
    <col min="8" max="32" width="5.6640625" style="1" customWidth="1"/>
    <col min="33" max="35" width="6.33203125" style="1" customWidth="1"/>
    <col min="36" max="37" width="10.6640625" style="1" customWidth="1"/>
    <col min="38" max="38" width="19.6640625" style="1" customWidth="1"/>
    <col min="39" max="39" width="4" style="1" customWidth="1"/>
    <col min="40" max="40" width="6.83203125" style="1" customWidth="1"/>
    <col min="41" max="41" width="7" style="1" customWidth="1"/>
    <col min="42" max="42" width="7.6640625" style="1" customWidth="1"/>
    <col min="43" max="45" width="9.33203125" style="1" customWidth="1"/>
    <col min="46" max="46" width="7.5" style="1" customWidth="1"/>
    <col min="47" max="47" width="7.83203125" style="1" customWidth="1"/>
    <col min="48" max="16384" width="9.33203125" style="1" customWidth="1"/>
  </cols>
  <sheetData>
    <row r="1" ht="14" customHeight="1" spans="1:57" s="2" customFormat="1" x14ac:dyDescent="0.25">
      <c r="A1" s="3" t="s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5"/>
      <c r="AK1" s="5"/>
      <c r="AL1" s="5"/>
      <c r="AM1" s="4"/>
      <c r="AN1" s="4"/>
      <c r="AO1" s="4"/>
      <c r="AP1" s="4"/>
      <c r="AQ1" s="4"/>
      <c r="AR1" s="4"/>
      <c r="AS1" s="4"/>
      <c r="AT1" s="4"/>
      <c r="AU1" s="6"/>
      <c r="AV1" s="4"/>
      <c r="AW1" s="4"/>
      <c r="AX1" s="4"/>
      <c r="AY1" s="4"/>
      <c r="AZ1" s="5"/>
      <c r="BA1" s="5"/>
      <c r="BB1" s="5"/>
      <c r="BC1" s="5"/>
      <c r="BD1" s="5"/>
      <c r="BE1" s="5"/>
    </row>
    <row r="2" spans="1:57" s="2" customFormat="1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8"/>
      <c r="AK2" s="8"/>
      <c r="AL2" s="8"/>
      <c r="AM2" s="7"/>
      <c r="AN2" s="7"/>
      <c r="AO2" s="7"/>
      <c r="AP2" s="7"/>
      <c r="AQ2" s="7"/>
      <c r="AR2" s="7"/>
      <c r="AS2" s="7"/>
      <c r="AT2" s="7"/>
      <c r="AU2" s="9"/>
      <c r="AV2" s="7"/>
      <c r="AW2" s="7"/>
      <c r="AX2" s="7"/>
      <c r="AY2" s="7"/>
      <c r="AZ2" s="8"/>
      <c r="BA2" s="8"/>
      <c r="BB2" s="8"/>
      <c r="BC2" s="8"/>
      <c r="BD2" s="8"/>
      <c r="BE2" s="8"/>
    </row>
    <row r="3" ht="21.75" customHeight="1" spans="1:38" x14ac:dyDescent="0.25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ht="6" customHeight="1" spans="1:38" x14ac:dyDescent="0.25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3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4"/>
    </row>
    <row r="5" ht="24" customHeight="1" spans="1:38" x14ac:dyDescent="0.25">
      <c r="A5" s="15" t="s">
        <v>4</v>
      </c>
      <c r="B5" s="16"/>
      <c r="C5" s="17"/>
      <c r="D5" s="17"/>
      <c r="E5" s="17"/>
      <c r="F5" s="18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7"/>
      <c r="S5" s="17"/>
      <c r="T5" s="17"/>
      <c r="U5" s="17"/>
      <c r="V5" s="17"/>
      <c r="W5" s="17"/>
      <c r="X5" s="20" t="s">
        <v>5</v>
      </c>
      <c r="Y5" s="18"/>
      <c r="Z5" s="18"/>
      <c r="AA5" s="18"/>
      <c r="AB5" s="21"/>
      <c r="AC5" s="21"/>
      <c r="AD5" s="21"/>
      <c r="AE5" s="18"/>
      <c r="AF5" s="18"/>
      <c r="AG5" s="18"/>
      <c r="AH5" s="18"/>
      <c r="AI5" s="18"/>
      <c r="AJ5" s="18"/>
      <c r="AK5" s="18"/>
      <c r="AL5" s="22"/>
    </row>
    <row r="6" ht="8" customHeight="1" spans="1:38" x14ac:dyDescent="0.25">
      <c r="A6" s="23"/>
      <c r="B6" s="24"/>
      <c r="C6" s="24"/>
      <c r="D6" s="24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6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7"/>
    </row>
    <row r="7" ht="15" customHeight="1" spans="1:47" x14ac:dyDescent="0.25">
      <c r="A7" s="28" t="s">
        <v>6</v>
      </c>
      <c r="B7" s="29" t="s">
        <v>7</v>
      </c>
      <c r="C7" s="29" t="s">
        <v>8</v>
      </c>
      <c r="D7" s="30" t="s">
        <v>9</v>
      </c>
      <c r="E7" s="31" t="s">
        <v>10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3" t="s">
        <v>11</v>
      </c>
      <c r="AK7" s="34" t="s">
        <v>12</v>
      </c>
      <c r="AL7" s="35" t="s">
        <v>13</v>
      </c>
      <c r="AU7" s="36"/>
    </row>
    <row r="8" ht="36.75" customHeight="1" spans="1:51" x14ac:dyDescent="0.25">
      <c r="A8" s="28"/>
      <c r="B8" s="37"/>
      <c r="C8" s="37"/>
      <c r="D8" s="38"/>
      <c r="E8" s="39">
        <v>1</v>
      </c>
      <c r="F8" s="39">
        <v>2</v>
      </c>
      <c r="G8" s="39">
        <v>3</v>
      </c>
      <c r="H8" s="39">
        <v>4</v>
      </c>
      <c r="I8" s="39">
        <v>5</v>
      </c>
      <c r="J8" s="39">
        <v>6</v>
      </c>
      <c r="K8" s="39">
        <v>7</v>
      </c>
      <c r="L8" s="39">
        <v>8</v>
      </c>
      <c r="M8" s="39">
        <v>9</v>
      </c>
      <c r="N8" s="39">
        <v>10</v>
      </c>
      <c r="O8" s="39">
        <v>11</v>
      </c>
      <c r="P8" s="39">
        <v>12</v>
      </c>
      <c r="Q8" s="39">
        <v>13</v>
      </c>
      <c r="R8" s="39">
        <v>14</v>
      </c>
      <c r="S8" s="39">
        <v>15</v>
      </c>
      <c r="T8" s="39">
        <v>16</v>
      </c>
      <c r="U8" s="39">
        <v>17</v>
      </c>
      <c r="V8" s="39">
        <v>18</v>
      </c>
      <c r="W8" s="39">
        <v>19</v>
      </c>
      <c r="X8" s="39">
        <v>20</v>
      </c>
      <c r="Y8" s="39">
        <v>21</v>
      </c>
      <c r="Z8" s="39">
        <v>22</v>
      </c>
      <c r="AA8" s="39">
        <v>23</v>
      </c>
      <c r="AB8" s="39">
        <v>24</v>
      </c>
      <c r="AC8" s="39">
        <v>25</v>
      </c>
      <c r="AD8" s="39">
        <v>26</v>
      </c>
      <c r="AE8" s="39">
        <v>27</v>
      </c>
      <c r="AF8" s="39">
        <v>28</v>
      </c>
      <c r="AG8" s="39">
        <v>29</v>
      </c>
      <c r="AH8" s="39">
        <v>30</v>
      </c>
      <c r="AI8" s="39">
        <v>31</v>
      </c>
      <c r="AJ8" s="40"/>
      <c r="AK8" s="41"/>
      <c r="AL8" s="42"/>
      <c r="AN8" s="43" t="s">
        <v>14</v>
      </c>
      <c r="AO8" s="43" t="s">
        <v>15</v>
      </c>
      <c r="AP8" s="43" t="s">
        <v>16</v>
      </c>
      <c r="AQ8" s="43" t="s">
        <v>17</v>
      </c>
      <c r="AR8" s="43" t="s">
        <v>18</v>
      </c>
      <c r="AS8" s="43" t="s">
        <v>19</v>
      </c>
      <c r="AT8" s="43" t="s">
        <v>20</v>
      </c>
      <c r="AU8" s="43" t="s">
        <v>21</v>
      </c>
      <c r="AV8" s="44" t="s">
        <v>22</v>
      </c>
      <c r="AW8" s="44" t="s">
        <v>23</v>
      </c>
      <c r="AX8" s="44" t="s">
        <v>24</v>
      </c>
      <c r="AY8" s="44" t="s">
        <v>25</v>
      </c>
    </row>
    <row r="9" ht="16" customHeight="1" spans="1:51" x14ac:dyDescent="0.25">
      <c r="A9" s="45">
        <v>1</v>
      </c>
      <c r="B9" s="45" t="s">
        <v>26</v>
      </c>
      <c r="C9" s="45" t="s">
        <v>27</v>
      </c>
      <c r="D9" s="45" t="s">
        <v>28</v>
      </c>
      <c r="E9" s="45" t="s">
        <v>29</v>
      </c>
      <c r="F9" s="45" t="s">
        <v>29</v>
      </c>
      <c r="G9" s="45" t="s">
        <v>30</v>
      </c>
      <c r="H9" s="45" t="s">
        <v>29</v>
      </c>
      <c r="I9" s="45" t="s">
        <v>29</v>
      </c>
      <c r="J9" s="45" t="s">
        <v>29</v>
      </c>
      <c r="K9" s="45" t="s">
        <v>29</v>
      </c>
      <c r="L9" s="45" t="s">
        <v>29</v>
      </c>
      <c r="M9" s="45" t="s">
        <v>29</v>
      </c>
      <c r="N9" s="45" t="s">
        <v>30</v>
      </c>
      <c r="O9" s="45" t="s">
        <v>29</v>
      </c>
      <c r="P9" s="45" t="s">
        <v>29</v>
      </c>
      <c r="Q9" s="45" t="s">
        <v>29</v>
      </c>
      <c r="R9" s="45" t="s">
        <v>29</v>
      </c>
      <c r="S9" s="45" t="s">
        <v>29</v>
      </c>
      <c r="T9" s="45" t="s">
        <v>29</v>
      </c>
      <c r="U9" s="45" t="s">
        <v>30</v>
      </c>
      <c r="V9" s="45" t="s">
        <v>29</v>
      </c>
      <c r="W9" s="45" t="s">
        <v>29</v>
      </c>
      <c r="X9" s="45" t="s">
        <v>29</v>
      </c>
      <c r="Y9" s="45" t="s">
        <v>29</v>
      </c>
      <c r="Z9" s="45" t="s">
        <v>29</v>
      </c>
      <c r="AA9" s="45" t="s">
        <v>29</v>
      </c>
      <c r="AB9" s="45" t="s">
        <v>30</v>
      </c>
      <c r="AC9" s="45" t="s">
        <v>29</v>
      </c>
      <c r="AD9" s="45" t="s">
        <v>29</v>
      </c>
      <c r="AE9" s="45" t="s">
        <v>29</v>
      </c>
      <c r="AF9" s="45" t="s">
        <v>29</v>
      </c>
      <c r="AG9" s="45" t="s">
        <v>29</v>
      </c>
      <c r="AH9" s="45" t="s">
        <v>31</v>
      </c>
      <c r="AI9" s="45" t="s">
        <v>30</v>
      </c>
      <c r="AJ9" s="45">
        <f>=SUM(E10:AI10)</f>
      </c>
      <c r="AK9" s="45">
        <f>=+AY9</f>
      </c>
      <c r="AL9" s="45"/>
      <c r="AM9" s="1"/>
      <c r="AN9" s="1">
        <f>=COUNTIF(E9:AI9,"A")+COUNTIF(E9:AI9,"B")+COUNTIF(E9:AI9,"C")+COUNTIF(E9:AI9,"D")+COUNTIF(E9:AI9,"E")+COUNTIF(E9:AI9,"F")+COUNTIF(E9:AI9,"M")+COUNTIF(E9:AI9,"AB")+COUNTIF(E9:AI9,"UZ")+COUNTIF(E9:AI9,"G")+(COUNTIF(E9:AI9,"RT.")/2)+(COUNTIF(E9:AI9,"ÇRT.")/2)</f>
      </c>
      <c r="AO9" s="1">
        <f>=COUNTIF(E9:AI9,"O")</f>
      </c>
      <c r="AP9" s="1">
        <f>=COUNTIF(E9:AI9,"RT")+(COUNTIF(E9:AI9,"RT.")/2)</f>
      </c>
      <c r="AQ9" s="1">
        <f>=COUNTIF(E9:AI9,"ÇRT")+(COUNTIF(E9:AI9,"ÇRT.")/2)</f>
      </c>
      <c r="AR9" s="1">
        <f>=COUNTIF(E9:AI9,"ÇHT")</f>
      </c>
      <c r="AS9" s="1">
        <f>=COUNTIF(E9:AI9,"Ö")+COUNTIF(E9:AI9,"T")</f>
      </c>
      <c r="AT9" s="1">
        <f>=COUNTIF(E9:AI9,"Y")</f>
      </c>
      <c r="AU9" s="1">
        <f>=COUNTIF(E9:AI9,"R.")</f>
      </c>
      <c r="AV9" s="1">
        <f>=COUNTIF(E9:AI9,"Ü")</f>
      </c>
      <c r="AW9" s="1">
        <f>=COUNTIF(E9:AI9,"R")</f>
      </c>
      <c r="AX9" s="1">
        <f>=COUNTIF(E9:AI9,"DV")</f>
      </c>
      <c r="AY9" s="1">
        <f>=+AN9+AO9+AP9+AQ9+AR9+AS9+AT9+AU9</f>
      </c>
    </row>
    <row r="10" ht="16" customHeight="1" spans="1:51" x14ac:dyDescent="0.25">
      <c r="A10" s="45"/>
      <c r="B10" s="45"/>
      <c r="C10" s="45"/>
      <c r="D10" s="46" t="s">
        <v>32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>
        <v>2</v>
      </c>
      <c r="AG10" s="46"/>
      <c r="AH10" s="46"/>
      <c r="AI10" s="46"/>
      <c r="AJ10" s="45"/>
      <c r="AK10" s="45"/>
      <c r="AL10" s="45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ht="16" customHeight="1" spans="1:51" x14ac:dyDescent="0.25">
      <c r="A11" s="46">
        <v>2</v>
      </c>
      <c r="B11" s="46" t="s">
        <v>33</v>
      </c>
      <c r="C11" s="46" t="s">
        <v>34</v>
      </c>
      <c r="D11" s="46" t="s">
        <v>28</v>
      </c>
      <c r="E11" s="46" t="s">
        <v>30</v>
      </c>
      <c r="F11" s="46" t="s">
        <v>29</v>
      </c>
      <c r="G11" s="46" t="s">
        <v>29</v>
      </c>
      <c r="H11" s="46" t="s">
        <v>29</v>
      </c>
      <c r="I11" s="46" t="s">
        <v>29</v>
      </c>
      <c r="J11" s="46" t="s">
        <v>29</v>
      </c>
      <c r="K11" s="46" t="s">
        <v>29</v>
      </c>
      <c r="L11" s="46" t="s">
        <v>30</v>
      </c>
      <c r="M11" s="46" t="s">
        <v>35</v>
      </c>
      <c r="N11" s="46" t="s">
        <v>29</v>
      </c>
      <c r="O11" s="46" t="s">
        <v>29</v>
      </c>
      <c r="P11" s="46" t="s">
        <v>29</v>
      </c>
      <c r="Q11" s="46" t="s">
        <v>29</v>
      </c>
      <c r="R11" s="46" t="s">
        <v>29</v>
      </c>
      <c r="S11" s="46" t="s">
        <v>30</v>
      </c>
      <c r="T11" s="46" t="s">
        <v>29</v>
      </c>
      <c r="U11" s="46" t="s">
        <v>29</v>
      </c>
      <c r="V11" s="46" t="s">
        <v>29</v>
      </c>
      <c r="W11" s="46" t="s">
        <v>29</v>
      </c>
      <c r="X11" s="46" t="s">
        <v>29</v>
      </c>
      <c r="Y11" s="46" t="s">
        <v>30</v>
      </c>
      <c r="Z11" s="46" t="s">
        <v>36</v>
      </c>
      <c r="AA11" s="46" t="s">
        <v>36</v>
      </c>
      <c r="AB11" s="46" t="s">
        <v>36</v>
      </c>
      <c r="AC11" s="46" t="s">
        <v>36</v>
      </c>
      <c r="AD11" s="46" t="s">
        <v>36</v>
      </c>
      <c r="AE11" s="46" t="s">
        <v>36</v>
      </c>
      <c r="AF11" s="46" t="s">
        <v>36</v>
      </c>
      <c r="AG11" s="46" t="s">
        <v>30</v>
      </c>
      <c r="AH11" s="46" t="s">
        <v>31</v>
      </c>
      <c r="AI11" s="46" t="s">
        <v>36</v>
      </c>
      <c r="AJ11" s="46">
        <f>=SUM(E12:AI12)</f>
      </c>
      <c r="AK11" s="46">
        <f>=+AY11</f>
      </c>
      <c r="AL11" s="46"/>
      <c r="AM11" s="1"/>
      <c r="AN11" s="1">
        <f>=COUNTIF(E11:AI11,"A")+COUNTIF(E11:AI11,"B")+COUNTIF(E11:AI11,"C")+COUNTIF(E11:AI11,"D")+COUNTIF(E11:AI11,"E")+COUNTIF(E11:AI11,"F")+COUNTIF(E11:AI11,"M")+COUNTIF(E11:AI11,"AB")+COUNTIF(E11:AI11,"UZ")+COUNTIF(E11:AI11,"G")+(COUNTIF(E11:AI11,"RT.")/2)+(COUNTIF(E11:AI11,"ÇRT.")/2)</f>
      </c>
      <c r="AO11" s="1">
        <f>=COUNTIF(E11:AI11,"O")</f>
      </c>
      <c r="AP11" s="1">
        <f>=COUNTIF(E11:AI11,"RT")+(COUNTIF(E11:AI11,"RT.")/2)</f>
      </c>
      <c r="AQ11" s="1">
        <f>=COUNTIF(E11:AI11,"ÇRT")+(COUNTIF(E11:AI11,"ÇRT.")/2)</f>
      </c>
      <c r="AR11" s="1">
        <f>=COUNTIF(E11:AI11,"ÇHT")</f>
      </c>
      <c r="AS11" s="1">
        <f>=COUNTIF(E11:AI11,"Ö")+COUNTIF(E11:AI11,"T")</f>
      </c>
      <c r="AT11" s="1">
        <f>=COUNTIF(E11:AI11,"Y")</f>
      </c>
      <c r="AU11" s="1">
        <f>=COUNTIF(E11:AI11,"R.")</f>
      </c>
      <c r="AV11" s="1">
        <f>=COUNTIF(E11:AI11,"Ü")</f>
      </c>
      <c r="AW11" s="1">
        <f>=COUNTIF(E11:AI11,"R")</f>
      </c>
      <c r="AX11" s="1">
        <f>=COUNTIF(E11:AI11,"DV")</f>
      </c>
      <c r="AY11" s="1">
        <f>=+AN11+AO11+AP11+AQ11+AR11+AS11+AT11+AU11</f>
      </c>
    </row>
    <row r="12" ht="16" customHeight="1" spans="1:51" x14ac:dyDescent="0.25">
      <c r="A12" s="46"/>
      <c r="B12" s="46"/>
      <c r="C12" s="46"/>
      <c r="D12" s="46" t="s">
        <v>32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ht="16" customHeight="1" spans="1:51" x14ac:dyDescent="0.25">
      <c r="A13" s="46">
        <v>3</v>
      </c>
      <c r="B13" s="46" t="s">
        <v>37</v>
      </c>
      <c r="C13" s="46" t="s">
        <v>38</v>
      </c>
      <c r="D13" s="46" t="s">
        <v>28</v>
      </c>
      <c r="E13" s="46" t="s">
        <v>29</v>
      </c>
      <c r="F13" s="46" t="s">
        <v>29</v>
      </c>
      <c r="G13" s="46" t="s">
        <v>29</v>
      </c>
      <c r="H13" s="46" t="s">
        <v>29</v>
      </c>
      <c r="I13" s="46" t="s">
        <v>30</v>
      </c>
      <c r="J13" s="46" t="s">
        <v>29</v>
      </c>
      <c r="K13" s="46" t="s">
        <v>29</v>
      </c>
      <c r="L13" s="46" t="s">
        <v>29</v>
      </c>
      <c r="M13" s="46" t="s">
        <v>29</v>
      </c>
      <c r="N13" s="46" t="s">
        <v>29</v>
      </c>
      <c r="O13" s="46" t="s">
        <v>29</v>
      </c>
      <c r="P13" s="46" t="s">
        <v>30</v>
      </c>
      <c r="Q13" s="46" t="s">
        <v>29</v>
      </c>
      <c r="R13" s="46" t="s">
        <v>29</v>
      </c>
      <c r="S13" s="46" t="s">
        <v>29</v>
      </c>
      <c r="T13" s="46" t="s">
        <v>29</v>
      </c>
      <c r="U13" s="46" t="s">
        <v>29</v>
      </c>
      <c r="V13" s="46" t="s">
        <v>29</v>
      </c>
      <c r="W13" s="46" t="s">
        <v>30</v>
      </c>
      <c r="X13" s="46" t="s">
        <v>29</v>
      </c>
      <c r="Y13" s="46" t="s">
        <v>29</v>
      </c>
      <c r="Z13" s="46" t="s">
        <v>29</v>
      </c>
      <c r="AA13" s="46" t="s">
        <v>29</v>
      </c>
      <c r="AB13" s="46" t="s">
        <v>29</v>
      </c>
      <c r="AC13" s="46" t="s">
        <v>29</v>
      </c>
      <c r="AD13" s="46" t="s">
        <v>30</v>
      </c>
      <c r="AE13" s="46" t="s">
        <v>29</v>
      </c>
      <c r="AF13" s="46" t="s">
        <v>29</v>
      </c>
      <c r="AG13" s="46" t="s">
        <v>29</v>
      </c>
      <c r="AH13" s="46" t="s">
        <v>31</v>
      </c>
      <c r="AI13" s="46" t="s">
        <v>29</v>
      </c>
      <c r="AJ13" s="46">
        <f>=SUM(E14:AI14)</f>
      </c>
      <c r="AK13" s="46">
        <f>=+AY13</f>
      </c>
      <c r="AL13" s="46"/>
      <c r="AM13" s="1"/>
      <c r="AN13" s="1">
        <f>=COUNTIF(E13:AI13,"A")+COUNTIF(E13:AI13,"B")+COUNTIF(E13:AI13,"C")+COUNTIF(E13:AI13,"D")+COUNTIF(E13:AI13,"E")+COUNTIF(E13:AI13,"F")+COUNTIF(E13:AI13,"M")+COUNTIF(E13:AI13,"AB")+COUNTIF(E13:AI13,"UZ")+COUNTIF(E13:AI13,"G")+(COUNTIF(E13:AI13,"RT.")/2)+(COUNTIF(E13:AI13,"ÇRT.")/2)</f>
      </c>
      <c r="AO13" s="1">
        <f>=COUNTIF(E13:AI13,"O")</f>
      </c>
      <c r="AP13" s="1">
        <f>=COUNTIF(E13:AI13,"RT")+(COUNTIF(E13:AI13,"RT.")/2)</f>
      </c>
      <c r="AQ13" s="1">
        <f>=COUNTIF(E13:AI13,"ÇRT")+(COUNTIF(E13:AI13,"ÇRT.")/2)</f>
      </c>
      <c r="AR13" s="1">
        <f>=COUNTIF(E13:AI13,"ÇHT")</f>
      </c>
      <c r="AS13" s="1">
        <f>=COUNTIF(E13:AI13,"Ö")+COUNTIF(E13:AI13,"T")</f>
      </c>
      <c r="AT13" s="1">
        <f>=COUNTIF(E13:AI13,"Y")</f>
      </c>
      <c r="AU13" s="1">
        <f>=COUNTIF(E13:AI13,"R.")</f>
      </c>
      <c r="AV13" s="1">
        <f>=COUNTIF(E13:AI13,"Ü")</f>
      </c>
      <c r="AW13" s="1">
        <f>=COUNTIF(E13:AI13,"R")</f>
      </c>
      <c r="AX13" s="1">
        <f>=COUNTIF(E13:AI13,"DV")</f>
      </c>
      <c r="AY13" s="1">
        <f>=+AN13+AO13+AP13+AQ13+AR13+AS13+AT13+AU13</f>
      </c>
    </row>
    <row r="14" ht="16" customHeight="1" spans="1:51" x14ac:dyDescent="0.25">
      <c r="A14" s="46"/>
      <c r="B14" s="46"/>
      <c r="C14" s="46"/>
      <c r="D14" s="46" t="s">
        <v>32</v>
      </c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ht="16" customHeight="1" spans="1:51" x14ac:dyDescent="0.25">
      <c r="A15" s="46">
        <v>4</v>
      </c>
      <c r="B15" s="46" t="s">
        <v>39</v>
      </c>
      <c r="C15" s="46" t="s">
        <v>40</v>
      </c>
      <c r="D15" s="46" t="s">
        <v>28</v>
      </c>
      <c r="E15" s="46" t="s">
        <v>29</v>
      </c>
      <c r="F15" s="46" t="s">
        <v>29</v>
      </c>
      <c r="G15" s="46" t="s">
        <v>30</v>
      </c>
      <c r="H15" s="46" t="s">
        <v>29</v>
      </c>
      <c r="I15" s="46" t="s">
        <v>29</v>
      </c>
      <c r="J15" s="46" t="s">
        <v>29</v>
      </c>
      <c r="K15" s="46" t="s">
        <v>29</v>
      </c>
      <c r="L15" s="46" t="s">
        <v>29</v>
      </c>
      <c r="M15" s="46" t="s">
        <v>29</v>
      </c>
      <c r="N15" s="46" t="s">
        <v>30</v>
      </c>
      <c r="O15" s="46" t="s">
        <v>29</v>
      </c>
      <c r="P15" s="46" t="s">
        <v>29</v>
      </c>
      <c r="Q15" s="46" t="s">
        <v>29</v>
      </c>
      <c r="R15" s="46" t="s">
        <v>29</v>
      </c>
      <c r="S15" s="46" t="s">
        <v>29</v>
      </c>
      <c r="T15" s="46" t="s">
        <v>29</v>
      </c>
      <c r="U15" s="46" t="s">
        <v>29</v>
      </c>
      <c r="V15" s="46" t="s">
        <v>30</v>
      </c>
      <c r="W15" s="46" t="s">
        <v>29</v>
      </c>
      <c r="X15" s="46" t="s">
        <v>29</v>
      </c>
      <c r="Y15" s="46" t="s">
        <v>29</v>
      </c>
      <c r="Z15" s="46" t="s">
        <v>29</v>
      </c>
      <c r="AA15" s="46" t="s">
        <v>29</v>
      </c>
      <c r="AB15" s="46" t="s">
        <v>30</v>
      </c>
      <c r="AC15" s="46" t="s">
        <v>29</v>
      </c>
      <c r="AD15" s="46" t="s">
        <v>29</v>
      </c>
      <c r="AE15" s="46" t="s">
        <v>29</v>
      </c>
      <c r="AF15" s="46" t="s">
        <v>29</v>
      </c>
      <c r="AG15" s="46" t="s">
        <v>41</v>
      </c>
      <c r="AH15" s="46" t="s">
        <v>31</v>
      </c>
      <c r="AI15" s="46" t="s">
        <v>30</v>
      </c>
      <c r="AJ15" s="46">
        <f>=SUM(E16:AI16)</f>
      </c>
      <c r="AK15" s="46">
        <f>=+AY15</f>
      </c>
      <c r="AL15" s="46"/>
      <c r="AM15" s="1"/>
      <c r="AN15" s="1">
        <f>=COUNTIF(E15:AI15,"A")+COUNTIF(E15:AI15,"B")+COUNTIF(E15:AI15,"C")+COUNTIF(E15:AI15,"D")+COUNTIF(E15:AI15,"E")+COUNTIF(E15:AI15,"F")+COUNTIF(E15:AI15,"M")+COUNTIF(E15:AI15,"AB")+COUNTIF(E15:AI15,"UZ")+COUNTIF(E15:AI15,"G")+(COUNTIF(E15:AI15,"RT.")/2)+(COUNTIF(E15:AI15,"ÇRT.")/2)</f>
      </c>
      <c r="AO15" s="1">
        <f>=COUNTIF(E15:AI15,"O")</f>
      </c>
      <c r="AP15" s="1">
        <f>=COUNTIF(E15:AI15,"RT")+(COUNTIF(E15:AI15,"RT.")/2)</f>
      </c>
      <c r="AQ15" s="1">
        <f>=COUNTIF(E15:AI15,"ÇRT")+(COUNTIF(E15:AI15,"ÇRT.")/2)</f>
      </c>
      <c r="AR15" s="1">
        <f>=COUNTIF(E15:AI15,"ÇHT")</f>
      </c>
      <c r="AS15" s="1">
        <f>=COUNTIF(E15:AI15,"Ö")+COUNTIF(E15:AI15,"T")</f>
      </c>
      <c r="AT15" s="1">
        <f>=COUNTIF(E15:AI15,"Y")</f>
      </c>
      <c r="AU15" s="1">
        <f>=COUNTIF(E15:AI15,"R.")</f>
      </c>
      <c r="AV15" s="1">
        <f>=COUNTIF(E15:AI15,"Ü")</f>
      </c>
      <c r="AW15" s="1">
        <f>=COUNTIF(E15:AI15,"R")</f>
      </c>
      <c r="AX15" s="1">
        <f>=COUNTIF(E15:AI15,"DV")</f>
      </c>
      <c r="AY15" s="1">
        <f>=+AN15+AO15+AP15+AQ15+AR15+AS15+AT15+AU15</f>
      </c>
    </row>
    <row r="16" ht="16" customHeight="1" spans="1:51" x14ac:dyDescent="0.25">
      <c r="A16" s="46"/>
      <c r="B16" s="46"/>
      <c r="C16" s="46"/>
      <c r="D16" s="46" t="s">
        <v>32</v>
      </c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>
        <v>2</v>
      </c>
      <c r="AG16" s="46">
        <v>1</v>
      </c>
      <c r="AH16" s="46"/>
      <c r="AI16" s="46"/>
      <c r="AJ16" s="46"/>
      <c r="AK16" s="46"/>
      <c r="AL16" s="46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ht="16" customHeight="1" spans="1:51" x14ac:dyDescent="0.25">
      <c r="A17" s="46">
        <v>5</v>
      </c>
      <c r="B17" s="46" t="s">
        <v>42</v>
      </c>
      <c r="C17" s="46" t="s">
        <v>43</v>
      </c>
      <c r="D17" s="46" t="s">
        <v>28</v>
      </c>
      <c r="E17" s="46" t="s">
        <v>30</v>
      </c>
      <c r="F17" s="46" t="s">
        <v>41</v>
      </c>
      <c r="G17" s="46" t="s">
        <v>41</v>
      </c>
      <c r="H17" s="46" t="s">
        <v>41</v>
      </c>
      <c r="I17" s="46" t="s">
        <v>41</v>
      </c>
      <c r="J17" s="46" t="s">
        <v>41</v>
      </c>
      <c r="K17" s="46" t="s">
        <v>41</v>
      </c>
      <c r="L17" s="46" t="s">
        <v>29</v>
      </c>
      <c r="M17" s="46" t="s">
        <v>30</v>
      </c>
      <c r="N17" s="46" t="s">
        <v>29</v>
      </c>
      <c r="O17" s="46" t="s">
        <v>41</v>
      </c>
      <c r="P17" s="46" t="s">
        <v>41</v>
      </c>
      <c r="Q17" s="46" t="s">
        <v>41</v>
      </c>
      <c r="R17" s="46" t="s">
        <v>41</v>
      </c>
      <c r="S17" s="46" t="s">
        <v>41</v>
      </c>
      <c r="T17" s="46" t="s">
        <v>30</v>
      </c>
      <c r="U17" s="46" t="s">
        <v>41</v>
      </c>
      <c r="V17" s="46" t="s">
        <v>41</v>
      </c>
      <c r="W17" s="46" t="s">
        <v>41</v>
      </c>
      <c r="X17" s="46" t="s">
        <v>41</v>
      </c>
      <c r="Y17" s="46" t="s">
        <v>41</v>
      </c>
      <c r="Z17" s="46" t="s">
        <v>41</v>
      </c>
      <c r="AA17" s="46" t="s">
        <v>41</v>
      </c>
      <c r="AB17" s="46" t="s">
        <v>30</v>
      </c>
      <c r="AC17" s="46" t="s">
        <v>41</v>
      </c>
      <c r="AD17" s="46" t="s">
        <v>29</v>
      </c>
      <c r="AE17" s="46" t="s">
        <v>29</v>
      </c>
      <c r="AF17" s="46" t="s">
        <v>29</v>
      </c>
      <c r="AG17" s="46" t="s">
        <v>29</v>
      </c>
      <c r="AH17" s="46" t="s">
        <v>44</v>
      </c>
      <c r="AI17" s="46" t="s">
        <v>29</v>
      </c>
      <c r="AJ17" s="46">
        <f>=SUM(E18:AI18)</f>
      </c>
      <c r="AK17" s="46">
        <f>=+AY17</f>
      </c>
      <c r="AL17" s="46"/>
      <c r="AM17" s="1"/>
      <c r="AN17" s="1">
        <f>=COUNTIF(E17:AI17,"A")+COUNTIF(E17:AI17,"B")+COUNTIF(E17:AI17,"C")+COUNTIF(E17:AI17,"D")+COUNTIF(E17:AI17,"E")+COUNTIF(E17:AI17,"F")+COUNTIF(E17:AI17,"M")+COUNTIF(E17:AI17,"AB")+COUNTIF(E17:AI17,"UZ")+COUNTIF(E17:AI17,"G")+(COUNTIF(E17:AI17,"RT.")/2)+(COUNTIF(E17:AI17,"ÇRT.")/2)</f>
      </c>
      <c r="AO17" s="1">
        <f>=COUNTIF(E17:AI17,"O")</f>
      </c>
      <c r="AP17" s="1">
        <f>=COUNTIF(E17:AI17,"RT")+(COUNTIF(E17:AI17,"RT.")/2)</f>
      </c>
      <c r="AQ17" s="1">
        <f>=COUNTIF(E17:AI17,"ÇRT")+(COUNTIF(E17:AI17,"ÇRT.")/2)</f>
      </c>
      <c r="AR17" s="1">
        <f>=COUNTIF(E17:AI17,"ÇHT")</f>
      </c>
      <c r="AS17" s="1">
        <f>=COUNTIF(E17:AI17,"Ö")+COUNTIF(E17:AI17,"T")</f>
      </c>
      <c r="AT17" s="1">
        <f>=COUNTIF(E17:AI17,"Y")</f>
      </c>
      <c r="AU17" s="1">
        <f>=COUNTIF(E17:AI17,"R.")</f>
      </c>
      <c r="AV17" s="1">
        <f>=COUNTIF(E17:AI17,"Ü")</f>
      </c>
      <c r="AW17" s="1">
        <f>=COUNTIF(E17:AI17,"R")</f>
      </c>
      <c r="AX17" s="1">
        <f>=COUNTIF(E17:AI17,"DV")</f>
      </c>
      <c r="AY17" s="1">
        <f>=+AN17+AO17+AP17+AQ17+AR17+AS17+AT17+AU17</f>
      </c>
    </row>
    <row r="18" ht="16" customHeight="1" spans="1:51" x14ac:dyDescent="0.25">
      <c r="A18" s="46"/>
      <c r="B18" s="46"/>
      <c r="C18" s="46"/>
      <c r="D18" s="46" t="s">
        <v>32</v>
      </c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ht="16" customHeight="1" spans="1:51" x14ac:dyDescent="0.25">
      <c r="A19" s="46">
        <v>6</v>
      </c>
      <c r="B19" s="46" t="s">
        <v>45</v>
      </c>
      <c r="C19" s="46" t="s">
        <v>46</v>
      </c>
      <c r="D19" s="46" t="s">
        <v>28</v>
      </c>
      <c r="E19" s="46" t="s">
        <v>29</v>
      </c>
      <c r="F19" s="46" t="s">
        <v>29</v>
      </c>
      <c r="G19" s="46" t="s">
        <v>29</v>
      </c>
      <c r="H19" s="46" t="s">
        <v>29</v>
      </c>
      <c r="I19" s="46" t="s">
        <v>30</v>
      </c>
      <c r="J19" s="46" t="s">
        <v>29</v>
      </c>
      <c r="K19" s="46" t="s">
        <v>29</v>
      </c>
      <c r="L19" s="46" t="s">
        <v>29</v>
      </c>
      <c r="M19" s="46" t="s">
        <v>29</v>
      </c>
      <c r="N19" s="46" t="s">
        <v>29</v>
      </c>
      <c r="O19" s="46" t="s">
        <v>29</v>
      </c>
      <c r="P19" s="46" t="s">
        <v>30</v>
      </c>
      <c r="Q19" s="46" t="s">
        <v>29</v>
      </c>
      <c r="R19" s="46" t="s">
        <v>29</v>
      </c>
      <c r="S19" s="46" t="s">
        <v>29</v>
      </c>
      <c r="T19" s="46" t="s">
        <v>29</v>
      </c>
      <c r="U19" s="46" t="s">
        <v>29</v>
      </c>
      <c r="V19" s="46" t="s">
        <v>29</v>
      </c>
      <c r="W19" s="46" t="s">
        <v>30</v>
      </c>
      <c r="X19" s="46" t="s">
        <v>29</v>
      </c>
      <c r="Y19" s="46" t="s">
        <v>47</v>
      </c>
      <c r="Z19" s="46" t="s">
        <v>47</v>
      </c>
      <c r="AA19" s="46" t="s">
        <v>29</v>
      </c>
      <c r="AB19" s="46" t="s">
        <v>29</v>
      </c>
      <c r="AC19" s="46" t="s">
        <v>29</v>
      </c>
      <c r="AD19" s="46" t="s">
        <v>30</v>
      </c>
      <c r="AE19" s="46" t="s">
        <v>29</v>
      </c>
      <c r="AF19" s="46" t="s">
        <v>29</v>
      </c>
      <c r="AG19" s="46" t="s">
        <v>29</v>
      </c>
      <c r="AH19" s="46" t="s">
        <v>31</v>
      </c>
      <c r="AI19" s="46" t="s">
        <v>29</v>
      </c>
      <c r="AJ19" s="46">
        <f>=SUM(E20:AI20)</f>
      </c>
      <c r="AK19" s="46">
        <f>=+AY19</f>
      </c>
      <c r="AL19" s="46"/>
      <c r="AM19" s="1"/>
      <c r="AN19" s="1">
        <f>=COUNTIF(E19:AI19,"A")+COUNTIF(E19:AI19,"B")+COUNTIF(E19:AI19,"C")+COUNTIF(E19:AI19,"D")+COUNTIF(E19:AI19,"E")+COUNTIF(E19:AI19,"F")+COUNTIF(E19:AI19,"M")+COUNTIF(E19:AI19,"AB")+COUNTIF(E19:AI19,"UZ")+COUNTIF(E19:AI19,"G")+(COUNTIF(E19:AI19,"RT.")/2)+(COUNTIF(E19:AI19,"ÇRT.")/2)</f>
      </c>
      <c r="AO19" s="1">
        <f>=COUNTIF(E19:AI19,"O")</f>
      </c>
      <c r="AP19" s="1">
        <f>=COUNTIF(E19:AI19,"RT")+(COUNTIF(E19:AI19,"RT.")/2)</f>
      </c>
      <c r="AQ19" s="1">
        <f>=COUNTIF(E19:AI19,"ÇRT")+(COUNTIF(E19:AI19,"ÇRT.")/2)</f>
      </c>
      <c r="AR19" s="1">
        <f>=COUNTIF(E19:AI19,"ÇHT")</f>
      </c>
      <c r="AS19" s="1">
        <f>=COUNTIF(E19:AI19,"Ö")+COUNTIF(E19:AI19,"T")</f>
      </c>
      <c r="AT19" s="1">
        <f>=COUNTIF(E19:AI19,"Y")</f>
      </c>
      <c r="AU19" s="1">
        <f>=COUNTIF(E19:AI19,"R.")</f>
      </c>
      <c r="AV19" s="1">
        <f>=COUNTIF(E19:AI19,"Ü")</f>
      </c>
      <c r="AW19" s="1">
        <f>=COUNTIF(E19:AI19,"R")</f>
      </c>
      <c r="AX19" s="1">
        <f>=COUNTIF(E19:AI19,"DV")</f>
      </c>
      <c r="AY19" s="1">
        <f>=+AN19+AO19+AP19+AQ19+AR19+AS19+AT19+AU19</f>
      </c>
    </row>
    <row r="20" ht="16" customHeight="1" spans="1:51" x14ac:dyDescent="0.25">
      <c r="A20" s="46"/>
      <c r="B20" s="46"/>
      <c r="C20" s="46"/>
      <c r="D20" s="46" t="s">
        <v>32</v>
      </c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>
        <v>3</v>
      </c>
      <c r="AH20" s="46">
        <v>2</v>
      </c>
      <c r="AI20" s="46"/>
      <c r="AJ20" s="46"/>
      <c r="AK20" s="46"/>
      <c r="AL20" s="46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ht="16" customHeight="1" spans="1:51" x14ac:dyDescent="0.25">
      <c r="A21" s="46">
        <v>7</v>
      </c>
      <c r="B21" s="46" t="s">
        <v>48</v>
      </c>
      <c r="C21" s="46" t="s">
        <v>49</v>
      </c>
      <c r="D21" s="46" t="s">
        <v>28</v>
      </c>
      <c r="E21" s="46" t="s">
        <v>50</v>
      </c>
      <c r="F21" s="46" t="s">
        <v>50</v>
      </c>
      <c r="G21" s="46" t="s">
        <v>50</v>
      </c>
      <c r="H21" s="46" t="s">
        <v>50</v>
      </c>
      <c r="I21" s="46" t="s">
        <v>50</v>
      </c>
      <c r="J21" s="46" t="s">
        <v>30</v>
      </c>
      <c r="K21" s="46" t="s">
        <v>50</v>
      </c>
      <c r="L21" s="46" t="s">
        <v>50</v>
      </c>
      <c r="M21" s="46" t="s">
        <v>50</v>
      </c>
      <c r="N21" s="46" t="s">
        <v>50</v>
      </c>
      <c r="O21" s="46" t="s">
        <v>50</v>
      </c>
      <c r="P21" s="46" t="s">
        <v>50</v>
      </c>
      <c r="Q21" s="46" t="s">
        <v>30</v>
      </c>
      <c r="R21" s="46" t="s">
        <v>50</v>
      </c>
      <c r="S21" s="46" t="s">
        <v>50</v>
      </c>
      <c r="T21" s="46" t="s">
        <v>50</v>
      </c>
      <c r="U21" s="46" t="s">
        <v>50</v>
      </c>
      <c r="V21" s="46" t="s">
        <v>50</v>
      </c>
      <c r="W21" s="46" t="s">
        <v>50</v>
      </c>
      <c r="X21" s="46" t="s">
        <v>30</v>
      </c>
      <c r="Y21" s="46" t="s">
        <v>50</v>
      </c>
      <c r="Z21" s="46" t="s">
        <v>50</v>
      </c>
      <c r="AA21" s="46" t="s">
        <v>50</v>
      </c>
      <c r="AB21" s="46" t="s">
        <v>50</v>
      </c>
      <c r="AC21" s="46" t="s">
        <v>50</v>
      </c>
      <c r="AD21" s="46" t="s">
        <v>50</v>
      </c>
      <c r="AE21" s="46" t="s">
        <v>50</v>
      </c>
      <c r="AF21" s="46" t="s">
        <v>30</v>
      </c>
      <c r="AG21" s="46" t="s">
        <v>50</v>
      </c>
      <c r="AH21" s="46" t="s">
        <v>31</v>
      </c>
      <c r="AI21" s="46" t="s">
        <v>50</v>
      </c>
      <c r="AJ21" s="46">
        <f>=SUM(E22:AI22)</f>
      </c>
      <c r="AK21" s="46">
        <f>=+AY21</f>
      </c>
      <c r="AL21" s="46"/>
      <c r="AM21" s="1"/>
      <c r="AN21" s="1">
        <f>=COUNTIF(E21:AI21,"A")+COUNTIF(E21:AI21,"B")+COUNTIF(E21:AI21,"C")+COUNTIF(E21:AI21,"D")+COUNTIF(E21:AI21,"E")+COUNTIF(E21:AI21,"F")+COUNTIF(E21:AI21,"M")+COUNTIF(E21:AI21,"AB")+COUNTIF(E21:AI21,"UZ")+COUNTIF(E21:AI21,"G")+(COUNTIF(E21:AI21,"RT.")/2)+(COUNTIF(E21:AI21,"ÇRT.")/2)</f>
      </c>
      <c r="AO21" s="1">
        <f>=COUNTIF(E21:AI21,"O")</f>
      </c>
      <c r="AP21" s="1">
        <f>=COUNTIF(E21:AI21,"RT")+(COUNTIF(E21:AI21,"RT.")/2)</f>
      </c>
      <c r="AQ21" s="1">
        <f>=COUNTIF(E21:AI21,"ÇRT")+(COUNTIF(E21:AI21,"ÇRT.")/2)</f>
      </c>
      <c r="AR21" s="1">
        <f>=COUNTIF(E21:AI21,"ÇHT")</f>
      </c>
      <c r="AS21" s="1">
        <f>=COUNTIF(E21:AI21,"Ö")+COUNTIF(E21:AI21,"T")</f>
      </c>
      <c r="AT21" s="1">
        <f>=COUNTIF(E21:AI21,"Y")</f>
      </c>
      <c r="AU21" s="1">
        <f>=COUNTIF(E21:AI21,"R.")</f>
      </c>
      <c r="AV21" s="1">
        <f>=COUNTIF(E21:AI21,"Ü")</f>
      </c>
      <c r="AW21" s="1">
        <f>=COUNTIF(E21:AI21,"R")</f>
      </c>
      <c r="AX21" s="1">
        <f>=COUNTIF(E21:AI21,"DV")</f>
      </c>
      <c r="AY21" s="1">
        <f>=+AN21+AO21+AP21+AQ21+AR21+AS21+AT21+AU21</f>
      </c>
    </row>
    <row r="22" ht="16" customHeight="1" spans="1:51" x14ac:dyDescent="0.25">
      <c r="A22" s="46"/>
      <c r="B22" s="46"/>
      <c r="C22" s="46"/>
      <c r="D22" s="46" t="s">
        <v>32</v>
      </c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ht="16" customHeight="1" spans="1:51" x14ac:dyDescent="0.25">
      <c r="A23" s="46">
        <v>8</v>
      </c>
      <c r="B23" s="46" t="s">
        <v>51</v>
      </c>
      <c r="C23" s="46" t="s">
        <v>52</v>
      </c>
      <c r="D23" s="46" t="s">
        <v>28</v>
      </c>
      <c r="E23" s="46" t="s">
        <v>29</v>
      </c>
      <c r="F23" s="46" t="s">
        <v>29</v>
      </c>
      <c r="G23" s="46" t="s">
        <v>29</v>
      </c>
      <c r="H23" s="46" t="s">
        <v>30</v>
      </c>
      <c r="I23" s="46" t="s">
        <v>53</v>
      </c>
      <c r="J23" s="46" t="s">
        <v>53</v>
      </c>
      <c r="K23" s="46" t="s">
        <v>53</v>
      </c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>
        <f>=SUM(E24:AI24)</f>
      </c>
      <c r="AK23" s="46">
        <f>=+AY23</f>
      </c>
      <c r="AL23" s="46"/>
      <c r="AM23" s="1"/>
      <c r="AN23" s="1">
        <f>=COUNTIF(E23:AI23,"A")+COUNTIF(E23:AI23,"B")+COUNTIF(E23:AI23,"C")+COUNTIF(E23:AI23,"D")+COUNTIF(E23:AI23,"E")+COUNTIF(E23:AI23,"F")+COUNTIF(E23:AI23,"M")+COUNTIF(E23:AI23,"AB")+COUNTIF(E23:AI23,"UZ")+COUNTIF(E23:AI23,"G")+(COUNTIF(E23:AI23,"RT.")/2)+(COUNTIF(E23:AI23,"ÇRT.")/2)</f>
      </c>
      <c r="AO23" s="1">
        <f>=COUNTIF(E23:AI23,"O")</f>
      </c>
      <c r="AP23" s="1">
        <f>=COUNTIF(E23:AI23,"RT")+(COUNTIF(E23:AI23,"RT.")/2)</f>
      </c>
      <c r="AQ23" s="1">
        <f>=COUNTIF(E23:AI23,"ÇRT")+(COUNTIF(E23:AI23,"ÇRT.")/2)</f>
      </c>
      <c r="AR23" s="1">
        <f>=COUNTIF(E23:AI23,"ÇHT")</f>
      </c>
      <c r="AS23" s="1">
        <f>=COUNTIF(E23:AI23,"Ö")+COUNTIF(E23:AI23,"T")</f>
      </c>
      <c r="AT23" s="1">
        <f>=COUNTIF(E23:AI23,"Y")</f>
      </c>
      <c r="AU23" s="1">
        <f>=COUNTIF(E23:AI23,"R.")</f>
      </c>
      <c r="AV23" s="1">
        <f>=COUNTIF(E23:AI23,"Ü")</f>
      </c>
      <c r="AW23" s="1">
        <f>=COUNTIF(E23:AI23,"R")</f>
      </c>
      <c r="AX23" s="1">
        <f>=COUNTIF(E23:AI23,"DV")</f>
      </c>
      <c r="AY23" s="1">
        <f>=+AN23+AO23+AP23+AQ23+AR23+AS23+AT23+AU23</f>
      </c>
    </row>
    <row r="24" ht="16" customHeight="1" spans="1:51" x14ac:dyDescent="0.25">
      <c r="A24" s="46"/>
      <c r="B24" s="46"/>
      <c r="C24" s="46"/>
      <c r="D24" s="46" t="s">
        <v>32</v>
      </c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ht="16" customHeight="1" spans="1:51" x14ac:dyDescent="0.25">
      <c r="A25" s="46">
        <v>9</v>
      </c>
      <c r="B25" s="46" t="s">
        <v>54</v>
      </c>
      <c r="C25" s="46" t="s">
        <v>55</v>
      </c>
      <c r="D25" s="46" t="s">
        <v>28</v>
      </c>
      <c r="E25" s="46" t="s">
        <v>29</v>
      </c>
      <c r="F25" s="46" t="s">
        <v>30</v>
      </c>
      <c r="G25" s="46" t="s">
        <v>29</v>
      </c>
      <c r="H25" s="46" t="s">
        <v>29</v>
      </c>
      <c r="I25" s="46" t="s">
        <v>29</v>
      </c>
      <c r="J25" s="46" t="s">
        <v>29</v>
      </c>
      <c r="K25" s="46" t="s">
        <v>29</v>
      </c>
      <c r="L25" s="46" t="s">
        <v>29</v>
      </c>
      <c r="M25" s="46" t="s">
        <v>30</v>
      </c>
      <c r="N25" s="46" t="s">
        <v>29</v>
      </c>
      <c r="O25" s="46" t="s">
        <v>29</v>
      </c>
      <c r="P25" s="46" t="s">
        <v>29</v>
      </c>
      <c r="Q25" s="46" t="s">
        <v>29</v>
      </c>
      <c r="R25" s="46" t="s">
        <v>29</v>
      </c>
      <c r="S25" s="46" t="s">
        <v>29</v>
      </c>
      <c r="T25" s="46" t="s">
        <v>30</v>
      </c>
      <c r="U25" s="46" t="s">
        <v>29</v>
      </c>
      <c r="V25" s="46" t="s">
        <v>29</v>
      </c>
      <c r="W25" s="46" t="s">
        <v>29</v>
      </c>
      <c r="X25" s="46" t="s">
        <v>29</v>
      </c>
      <c r="Y25" s="46" t="s">
        <v>29</v>
      </c>
      <c r="Z25" s="46" t="s">
        <v>35</v>
      </c>
      <c r="AA25" s="46" t="s">
        <v>30</v>
      </c>
      <c r="AB25" s="46" t="s">
        <v>29</v>
      </c>
      <c r="AC25" s="46" t="s">
        <v>29</v>
      </c>
      <c r="AD25" s="46" t="s">
        <v>29</v>
      </c>
      <c r="AE25" s="46" t="s">
        <v>29</v>
      </c>
      <c r="AF25" s="46" t="s">
        <v>29</v>
      </c>
      <c r="AG25" s="46" t="s">
        <v>29</v>
      </c>
      <c r="AH25" s="46" t="s">
        <v>30</v>
      </c>
      <c r="AI25" s="46" t="s">
        <v>29</v>
      </c>
      <c r="AJ25" s="46">
        <f>=SUM(E26:AI26)</f>
      </c>
      <c r="AK25" s="46">
        <f>=+AY25</f>
      </c>
      <c r="AL25" s="46"/>
      <c r="AM25" s="1"/>
      <c r="AN25" s="1">
        <f>=COUNTIF(E25:AI25,"A")+COUNTIF(E25:AI25,"B")+COUNTIF(E25:AI25,"C")+COUNTIF(E25:AI25,"D")+COUNTIF(E25:AI25,"E")+COUNTIF(E25:AI25,"F")+COUNTIF(E25:AI25,"M")+COUNTIF(E25:AI25,"AB")+COUNTIF(E25:AI25,"UZ")+COUNTIF(E25:AI25,"G")+(COUNTIF(E25:AI25,"RT.")/2)+(COUNTIF(E25:AI25,"ÇRT.")/2)</f>
      </c>
      <c r="AO25" s="1">
        <f>=COUNTIF(E25:AI25,"O")</f>
      </c>
      <c r="AP25" s="1">
        <f>=COUNTIF(E25:AI25,"RT")+(COUNTIF(E25:AI25,"RT.")/2)</f>
      </c>
      <c r="AQ25" s="1">
        <f>=COUNTIF(E25:AI25,"ÇRT")+(COUNTIF(E25:AI25,"ÇRT.")/2)</f>
      </c>
      <c r="AR25" s="1">
        <f>=COUNTIF(E25:AI25,"ÇHT")</f>
      </c>
      <c r="AS25" s="1">
        <f>=COUNTIF(E25:AI25,"Ö")+COUNTIF(E25:AI25,"T")</f>
      </c>
      <c r="AT25" s="1">
        <f>=COUNTIF(E25:AI25,"Y")</f>
      </c>
      <c r="AU25" s="1">
        <f>=COUNTIF(E25:AI25,"R.")</f>
      </c>
      <c r="AV25" s="1">
        <f>=COUNTIF(E25:AI25,"Ü")</f>
      </c>
      <c r="AW25" s="1">
        <f>=COUNTIF(E25:AI25,"R")</f>
      </c>
      <c r="AX25" s="1">
        <f>=COUNTIF(E25:AI25,"DV")</f>
      </c>
      <c r="AY25" s="1">
        <f>=+AN25+AO25+AP25+AQ25+AR25+AS25+AT25+AU25</f>
      </c>
    </row>
    <row r="26" ht="16" customHeight="1" spans="1:51" x14ac:dyDescent="0.25">
      <c r="A26" s="46"/>
      <c r="B26" s="46"/>
      <c r="C26" s="46"/>
      <c r="D26" s="46" t="s">
        <v>32</v>
      </c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ht="16" customHeight="1" spans="1:51" x14ac:dyDescent="0.25">
      <c r="A27" s="46">
        <v>10</v>
      </c>
      <c r="B27" s="46" t="s">
        <v>56</v>
      </c>
      <c r="C27" s="46" t="s">
        <v>57</v>
      </c>
      <c r="D27" s="46" t="s">
        <v>28</v>
      </c>
      <c r="E27" s="46" t="s">
        <v>29</v>
      </c>
      <c r="F27" s="46" t="s">
        <v>29</v>
      </c>
      <c r="G27" s="46" t="s">
        <v>29</v>
      </c>
      <c r="H27" s="46" t="s">
        <v>29</v>
      </c>
      <c r="I27" s="46" t="s">
        <v>30</v>
      </c>
      <c r="J27" s="46" t="s">
        <v>29</v>
      </c>
      <c r="K27" s="46" t="s">
        <v>29</v>
      </c>
      <c r="L27" s="46" t="s">
        <v>29</v>
      </c>
      <c r="M27" s="46" t="s">
        <v>29</v>
      </c>
      <c r="N27" s="46" t="s">
        <v>29</v>
      </c>
      <c r="O27" s="46" t="s">
        <v>29</v>
      </c>
      <c r="P27" s="46" t="s">
        <v>30</v>
      </c>
      <c r="Q27" s="46" t="s">
        <v>29</v>
      </c>
      <c r="R27" s="46" t="s">
        <v>29</v>
      </c>
      <c r="S27" s="46" t="s">
        <v>29</v>
      </c>
      <c r="T27" s="46" t="s">
        <v>29</v>
      </c>
      <c r="U27" s="46" t="s">
        <v>29</v>
      </c>
      <c r="V27" s="46" t="s">
        <v>29</v>
      </c>
      <c r="W27" s="46" t="s">
        <v>30</v>
      </c>
      <c r="X27" s="46" t="s">
        <v>29</v>
      </c>
      <c r="Y27" s="46" t="s">
        <v>29</v>
      </c>
      <c r="Z27" s="46" t="s">
        <v>29</v>
      </c>
      <c r="AA27" s="46" t="s">
        <v>29</v>
      </c>
      <c r="AB27" s="46" t="s">
        <v>29</v>
      </c>
      <c r="AC27" s="46" t="s">
        <v>29</v>
      </c>
      <c r="AD27" s="46" t="s">
        <v>30</v>
      </c>
      <c r="AE27" s="46" t="s">
        <v>29</v>
      </c>
      <c r="AF27" s="46" t="s">
        <v>29</v>
      </c>
      <c r="AG27" s="46" t="s">
        <v>29</v>
      </c>
      <c r="AH27" s="46" t="s">
        <v>31</v>
      </c>
      <c r="AI27" s="46" t="s">
        <v>29</v>
      </c>
      <c r="AJ27" s="46">
        <f>=SUM(E28:AI28)</f>
      </c>
      <c r="AK27" s="46">
        <f>=+AY27</f>
      </c>
      <c r="AL27" s="46"/>
      <c r="AM27" s="1"/>
      <c r="AN27" s="1">
        <f>=COUNTIF(E27:AI27,"A")+COUNTIF(E27:AI27,"B")+COUNTIF(E27:AI27,"C")+COUNTIF(E27:AI27,"D")+COUNTIF(E27:AI27,"E")+COUNTIF(E27:AI27,"F")+COUNTIF(E27:AI27,"M")+COUNTIF(E27:AI27,"AB")+COUNTIF(E27:AI27,"UZ")+COUNTIF(E27:AI27,"G")+(COUNTIF(E27:AI27,"RT.")/2)+(COUNTIF(E27:AI27,"ÇRT.")/2)</f>
      </c>
      <c r="AO27" s="1">
        <f>=COUNTIF(E27:AI27,"O")</f>
      </c>
      <c r="AP27" s="1">
        <f>=COUNTIF(E27:AI27,"RT")+(COUNTIF(E27:AI27,"RT.")/2)</f>
      </c>
      <c r="AQ27" s="1">
        <f>=COUNTIF(E27:AI27,"ÇRT")+(COUNTIF(E27:AI27,"ÇRT.")/2)</f>
      </c>
      <c r="AR27" s="1">
        <f>=COUNTIF(E27:AI27,"ÇHT")</f>
      </c>
      <c r="AS27" s="1">
        <f>=COUNTIF(E27:AI27,"Ö")+COUNTIF(E27:AI27,"T")</f>
      </c>
      <c r="AT27" s="1">
        <f>=COUNTIF(E27:AI27,"Y")</f>
      </c>
      <c r="AU27" s="1">
        <f>=COUNTIF(E27:AI27,"R.")</f>
      </c>
      <c r="AV27" s="1">
        <f>=COUNTIF(E27:AI27,"Ü")</f>
      </c>
      <c r="AW27" s="1">
        <f>=COUNTIF(E27:AI27,"R")</f>
      </c>
      <c r="AX27" s="1">
        <f>=COUNTIF(E27:AI27,"DV")</f>
      </c>
      <c r="AY27" s="1">
        <f>=+AN27+AO27+AP27+AQ27+AR27+AS27+AT27+AU27</f>
      </c>
    </row>
    <row r="28" ht="16" customHeight="1" spans="1:51" x14ac:dyDescent="0.25">
      <c r="A28" s="46"/>
      <c r="B28" s="46"/>
      <c r="C28" s="46"/>
      <c r="D28" s="46" t="s">
        <v>32</v>
      </c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ht="16" customHeight="1" spans="1:51" x14ac:dyDescent="0.25">
      <c r="A29" s="46">
        <v>11</v>
      </c>
      <c r="B29" s="46" t="s">
        <v>58</v>
      </c>
      <c r="C29" s="46" t="s">
        <v>59</v>
      </c>
      <c r="D29" s="46" t="s">
        <v>28</v>
      </c>
      <c r="E29" s="46" t="s">
        <v>29</v>
      </c>
      <c r="F29" s="46" t="s">
        <v>29</v>
      </c>
      <c r="G29" s="46" t="s">
        <v>29</v>
      </c>
      <c r="H29" s="46" t="s">
        <v>30</v>
      </c>
      <c r="I29" s="46" t="s">
        <v>29</v>
      </c>
      <c r="J29" s="46" t="s">
        <v>29</v>
      </c>
      <c r="K29" s="46" t="s">
        <v>29</v>
      </c>
      <c r="L29" s="46" t="s">
        <v>29</v>
      </c>
      <c r="M29" s="46" t="s">
        <v>29</v>
      </c>
      <c r="N29" s="46" t="s">
        <v>29</v>
      </c>
      <c r="O29" s="46" t="s">
        <v>29</v>
      </c>
      <c r="P29" s="46" t="s">
        <v>30</v>
      </c>
      <c r="Q29" s="46" t="s">
        <v>29</v>
      </c>
      <c r="R29" s="46" t="s">
        <v>29</v>
      </c>
      <c r="S29" s="46" t="s">
        <v>29</v>
      </c>
      <c r="T29" s="46" t="s">
        <v>29</v>
      </c>
      <c r="U29" s="46" t="s">
        <v>29</v>
      </c>
      <c r="V29" s="46" t="s">
        <v>30</v>
      </c>
      <c r="W29" s="46" t="s">
        <v>29</v>
      </c>
      <c r="X29" s="46" t="s">
        <v>29</v>
      </c>
      <c r="Y29" s="46" t="s">
        <v>29</v>
      </c>
      <c r="Z29" s="46" t="s">
        <v>29</v>
      </c>
      <c r="AA29" s="46" t="s">
        <v>29</v>
      </c>
      <c r="AB29" s="46" t="s">
        <v>29</v>
      </c>
      <c r="AC29" s="46" t="s">
        <v>30</v>
      </c>
      <c r="AD29" s="46" t="s">
        <v>29</v>
      </c>
      <c r="AE29" s="46" t="s">
        <v>29</v>
      </c>
      <c r="AF29" s="46" t="s">
        <v>29</v>
      </c>
      <c r="AG29" s="46" t="s">
        <v>29</v>
      </c>
      <c r="AH29" s="46" t="s">
        <v>31</v>
      </c>
      <c r="AI29" s="46" t="s">
        <v>29</v>
      </c>
      <c r="AJ29" s="46">
        <f>=SUM(E30:AI30)</f>
      </c>
      <c r="AK29" s="46">
        <f>=+AY29</f>
      </c>
      <c r="AL29" s="46"/>
      <c r="AM29" s="1"/>
      <c r="AN29" s="1">
        <f>=COUNTIF(E29:AI29,"A")+COUNTIF(E29:AI29,"B")+COUNTIF(E29:AI29,"C")+COUNTIF(E29:AI29,"D")+COUNTIF(E29:AI29,"E")+COUNTIF(E29:AI29,"F")+COUNTIF(E29:AI29,"M")+COUNTIF(E29:AI29,"AB")+COUNTIF(E29:AI29,"UZ")+COUNTIF(E29:AI29,"G")+(COUNTIF(E29:AI29,"RT.")/2)+(COUNTIF(E29:AI29,"ÇRT.")/2)</f>
      </c>
      <c r="AO29" s="1">
        <f>=COUNTIF(E29:AI29,"O")</f>
      </c>
      <c r="AP29" s="1">
        <f>=COUNTIF(E29:AI29,"RT")+(COUNTIF(E29:AI29,"RT.")/2)</f>
      </c>
      <c r="AQ29" s="1">
        <f>=COUNTIF(E29:AI29,"ÇRT")+(COUNTIF(E29:AI29,"ÇRT.")/2)</f>
      </c>
      <c r="AR29" s="1">
        <f>=COUNTIF(E29:AI29,"ÇHT")</f>
      </c>
      <c r="AS29" s="1">
        <f>=COUNTIF(E29:AI29,"Ö")+COUNTIF(E29:AI29,"T")</f>
      </c>
      <c r="AT29" s="1">
        <f>=COUNTIF(E29:AI29,"Y")</f>
      </c>
      <c r="AU29" s="1">
        <f>=COUNTIF(E29:AI29,"R.")</f>
      </c>
      <c r="AV29" s="1">
        <f>=COUNTIF(E29:AI29,"Ü")</f>
      </c>
      <c r="AW29" s="1">
        <f>=COUNTIF(E29:AI29,"R")</f>
      </c>
      <c r="AX29" s="1">
        <f>=COUNTIF(E29:AI29,"DV")</f>
      </c>
      <c r="AY29" s="1">
        <f>=+AN29+AO29+AP29+AQ29+AR29+AS29+AT29+AU29</f>
      </c>
    </row>
    <row r="30" ht="16" customHeight="1" spans="1:51" x14ac:dyDescent="0.25">
      <c r="A30" s="46"/>
      <c r="B30" s="46"/>
      <c r="C30" s="46"/>
      <c r="D30" s="46" t="s">
        <v>32</v>
      </c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>
        <v>2</v>
      </c>
      <c r="AG30" s="46">
        <v>3</v>
      </c>
      <c r="AH30" s="46">
        <v>2</v>
      </c>
      <c r="AI30" s="46"/>
      <c r="AJ30" s="46"/>
      <c r="AK30" s="46"/>
      <c r="AL30" s="46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ht="16" customHeight="1" spans="1:51" x14ac:dyDescent="0.25">
      <c r="A31" s="46">
        <v>12</v>
      </c>
      <c r="B31" s="46" t="s">
        <v>60</v>
      </c>
      <c r="C31" s="46" t="s">
        <v>61</v>
      </c>
      <c r="D31" s="46" t="s">
        <v>28</v>
      </c>
      <c r="E31" s="46" t="s">
        <v>50</v>
      </c>
      <c r="F31" s="46" t="s">
        <v>30</v>
      </c>
      <c r="G31" s="46" t="s">
        <v>50</v>
      </c>
      <c r="H31" s="46" t="s">
        <v>50</v>
      </c>
      <c r="I31" s="46" t="s">
        <v>50</v>
      </c>
      <c r="J31" s="46" t="s">
        <v>50</v>
      </c>
      <c r="K31" s="46" t="s">
        <v>50</v>
      </c>
      <c r="L31" s="46" t="s">
        <v>50</v>
      </c>
      <c r="M31" s="46" t="s">
        <v>30</v>
      </c>
      <c r="N31" s="46" t="s">
        <v>50</v>
      </c>
      <c r="O31" s="46" t="s">
        <v>50</v>
      </c>
      <c r="P31" s="46" t="s">
        <v>50</v>
      </c>
      <c r="Q31" s="46" t="s">
        <v>50</v>
      </c>
      <c r="R31" s="46" t="s">
        <v>50</v>
      </c>
      <c r="S31" s="46" t="s">
        <v>50</v>
      </c>
      <c r="T31" s="46" t="s">
        <v>30</v>
      </c>
      <c r="U31" s="46" t="s">
        <v>50</v>
      </c>
      <c r="V31" s="46" t="s">
        <v>50</v>
      </c>
      <c r="W31" s="46" t="s">
        <v>50</v>
      </c>
      <c r="X31" s="46" t="s">
        <v>50</v>
      </c>
      <c r="Y31" s="46" t="s">
        <v>30</v>
      </c>
      <c r="Z31" s="46" t="s">
        <v>50</v>
      </c>
      <c r="AA31" s="46" t="s">
        <v>50</v>
      </c>
      <c r="AB31" s="46" t="s">
        <v>50</v>
      </c>
      <c r="AC31" s="46" t="s">
        <v>50</v>
      </c>
      <c r="AD31" s="46" t="s">
        <v>50</v>
      </c>
      <c r="AE31" s="46" t="s">
        <v>50</v>
      </c>
      <c r="AF31" s="46" t="s">
        <v>50</v>
      </c>
      <c r="AG31" s="46" t="s">
        <v>50</v>
      </c>
      <c r="AH31" s="46" t="s">
        <v>30</v>
      </c>
      <c r="AI31" s="46" t="s">
        <v>50</v>
      </c>
      <c r="AJ31" s="46">
        <f>=SUM(E32:AI32)</f>
      </c>
      <c r="AK31" s="46">
        <f>=+AY31</f>
      </c>
      <c r="AL31" s="46"/>
      <c r="AM31" s="1"/>
      <c r="AN31" s="1">
        <f>=COUNTIF(E31:AI31,"A")+COUNTIF(E31:AI31,"B")+COUNTIF(E31:AI31,"C")+COUNTIF(E31:AI31,"D")+COUNTIF(E31:AI31,"E")+COUNTIF(E31:AI31,"F")+COUNTIF(E31:AI31,"M")+COUNTIF(E31:AI31,"AB")+COUNTIF(E31:AI31,"UZ")+COUNTIF(E31:AI31,"G")+(COUNTIF(E31:AI31,"RT.")/2)+(COUNTIF(E31:AI31,"ÇRT.")/2)</f>
      </c>
      <c r="AO31" s="1">
        <f>=COUNTIF(E31:AI31,"O")</f>
      </c>
      <c r="AP31" s="1">
        <f>=COUNTIF(E31:AI31,"RT")+(COUNTIF(E31:AI31,"RT.")/2)</f>
      </c>
      <c r="AQ31" s="1">
        <f>=COUNTIF(E31:AI31,"ÇRT")+(COUNTIF(E31:AI31,"ÇRT.")/2)</f>
      </c>
      <c r="AR31" s="1">
        <f>=COUNTIF(E31:AI31,"ÇHT")</f>
      </c>
      <c r="AS31" s="1">
        <f>=COUNTIF(E31:AI31,"Ö")+COUNTIF(E31:AI31,"T")</f>
      </c>
      <c r="AT31" s="1">
        <f>=COUNTIF(E31:AI31,"Y")</f>
      </c>
      <c r="AU31" s="1">
        <f>=COUNTIF(E31:AI31,"R.")</f>
      </c>
      <c r="AV31" s="1">
        <f>=COUNTIF(E31:AI31,"Ü")</f>
      </c>
      <c r="AW31" s="1">
        <f>=COUNTIF(E31:AI31,"R")</f>
      </c>
      <c r="AX31" s="1">
        <f>=COUNTIF(E31:AI31,"DV")</f>
      </c>
      <c r="AY31" s="1">
        <f>=+AN31+AO31+AP31+AQ31+AR31+AS31+AT31+AU31</f>
      </c>
    </row>
    <row r="32" ht="16" customHeight="1" spans="1:51" x14ac:dyDescent="0.25">
      <c r="A32" s="46"/>
      <c r="B32" s="46"/>
      <c r="C32" s="46"/>
      <c r="D32" s="46" t="s">
        <v>32</v>
      </c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ht="16" customHeight="1" spans="1:51" x14ac:dyDescent="0.25">
      <c r="A33" s="46">
        <v>13</v>
      </c>
      <c r="B33" s="46" t="s">
        <v>62</v>
      </c>
      <c r="C33" s="46" t="s">
        <v>63</v>
      </c>
      <c r="D33" s="46" t="s">
        <v>28</v>
      </c>
      <c r="E33" s="46" t="s">
        <v>29</v>
      </c>
      <c r="F33" s="46" t="s">
        <v>29</v>
      </c>
      <c r="G33" s="46" t="s">
        <v>30</v>
      </c>
      <c r="H33" s="46" t="s">
        <v>29</v>
      </c>
      <c r="I33" s="46" t="s">
        <v>29</v>
      </c>
      <c r="J33" s="46" t="s">
        <v>29</v>
      </c>
      <c r="K33" s="46" t="s">
        <v>29</v>
      </c>
      <c r="L33" s="46" t="s">
        <v>29</v>
      </c>
      <c r="M33" s="46" t="s">
        <v>29</v>
      </c>
      <c r="N33" s="46" t="s">
        <v>30</v>
      </c>
      <c r="O33" s="46" t="s">
        <v>29</v>
      </c>
      <c r="P33" s="46" t="s">
        <v>29</v>
      </c>
      <c r="Q33" s="46" t="s">
        <v>29</v>
      </c>
      <c r="R33" s="46" t="s">
        <v>29</v>
      </c>
      <c r="S33" s="46" t="s">
        <v>29</v>
      </c>
      <c r="T33" s="46" t="s">
        <v>29</v>
      </c>
      <c r="U33" s="46" t="s">
        <v>30</v>
      </c>
      <c r="V33" s="46" t="s">
        <v>29</v>
      </c>
      <c r="W33" s="46" t="s">
        <v>29</v>
      </c>
      <c r="X33" s="46" t="s">
        <v>29</v>
      </c>
      <c r="Y33" s="46" t="s">
        <v>29</v>
      </c>
      <c r="Z33" s="46" t="s">
        <v>29</v>
      </c>
      <c r="AA33" s="46" t="s">
        <v>29</v>
      </c>
      <c r="AB33" s="46" t="s">
        <v>30</v>
      </c>
      <c r="AC33" s="46" t="s">
        <v>29</v>
      </c>
      <c r="AD33" s="46" t="s">
        <v>29</v>
      </c>
      <c r="AE33" s="46" t="s">
        <v>29</v>
      </c>
      <c r="AF33" s="46" t="s">
        <v>29</v>
      </c>
      <c r="AG33" s="46" t="s">
        <v>29</v>
      </c>
      <c r="AH33" s="46" t="s">
        <v>31</v>
      </c>
      <c r="AI33" s="46" t="s">
        <v>30</v>
      </c>
      <c r="AJ33" s="46">
        <f>=SUM(E34:AI34)</f>
      </c>
      <c r="AK33" s="46">
        <f>=+AY33</f>
      </c>
      <c r="AL33" s="46"/>
      <c r="AM33" s="1"/>
      <c r="AN33" s="1">
        <f>=COUNTIF(E33:AI33,"A")+COUNTIF(E33:AI33,"B")+COUNTIF(E33:AI33,"C")+COUNTIF(E33:AI33,"D")+COUNTIF(E33:AI33,"E")+COUNTIF(E33:AI33,"F")+COUNTIF(E33:AI33,"M")+COUNTIF(E33:AI33,"AB")+COUNTIF(E33:AI33,"UZ")+COUNTIF(E33:AI33,"G")+(COUNTIF(E33:AI33,"RT.")/2)+(COUNTIF(E33:AI33,"ÇRT.")/2)</f>
      </c>
      <c r="AO33" s="1">
        <f>=COUNTIF(E33:AI33,"O")</f>
      </c>
      <c r="AP33" s="1">
        <f>=COUNTIF(E33:AI33,"RT")+(COUNTIF(E33:AI33,"RT.")/2)</f>
      </c>
      <c r="AQ33" s="1">
        <f>=COUNTIF(E33:AI33,"ÇRT")+(COUNTIF(E33:AI33,"ÇRT.")/2)</f>
      </c>
      <c r="AR33" s="1">
        <f>=COUNTIF(E33:AI33,"ÇHT")</f>
      </c>
      <c r="AS33" s="1">
        <f>=COUNTIF(E33:AI33,"Ö")+COUNTIF(E33:AI33,"T")</f>
      </c>
      <c r="AT33" s="1">
        <f>=COUNTIF(E33:AI33,"Y")</f>
      </c>
      <c r="AU33" s="1">
        <f>=COUNTIF(E33:AI33,"R.")</f>
      </c>
      <c r="AV33" s="1">
        <f>=COUNTIF(E33:AI33,"Ü")</f>
      </c>
      <c r="AW33" s="1">
        <f>=COUNTIF(E33:AI33,"R")</f>
      </c>
      <c r="AX33" s="1">
        <f>=COUNTIF(E33:AI33,"DV")</f>
      </c>
      <c r="AY33" s="1">
        <f>=+AN33+AO33+AP33+AQ33+AR33+AS33+AT33+AU33</f>
      </c>
    </row>
    <row r="34" ht="16" customHeight="1" spans="1:51" x14ac:dyDescent="0.25">
      <c r="A34" s="46"/>
      <c r="B34" s="46"/>
      <c r="C34" s="46"/>
      <c r="D34" s="46" t="s">
        <v>32</v>
      </c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>
        <v>2</v>
      </c>
      <c r="AG34" s="46">
        <v>3</v>
      </c>
      <c r="AH34" s="46">
        <v>2</v>
      </c>
      <c r="AI34" s="46"/>
      <c r="AJ34" s="46"/>
      <c r="AK34" s="46"/>
      <c r="AL34" s="46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ht="16" customHeight="1" spans="1:51" x14ac:dyDescent="0.25">
      <c r="A35" s="46">
        <v>14</v>
      </c>
      <c r="B35" s="46" t="s">
        <v>64</v>
      </c>
      <c r="C35" s="46" t="s">
        <v>65</v>
      </c>
      <c r="D35" s="46" t="s">
        <v>28</v>
      </c>
      <c r="E35" s="46" t="s">
        <v>29</v>
      </c>
      <c r="F35" s="46" t="s">
        <v>29</v>
      </c>
      <c r="G35" s="46" t="s">
        <v>29</v>
      </c>
      <c r="H35" s="46" t="s">
        <v>30</v>
      </c>
      <c r="I35" s="46" t="s">
        <v>29</v>
      </c>
      <c r="J35" s="46" t="s">
        <v>29</v>
      </c>
      <c r="K35" s="46" t="s">
        <v>29</v>
      </c>
      <c r="L35" s="46" t="s">
        <v>29</v>
      </c>
      <c r="M35" s="46" t="s">
        <v>29</v>
      </c>
      <c r="N35" s="46" t="s">
        <v>47</v>
      </c>
      <c r="O35" s="46" t="s">
        <v>30</v>
      </c>
      <c r="P35" s="46" t="s">
        <v>29</v>
      </c>
      <c r="Q35" s="46" t="s">
        <v>29</v>
      </c>
      <c r="R35" s="46" t="s">
        <v>29</v>
      </c>
      <c r="S35" s="46" t="s">
        <v>29</v>
      </c>
      <c r="T35" s="46" t="s">
        <v>29</v>
      </c>
      <c r="U35" s="46" t="s">
        <v>29</v>
      </c>
      <c r="V35" s="46" t="s">
        <v>30</v>
      </c>
      <c r="W35" s="46" t="s">
        <v>29</v>
      </c>
      <c r="X35" s="46" t="s">
        <v>29</v>
      </c>
      <c r="Y35" s="46" t="s">
        <v>29</v>
      </c>
      <c r="Z35" s="46" t="s">
        <v>29</v>
      </c>
      <c r="AA35" s="46" t="s">
        <v>29</v>
      </c>
      <c r="AB35" s="46" t="s">
        <v>29</v>
      </c>
      <c r="AC35" s="46" t="s">
        <v>30</v>
      </c>
      <c r="AD35" s="46" t="s">
        <v>29</v>
      </c>
      <c r="AE35" s="46" t="s">
        <v>29</v>
      </c>
      <c r="AF35" s="46" t="s">
        <v>29</v>
      </c>
      <c r="AG35" s="46" t="s">
        <v>29</v>
      </c>
      <c r="AH35" s="46" t="s">
        <v>31</v>
      </c>
      <c r="AI35" s="46" t="s">
        <v>29</v>
      </c>
      <c r="AJ35" s="46">
        <f>=SUM(E36:AI36)</f>
      </c>
      <c r="AK35" s="46">
        <f>=+AY35</f>
      </c>
      <c r="AL35" s="46"/>
      <c r="AM35" s="1"/>
      <c r="AN35" s="1">
        <f>=COUNTIF(E35:AI35,"A")+COUNTIF(E35:AI35,"B")+COUNTIF(E35:AI35,"C")+COUNTIF(E35:AI35,"D")+COUNTIF(E35:AI35,"E")+COUNTIF(E35:AI35,"F")+COUNTIF(E35:AI35,"M")+COUNTIF(E35:AI35,"AB")+COUNTIF(E35:AI35,"UZ")+COUNTIF(E35:AI35,"G")+(COUNTIF(E35:AI35,"RT.")/2)+(COUNTIF(E35:AI35,"ÇRT.")/2)</f>
      </c>
      <c r="AO35" s="1">
        <f>=COUNTIF(E35:AI35,"O")</f>
      </c>
      <c r="AP35" s="1">
        <f>=COUNTIF(E35:AI35,"RT")+(COUNTIF(E35:AI35,"RT.")/2)</f>
      </c>
      <c r="AQ35" s="1">
        <f>=COUNTIF(E35:AI35,"ÇRT")+(COUNTIF(E35:AI35,"ÇRT.")/2)</f>
      </c>
      <c r="AR35" s="1">
        <f>=COUNTIF(E35:AI35,"ÇHT")</f>
      </c>
      <c r="AS35" s="1">
        <f>=COUNTIF(E35:AI35,"Ö")+COUNTIF(E35:AI35,"T")</f>
      </c>
      <c r="AT35" s="1">
        <f>=COUNTIF(E35:AI35,"Y")</f>
      </c>
      <c r="AU35" s="1">
        <f>=COUNTIF(E35:AI35,"R.")</f>
      </c>
      <c r="AV35" s="1">
        <f>=COUNTIF(E35:AI35,"Ü")</f>
      </c>
      <c r="AW35" s="1">
        <f>=COUNTIF(E35:AI35,"R")</f>
      </c>
      <c r="AX35" s="1">
        <f>=COUNTIF(E35:AI35,"DV")</f>
      </c>
      <c r="AY35" s="1">
        <f>=+AN35+AO35+AP35+AQ35+AR35+AS35+AT35+AU35</f>
      </c>
    </row>
    <row r="36" ht="16" customHeight="1" spans="1:51" x14ac:dyDescent="0.25">
      <c r="A36" s="46"/>
      <c r="B36" s="46"/>
      <c r="C36" s="46"/>
      <c r="D36" s="46" t="s">
        <v>32</v>
      </c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ht="16" customHeight="1" spans="1:51" x14ac:dyDescent="0.25">
      <c r="A37" s="46">
        <v>15</v>
      </c>
      <c r="B37" s="46" t="s">
        <v>66</v>
      </c>
      <c r="C37" s="46" t="s">
        <v>67</v>
      </c>
      <c r="D37" s="46" t="s">
        <v>28</v>
      </c>
      <c r="E37" s="46" t="s">
        <v>29</v>
      </c>
      <c r="F37" s="46" t="s">
        <v>29</v>
      </c>
      <c r="G37" s="46" t="s">
        <v>68</v>
      </c>
      <c r="H37" s="46" t="s">
        <v>30</v>
      </c>
      <c r="I37" s="46" t="s">
        <v>29</v>
      </c>
      <c r="J37" s="46" t="s">
        <v>29</v>
      </c>
      <c r="K37" s="46" t="s">
        <v>29</v>
      </c>
      <c r="L37" s="46" t="s">
        <v>29</v>
      </c>
      <c r="M37" s="46" t="s">
        <v>29</v>
      </c>
      <c r="N37" s="46" t="s">
        <v>29</v>
      </c>
      <c r="O37" s="46" t="s">
        <v>30</v>
      </c>
      <c r="P37" s="46" t="s">
        <v>29</v>
      </c>
      <c r="Q37" s="46" t="s">
        <v>29</v>
      </c>
      <c r="R37" s="46" t="s">
        <v>29</v>
      </c>
      <c r="S37" s="46" t="s">
        <v>29</v>
      </c>
      <c r="T37" s="46" t="s">
        <v>29</v>
      </c>
      <c r="U37" s="46" t="s">
        <v>29</v>
      </c>
      <c r="V37" s="46" t="s">
        <v>30</v>
      </c>
      <c r="W37" s="46" t="s">
        <v>29</v>
      </c>
      <c r="X37" s="46" t="s">
        <v>29</v>
      </c>
      <c r="Y37" s="46" t="s">
        <v>29</v>
      </c>
      <c r="Z37" s="46" t="s">
        <v>29</v>
      </c>
      <c r="AA37" s="46" t="s">
        <v>29</v>
      </c>
      <c r="AB37" s="46" t="s">
        <v>29</v>
      </c>
      <c r="AC37" s="46" t="s">
        <v>30</v>
      </c>
      <c r="AD37" s="46" t="s">
        <v>29</v>
      </c>
      <c r="AE37" s="46" t="s">
        <v>29</v>
      </c>
      <c r="AF37" s="46" t="s">
        <v>29</v>
      </c>
      <c r="AG37" s="46" t="s">
        <v>29</v>
      </c>
      <c r="AH37" s="46" t="s">
        <v>31</v>
      </c>
      <c r="AI37" s="46" t="s">
        <v>29</v>
      </c>
      <c r="AJ37" s="46">
        <f>=SUM(E38:AI38)</f>
      </c>
      <c r="AK37" s="46">
        <f>=+AY37</f>
      </c>
      <c r="AL37" s="46"/>
      <c r="AM37" s="1"/>
      <c r="AN37" s="1">
        <f>=COUNTIF(E37:AI37,"A")+COUNTIF(E37:AI37,"B")+COUNTIF(E37:AI37,"C")+COUNTIF(E37:AI37,"D")+COUNTIF(E37:AI37,"E")+COUNTIF(E37:AI37,"F")+COUNTIF(E37:AI37,"M")+COUNTIF(E37:AI37,"AB")+COUNTIF(E37:AI37,"UZ")+COUNTIF(E37:AI37,"G")+(COUNTIF(E37:AI37,"RT.")/2)+(COUNTIF(E37:AI37,"ÇRT.")/2)</f>
      </c>
      <c r="AO37" s="1">
        <f>=COUNTIF(E37:AI37,"O")</f>
      </c>
      <c r="AP37" s="1">
        <f>=COUNTIF(E37:AI37,"RT")+(COUNTIF(E37:AI37,"RT.")/2)</f>
      </c>
      <c r="AQ37" s="1">
        <f>=COUNTIF(E37:AI37,"ÇRT")+(COUNTIF(E37:AI37,"ÇRT.")/2)</f>
      </c>
      <c r="AR37" s="1">
        <f>=COUNTIF(E37:AI37,"ÇHT")</f>
      </c>
      <c r="AS37" s="1">
        <f>=COUNTIF(E37:AI37,"Ö")+COUNTIF(E37:AI37,"T")</f>
      </c>
      <c r="AT37" s="1">
        <f>=COUNTIF(E37:AI37,"Y")</f>
      </c>
      <c r="AU37" s="1">
        <f>=COUNTIF(E37:AI37,"R.")</f>
      </c>
      <c r="AV37" s="1">
        <f>=COUNTIF(E37:AI37,"Ü")</f>
      </c>
      <c r="AW37" s="1">
        <f>=COUNTIF(E37:AI37,"R")</f>
      </c>
      <c r="AX37" s="1">
        <f>=COUNTIF(E37:AI37,"DV")</f>
      </c>
      <c r="AY37" s="1">
        <f>=+AN37+AO37+AP37+AQ37+AR37+AS37+AT37+AU37</f>
      </c>
    </row>
    <row r="38" ht="16" customHeight="1" spans="1:51" x14ac:dyDescent="0.25">
      <c r="A38" s="46"/>
      <c r="B38" s="46"/>
      <c r="C38" s="46"/>
      <c r="D38" s="46" t="s">
        <v>32</v>
      </c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>
        <v>0</v>
      </c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ht="16" customHeight="1" spans="1:51" x14ac:dyDescent="0.25">
      <c r="A39" s="46">
        <v>16</v>
      </c>
      <c r="B39" s="46" t="s">
        <v>69</v>
      </c>
      <c r="C39" s="46" t="s">
        <v>70</v>
      </c>
      <c r="D39" s="46" t="s">
        <v>28</v>
      </c>
      <c r="E39" s="46" t="s">
        <v>41</v>
      </c>
      <c r="F39" s="46" t="s">
        <v>41</v>
      </c>
      <c r="G39" s="46" t="s">
        <v>41</v>
      </c>
      <c r="H39" s="46" t="s">
        <v>30</v>
      </c>
      <c r="I39" s="46" t="s">
        <v>41</v>
      </c>
      <c r="J39" s="46" t="s">
        <v>41</v>
      </c>
      <c r="K39" s="46" t="s">
        <v>41</v>
      </c>
      <c r="L39" s="46" t="s">
        <v>41</v>
      </c>
      <c r="M39" s="46" t="s">
        <v>41</v>
      </c>
      <c r="N39" s="46" t="s">
        <v>41</v>
      </c>
      <c r="O39" s="46" t="s">
        <v>30</v>
      </c>
      <c r="P39" s="46" t="s">
        <v>41</v>
      </c>
      <c r="Q39" s="46" t="s">
        <v>41</v>
      </c>
      <c r="R39" s="46" t="s">
        <v>41</v>
      </c>
      <c r="S39" s="46" t="s">
        <v>41</v>
      </c>
      <c r="T39" s="46" t="s">
        <v>41</v>
      </c>
      <c r="U39" s="46" t="s">
        <v>29</v>
      </c>
      <c r="V39" s="46" t="s">
        <v>30</v>
      </c>
      <c r="W39" s="46" t="s">
        <v>41</v>
      </c>
      <c r="X39" s="46" t="s">
        <v>41</v>
      </c>
      <c r="Y39" s="46" t="s">
        <v>41</v>
      </c>
      <c r="Z39" s="46" t="s">
        <v>41</v>
      </c>
      <c r="AA39" s="46" t="s">
        <v>41</v>
      </c>
      <c r="AB39" s="46" t="s">
        <v>41</v>
      </c>
      <c r="AC39" s="46" t="s">
        <v>30</v>
      </c>
      <c r="AD39" s="46" t="s">
        <v>41</v>
      </c>
      <c r="AE39" s="46" t="s">
        <v>41</v>
      </c>
      <c r="AF39" s="46" t="s">
        <v>41</v>
      </c>
      <c r="AG39" s="46" t="s">
        <v>41</v>
      </c>
      <c r="AH39" s="46" t="s">
        <v>31</v>
      </c>
      <c r="AI39" s="46" t="s">
        <v>41</v>
      </c>
      <c r="AJ39" s="46">
        <f>=SUM(E40:AI40)</f>
      </c>
      <c r="AK39" s="46">
        <f>=+AY39</f>
      </c>
      <c r="AL39" s="46"/>
      <c r="AM39" s="1"/>
      <c r="AN39" s="1">
        <f>=COUNTIF(E39:AI39,"A")+COUNTIF(E39:AI39,"B")+COUNTIF(E39:AI39,"C")+COUNTIF(E39:AI39,"D")+COUNTIF(E39:AI39,"E")+COUNTIF(E39:AI39,"F")+COUNTIF(E39:AI39,"M")+COUNTIF(E39:AI39,"AB")+COUNTIF(E39:AI39,"UZ")+COUNTIF(E39:AI39,"G")+(COUNTIF(E39:AI39,"RT.")/2)+(COUNTIF(E39:AI39,"ÇRT.")/2)</f>
      </c>
      <c r="AO39" s="1">
        <f>=COUNTIF(E39:AI39,"O")</f>
      </c>
      <c r="AP39" s="1">
        <f>=COUNTIF(E39:AI39,"RT")+(COUNTIF(E39:AI39,"RT.")/2)</f>
      </c>
      <c r="AQ39" s="1">
        <f>=COUNTIF(E39:AI39,"ÇRT")+(COUNTIF(E39:AI39,"ÇRT.")/2)</f>
      </c>
      <c r="AR39" s="1">
        <f>=COUNTIF(E39:AI39,"ÇHT")</f>
      </c>
      <c r="AS39" s="1">
        <f>=COUNTIF(E39:AI39,"Ö")+COUNTIF(E39:AI39,"T")</f>
      </c>
      <c r="AT39" s="1">
        <f>=COUNTIF(E39:AI39,"Y")</f>
      </c>
      <c r="AU39" s="1">
        <f>=COUNTIF(E39:AI39,"R.")</f>
      </c>
      <c r="AV39" s="1">
        <f>=COUNTIF(E39:AI39,"Ü")</f>
      </c>
      <c r="AW39" s="1">
        <f>=COUNTIF(E39:AI39,"R")</f>
      </c>
      <c r="AX39" s="1">
        <f>=COUNTIF(E39:AI39,"DV")</f>
      </c>
      <c r="AY39" s="1">
        <f>=+AN39+AO39+AP39+AQ39+AR39+AS39+AT39+AU39</f>
      </c>
    </row>
    <row r="40" ht="16" customHeight="1" spans="1:51" x14ac:dyDescent="0.25">
      <c r="A40" s="46"/>
      <c r="B40" s="46"/>
      <c r="C40" s="46"/>
      <c r="D40" s="46" t="s">
        <v>32</v>
      </c>
      <c r="E40" s="46"/>
      <c r="F40" s="46"/>
      <c r="G40" s="46"/>
      <c r="H40" s="46">
        <v>0</v>
      </c>
      <c r="I40" s="46"/>
      <c r="J40" s="46"/>
      <c r="K40" s="46"/>
      <c r="L40" s="46">
        <v>2</v>
      </c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>
        <v>1</v>
      </c>
      <c r="AH40" s="46"/>
      <c r="AI40" s="46"/>
      <c r="AJ40" s="46"/>
      <c r="AK40" s="46"/>
      <c r="AL40" s="46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ht="16" customHeight="1" spans="1:51" x14ac:dyDescent="0.25">
      <c r="A41" s="46">
        <v>17</v>
      </c>
      <c r="B41" s="46" t="s">
        <v>71</v>
      </c>
      <c r="C41" s="46" t="s">
        <v>72</v>
      </c>
      <c r="D41" s="46" t="s">
        <v>28</v>
      </c>
      <c r="E41" s="46" t="s">
        <v>29</v>
      </c>
      <c r="F41" s="46" t="s">
        <v>29</v>
      </c>
      <c r="G41" s="46" t="s">
        <v>29</v>
      </c>
      <c r="H41" s="46" t="s">
        <v>30</v>
      </c>
      <c r="I41" s="46" t="s">
        <v>29</v>
      </c>
      <c r="J41" s="46" t="s">
        <v>29</v>
      </c>
      <c r="K41" s="46" t="s">
        <v>30</v>
      </c>
      <c r="L41" s="46" t="s">
        <v>29</v>
      </c>
      <c r="M41" s="46" t="s">
        <v>29</v>
      </c>
      <c r="N41" s="46" t="s">
        <v>41</v>
      </c>
      <c r="O41" s="46" t="s">
        <v>29</v>
      </c>
      <c r="P41" s="46" t="s">
        <v>29</v>
      </c>
      <c r="Q41" s="46" t="s">
        <v>29</v>
      </c>
      <c r="R41" s="46" t="s">
        <v>29</v>
      </c>
      <c r="S41" s="46" t="s">
        <v>29</v>
      </c>
      <c r="T41" s="46" t="s">
        <v>29</v>
      </c>
      <c r="U41" s="46" t="s">
        <v>30</v>
      </c>
      <c r="V41" s="46" t="s">
        <v>29</v>
      </c>
      <c r="W41" s="46" t="s">
        <v>30</v>
      </c>
      <c r="X41" s="46" t="s">
        <v>29</v>
      </c>
      <c r="Y41" s="46" t="s">
        <v>29</v>
      </c>
      <c r="Z41" s="46" t="s">
        <v>29</v>
      </c>
      <c r="AA41" s="46" t="s">
        <v>29</v>
      </c>
      <c r="AB41" s="46" t="s">
        <v>29</v>
      </c>
      <c r="AC41" s="46" t="s">
        <v>29</v>
      </c>
      <c r="AD41" s="46" t="s">
        <v>29</v>
      </c>
      <c r="AE41" s="46" t="s">
        <v>29</v>
      </c>
      <c r="AF41" s="46" t="s">
        <v>29</v>
      </c>
      <c r="AG41" s="46" t="s">
        <v>29</v>
      </c>
      <c r="AH41" s="46" t="s">
        <v>31</v>
      </c>
      <c r="AI41" s="46" t="s">
        <v>29</v>
      </c>
      <c r="AJ41" s="46">
        <f>=SUM(E42:AI42)</f>
      </c>
      <c r="AK41" s="46">
        <f>=+AY41</f>
      </c>
      <c r="AL41" s="46"/>
      <c r="AM41" s="1"/>
      <c r="AN41" s="1">
        <f>=COUNTIF(E41:AI41,"A")+COUNTIF(E41:AI41,"B")+COUNTIF(E41:AI41,"C")+COUNTIF(E41:AI41,"D")+COUNTIF(E41:AI41,"E")+COUNTIF(E41:AI41,"F")+COUNTIF(E41:AI41,"M")+COUNTIF(E41:AI41,"AB")+COUNTIF(E41:AI41,"UZ")+COUNTIF(E41:AI41,"G")+(COUNTIF(E41:AI41,"RT.")/2)+(COUNTIF(E41:AI41,"ÇRT.")/2)</f>
      </c>
      <c r="AO41" s="1">
        <f>=COUNTIF(E41:AI41,"O")</f>
      </c>
      <c r="AP41" s="1">
        <f>=COUNTIF(E41:AI41,"RT")+(COUNTIF(E41:AI41,"RT.")/2)</f>
      </c>
      <c r="AQ41" s="1">
        <f>=COUNTIF(E41:AI41,"ÇRT")+(COUNTIF(E41:AI41,"ÇRT.")/2)</f>
      </c>
      <c r="AR41" s="1">
        <f>=COUNTIF(E41:AI41,"ÇHT")</f>
      </c>
      <c r="AS41" s="1">
        <f>=COUNTIF(E41:AI41,"Ö")+COUNTIF(E41:AI41,"T")</f>
      </c>
      <c r="AT41" s="1">
        <f>=COUNTIF(E41:AI41,"Y")</f>
      </c>
      <c r="AU41" s="1">
        <f>=COUNTIF(E41:AI41,"R.")</f>
      </c>
      <c r="AV41" s="1">
        <f>=COUNTIF(E41:AI41,"Ü")</f>
      </c>
      <c r="AW41" s="1">
        <f>=COUNTIF(E41:AI41,"R")</f>
      </c>
      <c r="AX41" s="1">
        <f>=COUNTIF(E41:AI41,"DV")</f>
      </c>
      <c r="AY41" s="1">
        <f>=+AN41+AO41+AP41+AQ41+AR41+AS41+AT41+AU41</f>
      </c>
    </row>
    <row r="42" ht="16" customHeight="1" spans="1:51" x14ac:dyDescent="0.25">
      <c r="A42" s="46"/>
      <c r="B42" s="46"/>
      <c r="C42" s="46"/>
      <c r="D42" s="46" t="s">
        <v>32</v>
      </c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ht="16" customHeight="1" spans="1:51" x14ac:dyDescent="0.25">
      <c r="A43" s="46">
        <v>18</v>
      </c>
      <c r="B43" s="46" t="s">
        <v>73</v>
      </c>
      <c r="C43" s="46" t="s">
        <v>74</v>
      </c>
      <c r="D43" s="46" t="s">
        <v>28</v>
      </c>
      <c r="E43" s="46" t="s">
        <v>50</v>
      </c>
      <c r="F43" s="46" t="s">
        <v>30</v>
      </c>
      <c r="G43" s="46" t="s">
        <v>50</v>
      </c>
      <c r="H43" s="46" t="s">
        <v>50</v>
      </c>
      <c r="I43" s="46" t="s">
        <v>50</v>
      </c>
      <c r="J43" s="46" t="s">
        <v>50</v>
      </c>
      <c r="K43" s="46" t="s">
        <v>50</v>
      </c>
      <c r="L43" s="46" t="s">
        <v>50</v>
      </c>
      <c r="M43" s="46" t="s">
        <v>30</v>
      </c>
      <c r="N43" s="46" t="s">
        <v>50</v>
      </c>
      <c r="O43" s="46" t="s">
        <v>50</v>
      </c>
      <c r="P43" s="46" t="s">
        <v>50</v>
      </c>
      <c r="Q43" s="46" t="s">
        <v>50</v>
      </c>
      <c r="R43" s="46" t="s">
        <v>50</v>
      </c>
      <c r="S43" s="46" t="s">
        <v>50</v>
      </c>
      <c r="T43" s="46" t="s">
        <v>30</v>
      </c>
      <c r="U43" s="46" t="s">
        <v>50</v>
      </c>
      <c r="V43" s="46" t="s">
        <v>50</v>
      </c>
      <c r="W43" s="46" t="s">
        <v>50</v>
      </c>
      <c r="X43" s="46" t="s">
        <v>50</v>
      </c>
      <c r="Y43" s="46" t="s">
        <v>50</v>
      </c>
      <c r="Z43" s="46" t="s">
        <v>50</v>
      </c>
      <c r="AA43" s="46" t="s">
        <v>30</v>
      </c>
      <c r="AB43" s="46" t="s">
        <v>50</v>
      </c>
      <c r="AC43" s="46" t="s">
        <v>50</v>
      </c>
      <c r="AD43" s="46" t="s">
        <v>50</v>
      </c>
      <c r="AE43" s="46" t="s">
        <v>50</v>
      </c>
      <c r="AF43" s="46" t="s">
        <v>50</v>
      </c>
      <c r="AG43" s="46" t="s">
        <v>50</v>
      </c>
      <c r="AH43" s="46" t="s">
        <v>30</v>
      </c>
      <c r="AI43" s="46" t="s">
        <v>50</v>
      </c>
      <c r="AJ43" s="46">
        <f>=SUM(E44:AI44)</f>
      </c>
      <c r="AK43" s="46">
        <f>=+AY43</f>
      </c>
      <c r="AL43" s="46"/>
      <c r="AM43" s="1"/>
      <c r="AN43" s="1">
        <f>=COUNTIF(E43:AI43,"A")+COUNTIF(E43:AI43,"B")+COUNTIF(E43:AI43,"C")+COUNTIF(E43:AI43,"D")+COUNTIF(E43:AI43,"E")+COUNTIF(E43:AI43,"F")+COUNTIF(E43:AI43,"M")+COUNTIF(E43:AI43,"AB")+COUNTIF(E43:AI43,"UZ")+COUNTIF(E43:AI43,"G")+(COUNTIF(E43:AI43,"RT.")/2)+(COUNTIF(E43:AI43,"ÇRT.")/2)</f>
      </c>
      <c r="AO43" s="1">
        <f>=COUNTIF(E43:AI43,"O")</f>
      </c>
      <c r="AP43" s="1">
        <f>=COUNTIF(E43:AI43,"RT")+(COUNTIF(E43:AI43,"RT.")/2)</f>
      </c>
      <c r="AQ43" s="1">
        <f>=COUNTIF(E43:AI43,"ÇRT")+(COUNTIF(E43:AI43,"ÇRT.")/2)</f>
      </c>
      <c r="AR43" s="1">
        <f>=COUNTIF(E43:AI43,"ÇHT")</f>
      </c>
      <c r="AS43" s="1">
        <f>=COUNTIF(E43:AI43,"Ö")+COUNTIF(E43:AI43,"T")</f>
      </c>
      <c r="AT43" s="1">
        <f>=COUNTIF(E43:AI43,"Y")</f>
      </c>
      <c r="AU43" s="1">
        <f>=COUNTIF(E43:AI43,"R.")</f>
      </c>
      <c r="AV43" s="1">
        <f>=COUNTIF(E43:AI43,"Ü")</f>
      </c>
      <c r="AW43" s="1">
        <f>=COUNTIF(E43:AI43,"R")</f>
      </c>
      <c r="AX43" s="1">
        <f>=COUNTIF(E43:AI43,"DV")</f>
      </c>
      <c r="AY43" s="1">
        <f>=+AN43+AO43+AP43+AQ43+AR43+AS43+AT43+AU43</f>
      </c>
    </row>
    <row r="44" ht="16" customHeight="1" spans="1:51" x14ac:dyDescent="0.25">
      <c r="A44" s="46"/>
      <c r="B44" s="46"/>
      <c r="C44" s="46"/>
      <c r="D44" s="46" t="s">
        <v>32</v>
      </c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>
        <v>0</v>
      </c>
      <c r="AG44" s="46"/>
      <c r="AH44" s="46"/>
      <c r="AI44" s="46"/>
      <c r="AJ44" s="46"/>
      <c r="AK44" s="46"/>
      <c r="AL44" s="46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ht="16" customHeight="1" spans="1:51" x14ac:dyDescent="0.25">
      <c r="A45" s="46">
        <v>19</v>
      </c>
      <c r="B45" s="46" t="s">
        <v>75</v>
      </c>
      <c r="C45" s="46" t="s">
        <v>76</v>
      </c>
      <c r="D45" s="46" t="s">
        <v>28</v>
      </c>
      <c r="E45" s="46" t="s">
        <v>29</v>
      </c>
      <c r="F45" s="46" t="s">
        <v>29</v>
      </c>
      <c r="G45" s="46" t="s">
        <v>30</v>
      </c>
      <c r="H45" s="46" t="s">
        <v>29</v>
      </c>
      <c r="I45" s="46" t="s">
        <v>29</v>
      </c>
      <c r="J45" s="46" t="s">
        <v>29</v>
      </c>
      <c r="K45" s="46" t="s">
        <v>30</v>
      </c>
      <c r="L45" s="46" t="s">
        <v>29</v>
      </c>
      <c r="M45" s="46" t="s">
        <v>29</v>
      </c>
      <c r="N45" s="46" t="s">
        <v>29</v>
      </c>
      <c r="O45" s="46" t="s">
        <v>29</v>
      </c>
      <c r="P45" s="46" t="s">
        <v>29</v>
      </c>
      <c r="Q45" s="46" t="s">
        <v>29</v>
      </c>
      <c r="R45" s="46" t="s">
        <v>30</v>
      </c>
      <c r="S45" s="46" t="s">
        <v>29</v>
      </c>
      <c r="T45" s="46" t="s">
        <v>29</v>
      </c>
      <c r="U45" s="46" t="s">
        <v>29</v>
      </c>
      <c r="V45" s="46" t="s">
        <v>29</v>
      </c>
      <c r="W45" s="46" t="s">
        <v>29</v>
      </c>
      <c r="X45" s="46" t="s">
        <v>29</v>
      </c>
      <c r="Y45" s="46" t="s">
        <v>29</v>
      </c>
      <c r="Z45" s="46" t="s">
        <v>30</v>
      </c>
      <c r="AA45" s="46" t="s">
        <v>29</v>
      </c>
      <c r="AB45" s="46" t="s">
        <v>29</v>
      </c>
      <c r="AC45" s="46" t="s">
        <v>29</v>
      </c>
      <c r="AD45" s="46" t="s">
        <v>29</v>
      </c>
      <c r="AE45" s="46" t="s">
        <v>29</v>
      </c>
      <c r="AF45" s="46" t="s">
        <v>29</v>
      </c>
      <c r="AG45" s="46" t="s">
        <v>30</v>
      </c>
      <c r="AH45" s="46" t="s">
        <v>31</v>
      </c>
      <c r="AI45" s="46" t="s">
        <v>29</v>
      </c>
      <c r="AJ45" s="46">
        <f>=SUM(E46:AI46)</f>
      </c>
      <c r="AK45" s="46">
        <f>=+AY45</f>
      </c>
      <c r="AL45" s="46"/>
      <c r="AM45" s="1"/>
      <c r="AN45" s="1">
        <f>=COUNTIF(E45:AI45,"A")+COUNTIF(E45:AI45,"B")+COUNTIF(E45:AI45,"C")+COUNTIF(E45:AI45,"D")+COUNTIF(E45:AI45,"E")+COUNTIF(E45:AI45,"F")+COUNTIF(E45:AI45,"M")+COUNTIF(E45:AI45,"AB")+COUNTIF(E45:AI45,"UZ")+COUNTIF(E45:AI45,"G")+(COUNTIF(E45:AI45,"RT.")/2)+(COUNTIF(E45:AI45,"ÇRT.")/2)</f>
      </c>
      <c r="AO45" s="1">
        <f>=COUNTIF(E45:AI45,"O")</f>
      </c>
      <c r="AP45" s="1">
        <f>=COUNTIF(E45:AI45,"RT")+(COUNTIF(E45:AI45,"RT.")/2)</f>
      </c>
      <c r="AQ45" s="1">
        <f>=COUNTIF(E45:AI45,"ÇRT")+(COUNTIF(E45:AI45,"ÇRT.")/2)</f>
      </c>
      <c r="AR45" s="1">
        <f>=COUNTIF(E45:AI45,"ÇHT")</f>
      </c>
      <c r="AS45" s="1">
        <f>=COUNTIF(E45:AI45,"Ö")+COUNTIF(E45:AI45,"T")</f>
      </c>
      <c r="AT45" s="1">
        <f>=COUNTIF(E45:AI45,"Y")</f>
      </c>
      <c r="AU45" s="1">
        <f>=COUNTIF(E45:AI45,"R.")</f>
      </c>
      <c r="AV45" s="1">
        <f>=COUNTIF(E45:AI45,"Ü")</f>
      </c>
      <c r="AW45" s="1">
        <f>=COUNTIF(E45:AI45,"R")</f>
      </c>
      <c r="AX45" s="1">
        <f>=COUNTIF(E45:AI45,"DV")</f>
      </c>
      <c r="AY45" s="1">
        <f>=+AN45+AO45+AP45+AQ45+AR45+AS45+AT45+AU45</f>
      </c>
    </row>
    <row r="46" ht="16" customHeight="1" spans="1:51" x14ac:dyDescent="0.25">
      <c r="A46" s="46"/>
      <c r="B46" s="46"/>
      <c r="C46" s="46"/>
      <c r="D46" s="46" t="s">
        <v>32</v>
      </c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>
        <v>2</v>
      </c>
      <c r="AG46" s="46"/>
      <c r="AH46" s="46"/>
      <c r="AI46" s="46"/>
      <c r="AJ46" s="46"/>
      <c r="AK46" s="46"/>
      <c r="AL46" s="46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ht="16" customHeight="1" spans="1:51" x14ac:dyDescent="0.25">
      <c r="A47" s="46">
        <v>20</v>
      </c>
      <c r="B47" s="46" t="s">
        <v>77</v>
      </c>
      <c r="C47" s="46" t="s">
        <v>78</v>
      </c>
      <c r="D47" s="46" t="s">
        <v>28</v>
      </c>
      <c r="E47" s="46" t="s">
        <v>79</v>
      </c>
      <c r="F47" s="46" t="s">
        <v>79</v>
      </c>
      <c r="G47" s="46" t="s">
        <v>29</v>
      </c>
      <c r="H47" s="46" t="s">
        <v>29</v>
      </c>
      <c r="I47" s="46" t="s">
        <v>29</v>
      </c>
      <c r="J47" s="46" t="s">
        <v>30</v>
      </c>
      <c r="K47" s="46" t="s">
        <v>29</v>
      </c>
      <c r="L47" s="46" t="s">
        <v>29</v>
      </c>
      <c r="M47" s="46" t="s">
        <v>29</v>
      </c>
      <c r="N47" s="46" t="s">
        <v>29</v>
      </c>
      <c r="O47" s="46" t="s">
        <v>29</v>
      </c>
      <c r="P47" s="46" t="s">
        <v>30</v>
      </c>
      <c r="Q47" s="46" t="s">
        <v>29</v>
      </c>
      <c r="R47" s="46" t="s">
        <v>29</v>
      </c>
      <c r="S47" s="46" t="s">
        <v>68</v>
      </c>
      <c r="T47" s="46" t="s">
        <v>29</v>
      </c>
      <c r="U47" s="46" t="s">
        <v>29</v>
      </c>
      <c r="V47" s="46" t="s">
        <v>29</v>
      </c>
      <c r="W47" s="46" t="s">
        <v>29</v>
      </c>
      <c r="X47" s="46" t="s">
        <v>29</v>
      </c>
      <c r="Y47" s="46" t="s">
        <v>30</v>
      </c>
      <c r="Z47" s="46" t="s">
        <v>29</v>
      </c>
      <c r="AA47" s="46" t="s">
        <v>29</v>
      </c>
      <c r="AB47" s="46" t="s">
        <v>29</v>
      </c>
      <c r="AC47" s="46" t="s">
        <v>29</v>
      </c>
      <c r="AD47" s="46" t="s">
        <v>29</v>
      </c>
      <c r="AE47" s="46" t="s">
        <v>30</v>
      </c>
      <c r="AF47" s="46" t="s">
        <v>29</v>
      </c>
      <c r="AG47" s="46" t="s">
        <v>29</v>
      </c>
      <c r="AH47" s="46" t="s">
        <v>31</v>
      </c>
      <c r="AI47" s="46" t="s">
        <v>29</v>
      </c>
      <c r="AJ47" s="46">
        <f>=SUM(E48:AI48)</f>
      </c>
      <c r="AK47" s="46">
        <f>=+AY47</f>
      </c>
      <c r="AL47" s="46"/>
      <c r="AM47" s="1"/>
      <c r="AN47" s="1">
        <f>=COUNTIF(E47:AI47,"A")+COUNTIF(E47:AI47,"B")+COUNTIF(E47:AI47,"C")+COUNTIF(E47:AI47,"D")+COUNTIF(E47:AI47,"E")+COUNTIF(E47:AI47,"F")+COUNTIF(E47:AI47,"M")+COUNTIF(E47:AI47,"AB")+COUNTIF(E47:AI47,"UZ")+COUNTIF(E47:AI47,"G")+(COUNTIF(E47:AI47,"RT.")/2)+(COUNTIF(E47:AI47,"ÇRT.")/2)</f>
      </c>
      <c r="AO47" s="1">
        <f>=COUNTIF(E47:AI47,"O")</f>
      </c>
      <c r="AP47" s="1">
        <f>=COUNTIF(E47:AI47,"RT")+(COUNTIF(E47:AI47,"RT.")/2)</f>
      </c>
      <c r="AQ47" s="1">
        <f>=COUNTIF(E47:AI47,"ÇRT")+(COUNTIF(E47:AI47,"ÇRT.")/2)</f>
      </c>
      <c r="AR47" s="1">
        <f>=COUNTIF(E47:AI47,"ÇHT")</f>
      </c>
      <c r="AS47" s="1">
        <f>=COUNTIF(E47:AI47,"Ö")+COUNTIF(E47:AI47,"T")</f>
      </c>
      <c r="AT47" s="1">
        <f>=COUNTIF(E47:AI47,"Y")</f>
      </c>
      <c r="AU47" s="1">
        <f>=COUNTIF(E47:AI47,"R.")</f>
      </c>
      <c r="AV47" s="1">
        <f>=COUNTIF(E47:AI47,"Ü")</f>
      </c>
      <c r="AW47" s="1">
        <f>=COUNTIF(E47:AI47,"R")</f>
      </c>
      <c r="AX47" s="1">
        <f>=COUNTIF(E47:AI47,"DV")</f>
      </c>
      <c r="AY47" s="1">
        <f>=+AN47+AO47+AP47+AQ47+AR47+AS47+AT47+AU47</f>
      </c>
    </row>
    <row r="48" ht="16" customHeight="1" spans="1:51" x14ac:dyDescent="0.25">
      <c r="A48" s="46"/>
      <c r="B48" s="46"/>
      <c r="C48" s="46"/>
      <c r="D48" s="46" t="s">
        <v>32</v>
      </c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ht="16" customHeight="1" spans="1:51" x14ac:dyDescent="0.25">
      <c r="A49" s="46">
        <v>21</v>
      </c>
      <c r="B49" s="46" t="s">
        <v>80</v>
      </c>
      <c r="C49" s="46" t="s">
        <v>81</v>
      </c>
      <c r="D49" s="46" t="s">
        <v>28</v>
      </c>
      <c r="E49" s="46" t="s">
        <v>36</v>
      </c>
      <c r="F49" s="46" t="s">
        <v>36</v>
      </c>
      <c r="G49" s="46" t="s">
        <v>36</v>
      </c>
      <c r="H49" s="46" t="s">
        <v>36</v>
      </c>
      <c r="I49" s="46" t="s">
        <v>36</v>
      </c>
      <c r="J49" s="46" t="s">
        <v>30</v>
      </c>
      <c r="K49" s="46" t="s">
        <v>29</v>
      </c>
      <c r="L49" s="46" t="s">
        <v>29</v>
      </c>
      <c r="M49" s="46" t="s">
        <v>29</v>
      </c>
      <c r="N49" s="46" t="s">
        <v>29</v>
      </c>
      <c r="O49" s="46" t="s">
        <v>29</v>
      </c>
      <c r="P49" s="46" t="s">
        <v>29</v>
      </c>
      <c r="Q49" s="46" t="s">
        <v>30</v>
      </c>
      <c r="R49" s="46" t="s">
        <v>29</v>
      </c>
      <c r="S49" s="46" t="s">
        <v>29</v>
      </c>
      <c r="T49" s="46" t="s">
        <v>29</v>
      </c>
      <c r="U49" s="46" t="s">
        <v>29</v>
      </c>
      <c r="V49" s="46" t="s">
        <v>29</v>
      </c>
      <c r="W49" s="46" t="s">
        <v>29</v>
      </c>
      <c r="X49" s="46" t="s">
        <v>30</v>
      </c>
      <c r="Y49" s="46" t="s">
        <v>29</v>
      </c>
      <c r="Z49" s="46" t="s">
        <v>29</v>
      </c>
      <c r="AA49" s="46" t="s">
        <v>29</v>
      </c>
      <c r="AB49" s="46" t="s">
        <v>29</v>
      </c>
      <c r="AC49" s="46" t="s">
        <v>29</v>
      </c>
      <c r="AD49" s="46" t="s">
        <v>29</v>
      </c>
      <c r="AE49" s="46" t="s">
        <v>30</v>
      </c>
      <c r="AF49" s="46" t="s">
        <v>29</v>
      </c>
      <c r="AG49" s="46" t="s">
        <v>29</v>
      </c>
      <c r="AH49" s="46" t="s">
        <v>31</v>
      </c>
      <c r="AI49" s="46" t="s">
        <v>29</v>
      </c>
      <c r="AJ49" s="46">
        <f>=SUM(E50:AI50)</f>
      </c>
      <c r="AK49" s="46">
        <f>=+AY49</f>
      </c>
      <c r="AL49" s="46"/>
      <c r="AM49" s="1"/>
      <c r="AN49" s="1">
        <f>=COUNTIF(E49:AI49,"A")+COUNTIF(E49:AI49,"B")+COUNTIF(E49:AI49,"C")+COUNTIF(E49:AI49,"D")+COUNTIF(E49:AI49,"E")+COUNTIF(E49:AI49,"F")+COUNTIF(E49:AI49,"M")+COUNTIF(E49:AI49,"AB")+COUNTIF(E49:AI49,"UZ")+COUNTIF(E49:AI49,"G")+(COUNTIF(E49:AI49,"RT.")/2)+(COUNTIF(E49:AI49,"ÇRT.")/2)</f>
      </c>
      <c r="AO49" s="1">
        <f>=COUNTIF(E49:AI49,"O")</f>
      </c>
      <c r="AP49" s="1">
        <f>=COUNTIF(E49:AI49,"RT")+(COUNTIF(E49:AI49,"RT.")/2)</f>
      </c>
      <c r="AQ49" s="1">
        <f>=COUNTIF(E49:AI49,"ÇRT")+(COUNTIF(E49:AI49,"ÇRT.")/2)</f>
      </c>
      <c r="AR49" s="1">
        <f>=COUNTIF(E49:AI49,"ÇHT")</f>
      </c>
      <c r="AS49" s="1">
        <f>=COUNTIF(E49:AI49,"Ö")+COUNTIF(E49:AI49,"T")</f>
      </c>
      <c r="AT49" s="1">
        <f>=COUNTIF(E49:AI49,"Y")</f>
      </c>
      <c r="AU49" s="1">
        <f>=COUNTIF(E49:AI49,"R.")</f>
      </c>
      <c r="AV49" s="1">
        <f>=COUNTIF(E49:AI49,"Ü")</f>
      </c>
      <c r="AW49" s="1">
        <f>=COUNTIF(E49:AI49,"R")</f>
      </c>
      <c r="AX49" s="1">
        <f>=COUNTIF(E49:AI49,"DV")</f>
      </c>
      <c r="AY49" s="1">
        <f>=+AN49+AO49+AP49+AQ49+AR49+AS49+AT49+AU49</f>
      </c>
    </row>
    <row r="50" ht="16" customHeight="1" spans="1:51" x14ac:dyDescent="0.25">
      <c r="A50" s="46"/>
      <c r="B50" s="46"/>
      <c r="C50" s="46"/>
      <c r="D50" s="46" t="s">
        <v>32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>
        <v>2</v>
      </c>
      <c r="AG50" s="46"/>
      <c r="AH50" s="46"/>
      <c r="AI50" s="46"/>
      <c r="AJ50" s="46"/>
      <c r="AK50" s="46"/>
      <c r="AL50" s="46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ht="16" customHeight="1" spans="1:51" x14ac:dyDescent="0.25">
      <c r="A51" s="46">
        <v>22</v>
      </c>
      <c r="B51" s="46" t="s">
        <v>82</v>
      </c>
      <c r="C51" s="46" t="s">
        <v>83</v>
      </c>
      <c r="D51" s="46" t="s">
        <v>28</v>
      </c>
      <c r="E51" s="46" t="s">
        <v>29</v>
      </c>
      <c r="F51" s="46" t="s">
        <v>30</v>
      </c>
      <c r="G51" s="46" t="s">
        <v>29</v>
      </c>
      <c r="H51" s="46" t="s">
        <v>29</v>
      </c>
      <c r="I51" s="46" t="s">
        <v>29</v>
      </c>
      <c r="J51" s="46" t="s">
        <v>29</v>
      </c>
      <c r="K51" s="46" t="s">
        <v>29</v>
      </c>
      <c r="L51" s="46" t="s">
        <v>29</v>
      </c>
      <c r="M51" s="46" t="s">
        <v>30</v>
      </c>
      <c r="N51" s="46" t="s">
        <v>29</v>
      </c>
      <c r="O51" s="46" t="s">
        <v>29</v>
      </c>
      <c r="P51" s="46" t="s">
        <v>29</v>
      </c>
      <c r="Q51" s="46" t="s">
        <v>47</v>
      </c>
      <c r="R51" s="46" t="s">
        <v>47</v>
      </c>
      <c r="S51" s="46" t="s">
        <v>79</v>
      </c>
      <c r="T51" s="46" t="s">
        <v>79</v>
      </c>
      <c r="U51" s="46" t="s">
        <v>79</v>
      </c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>
        <f>=SUM(E52:AI52)</f>
      </c>
      <c r="AK51" s="46">
        <f>=+AY51</f>
      </c>
      <c r="AL51" s="46"/>
      <c r="AM51" s="1"/>
      <c r="AN51" s="1">
        <f>=COUNTIF(E51:AI51,"A")+COUNTIF(E51:AI51,"B")+COUNTIF(E51:AI51,"C")+COUNTIF(E51:AI51,"D")+COUNTIF(E51:AI51,"E")+COUNTIF(E51:AI51,"F")+COUNTIF(E51:AI51,"M")+COUNTIF(E51:AI51,"AB")+COUNTIF(E51:AI51,"UZ")+COUNTIF(E51:AI51,"G")+(COUNTIF(E51:AI51,"RT.")/2)+(COUNTIF(E51:AI51,"ÇRT.")/2)</f>
      </c>
      <c r="AO51" s="1">
        <f>=COUNTIF(E51:AI51,"O")</f>
      </c>
      <c r="AP51" s="1">
        <f>=COUNTIF(E51:AI51,"RT")+(COUNTIF(E51:AI51,"RT.")/2)</f>
      </c>
      <c r="AQ51" s="1">
        <f>=COUNTIF(E51:AI51,"ÇRT")+(COUNTIF(E51:AI51,"ÇRT.")/2)</f>
      </c>
      <c r="AR51" s="1">
        <f>=COUNTIF(E51:AI51,"ÇHT")</f>
      </c>
      <c r="AS51" s="1">
        <f>=COUNTIF(E51:AI51,"Ö")+COUNTIF(E51:AI51,"T")</f>
      </c>
      <c r="AT51" s="1">
        <f>=COUNTIF(E51:AI51,"Y")</f>
      </c>
      <c r="AU51" s="1">
        <f>=COUNTIF(E51:AI51,"R.")</f>
      </c>
      <c r="AV51" s="1">
        <f>=COUNTIF(E51:AI51,"Ü")</f>
      </c>
      <c r="AW51" s="1">
        <f>=COUNTIF(E51:AI51,"R")</f>
      </c>
      <c r="AX51" s="1">
        <f>=COUNTIF(E51:AI51,"DV")</f>
      </c>
      <c r="AY51" s="1">
        <f>=+AN51+AO51+AP51+AQ51+AR51+AS51+AT51+AU51</f>
      </c>
    </row>
    <row r="52" ht="16" customHeight="1" spans="1:51" x14ac:dyDescent="0.25">
      <c r="A52" s="46"/>
      <c r="B52" s="46"/>
      <c r="C52" s="46"/>
      <c r="D52" s="46" t="s">
        <v>32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ht="16" customHeight="1" spans="1:51" x14ac:dyDescent="0.25">
      <c r="A53" s="46">
        <v>23</v>
      </c>
      <c r="B53" s="46" t="s">
        <v>84</v>
      </c>
      <c r="C53" s="46" t="s">
        <v>85</v>
      </c>
      <c r="D53" s="46" t="s">
        <v>28</v>
      </c>
      <c r="E53" s="46" t="s">
        <v>29</v>
      </c>
      <c r="F53" s="46" t="s">
        <v>29</v>
      </c>
      <c r="G53" s="46" t="s">
        <v>29</v>
      </c>
      <c r="H53" s="46" t="s">
        <v>29</v>
      </c>
      <c r="I53" s="46" t="s">
        <v>29</v>
      </c>
      <c r="J53" s="46" t="s">
        <v>30</v>
      </c>
      <c r="K53" s="46" t="s">
        <v>29</v>
      </c>
      <c r="L53" s="46" t="s">
        <v>29</v>
      </c>
      <c r="M53" s="46" t="s">
        <v>29</v>
      </c>
      <c r="N53" s="46" t="s">
        <v>29</v>
      </c>
      <c r="O53" s="46" t="s">
        <v>29</v>
      </c>
      <c r="P53" s="46" t="s">
        <v>29</v>
      </c>
      <c r="Q53" s="46" t="s">
        <v>30</v>
      </c>
      <c r="R53" s="46" t="s">
        <v>29</v>
      </c>
      <c r="S53" s="46" t="s">
        <v>29</v>
      </c>
      <c r="T53" s="46" t="s">
        <v>29</v>
      </c>
      <c r="U53" s="46" t="s">
        <v>29</v>
      </c>
      <c r="V53" s="46" t="s">
        <v>29</v>
      </c>
      <c r="W53" s="46" t="s">
        <v>29</v>
      </c>
      <c r="X53" s="46" t="s">
        <v>30</v>
      </c>
      <c r="Y53" s="46" t="s">
        <v>29</v>
      </c>
      <c r="Z53" s="46" t="s">
        <v>29</v>
      </c>
      <c r="AA53" s="46" t="s">
        <v>29</v>
      </c>
      <c r="AB53" s="46" t="s">
        <v>29</v>
      </c>
      <c r="AC53" s="46" t="s">
        <v>29</v>
      </c>
      <c r="AD53" s="46" t="s">
        <v>29</v>
      </c>
      <c r="AE53" s="46" t="s">
        <v>30</v>
      </c>
      <c r="AF53" s="46" t="s">
        <v>29</v>
      </c>
      <c r="AG53" s="46" t="s">
        <v>29</v>
      </c>
      <c r="AH53" s="46" t="s">
        <v>31</v>
      </c>
      <c r="AI53" s="46" t="s">
        <v>29</v>
      </c>
      <c r="AJ53" s="46">
        <f>=SUM(E54:AI54)</f>
      </c>
      <c r="AK53" s="46">
        <f>=+AY53</f>
      </c>
      <c r="AL53" s="46"/>
      <c r="AM53" s="1"/>
      <c r="AN53" s="1">
        <f>=COUNTIF(E53:AI53,"A")+COUNTIF(E53:AI53,"B")+COUNTIF(E53:AI53,"C")+COUNTIF(E53:AI53,"D")+COUNTIF(E53:AI53,"E")+COUNTIF(E53:AI53,"F")+COUNTIF(E53:AI53,"M")+COUNTIF(E53:AI53,"AB")+COUNTIF(E53:AI53,"UZ")+COUNTIF(E53:AI53,"G")+(COUNTIF(E53:AI53,"RT.")/2)+(COUNTIF(E53:AI53,"ÇRT.")/2)</f>
      </c>
      <c r="AO53" s="1">
        <f>=COUNTIF(E53:AI53,"O")</f>
      </c>
      <c r="AP53" s="1">
        <f>=COUNTIF(E53:AI53,"RT")+(COUNTIF(E53:AI53,"RT.")/2)</f>
      </c>
      <c r="AQ53" s="1">
        <f>=COUNTIF(E53:AI53,"ÇRT")+(COUNTIF(E53:AI53,"ÇRT.")/2)</f>
      </c>
      <c r="AR53" s="1">
        <f>=COUNTIF(E53:AI53,"ÇHT")</f>
      </c>
      <c r="AS53" s="1">
        <f>=COUNTIF(E53:AI53,"Ö")+COUNTIF(E53:AI53,"T")</f>
      </c>
      <c r="AT53" s="1">
        <f>=COUNTIF(E53:AI53,"Y")</f>
      </c>
      <c r="AU53" s="1">
        <f>=COUNTIF(E53:AI53,"R.")</f>
      </c>
      <c r="AV53" s="1">
        <f>=COUNTIF(E53:AI53,"Ü")</f>
      </c>
      <c r="AW53" s="1">
        <f>=COUNTIF(E53:AI53,"R")</f>
      </c>
      <c r="AX53" s="1">
        <f>=COUNTIF(E53:AI53,"DV")</f>
      </c>
      <c r="AY53" s="1">
        <f>=+AN53+AO53+AP53+AQ53+AR53+AS53+AT53+AU53</f>
      </c>
    </row>
    <row r="54" ht="16" customHeight="1" spans="1:51" x14ac:dyDescent="0.25">
      <c r="A54" s="46"/>
      <c r="B54" s="46"/>
      <c r="C54" s="46"/>
      <c r="D54" s="46" t="s">
        <v>32</v>
      </c>
      <c r="E54" s="46"/>
      <c r="F54" s="46"/>
      <c r="G54" s="46"/>
      <c r="H54" s="46">
        <v>0</v>
      </c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>
        <v>2</v>
      </c>
      <c r="AG54" s="46"/>
      <c r="AH54" s="46"/>
      <c r="AI54" s="46"/>
      <c r="AJ54" s="46"/>
      <c r="AK54" s="46"/>
      <c r="AL54" s="46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ht="16" customHeight="1" spans="1:51" x14ac:dyDescent="0.25">
      <c r="A55" s="46">
        <v>24</v>
      </c>
      <c r="B55" s="46" t="s">
        <v>86</v>
      </c>
      <c r="C55" s="46" t="s">
        <v>87</v>
      </c>
      <c r="D55" s="46" t="s">
        <v>28</v>
      </c>
      <c r="E55" s="46" t="s">
        <v>30</v>
      </c>
      <c r="F55" s="46" t="s">
        <v>29</v>
      </c>
      <c r="G55" s="46" t="s">
        <v>29</v>
      </c>
      <c r="H55" s="46" t="s">
        <v>29</v>
      </c>
      <c r="I55" s="46" t="s">
        <v>29</v>
      </c>
      <c r="J55" s="46" t="s">
        <v>29</v>
      </c>
      <c r="K55" s="46" t="s">
        <v>29</v>
      </c>
      <c r="L55" s="46" t="s">
        <v>30</v>
      </c>
      <c r="M55" s="46" t="s">
        <v>47</v>
      </c>
      <c r="N55" s="46" t="s">
        <v>47</v>
      </c>
      <c r="O55" s="46" t="s">
        <v>47</v>
      </c>
      <c r="P55" s="46" t="s">
        <v>30</v>
      </c>
      <c r="Q55" s="46" t="s">
        <v>29</v>
      </c>
      <c r="R55" s="46" t="s">
        <v>29</v>
      </c>
      <c r="S55" s="46" t="s">
        <v>29</v>
      </c>
      <c r="T55" s="46" t="s">
        <v>29</v>
      </c>
      <c r="U55" s="46" t="s">
        <v>29</v>
      </c>
      <c r="V55" s="46" t="s">
        <v>29</v>
      </c>
      <c r="W55" s="46" t="s">
        <v>29</v>
      </c>
      <c r="X55" s="46" t="s">
        <v>29</v>
      </c>
      <c r="Y55" s="46" t="s">
        <v>29</v>
      </c>
      <c r="Z55" s="46" t="s">
        <v>30</v>
      </c>
      <c r="AA55" s="46" t="s">
        <v>68</v>
      </c>
      <c r="AB55" s="46" t="s">
        <v>68</v>
      </c>
      <c r="AC55" s="46" t="s">
        <v>47</v>
      </c>
      <c r="AD55" s="46" t="s">
        <v>29</v>
      </c>
      <c r="AE55" s="46" t="s">
        <v>29</v>
      </c>
      <c r="AF55" s="46" t="s">
        <v>29</v>
      </c>
      <c r="AG55" s="46" t="s">
        <v>30</v>
      </c>
      <c r="AH55" s="46" t="s">
        <v>31</v>
      </c>
      <c r="AI55" s="46" t="s">
        <v>29</v>
      </c>
      <c r="AJ55" s="46">
        <f>=SUM(E56:AI56)</f>
      </c>
      <c r="AK55" s="46">
        <f>=+AY55</f>
      </c>
      <c r="AL55" s="46"/>
      <c r="AM55" s="1"/>
      <c r="AN55" s="1">
        <f>=COUNTIF(E55:AI55,"A")+COUNTIF(E55:AI55,"B")+COUNTIF(E55:AI55,"C")+COUNTIF(E55:AI55,"D")+COUNTIF(E55:AI55,"E")+COUNTIF(E55:AI55,"F")+COUNTIF(E55:AI55,"M")+COUNTIF(E55:AI55,"AB")+COUNTIF(E55:AI55,"UZ")+COUNTIF(E55:AI55,"G")+(COUNTIF(E55:AI55,"RT.")/2)+(COUNTIF(E55:AI55,"ÇRT.")/2)</f>
      </c>
      <c r="AO55" s="1">
        <f>=COUNTIF(E55:AI55,"O")</f>
      </c>
      <c r="AP55" s="1">
        <f>=COUNTIF(E55:AI55,"RT")+(COUNTIF(E55:AI55,"RT.")/2)</f>
      </c>
      <c r="AQ55" s="1">
        <f>=COUNTIF(E55:AI55,"ÇRT")+(COUNTIF(E55:AI55,"ÇRT.")/2)</f>
      </c>
      <c r="AR55" s="1">
        <f>=COUNTIF(E55:AI55,"ÇHT")</f>
      </c>
      <c r="AS55" s="1">
        <f>=COUNTIF(E55:AI55,"Ö")+COUNTIF(E55:AI55,"T")</f>
      </c>
      <c r="AT55" s="1">
        <f>=COUNTIF(E55:AI55,"Y")</f>
      </c>
      <c r="AU55" s="1">
        <f>=COUNTIF(E55:AI55,"R.")</f>
      </c>
      <c r="AV55" s="1">
        <f>=COUNTIF(E55:AI55,"Ü")</f>
      </c>
      <c r="AW55" s="1">
        <f>=COUNTIF(E55:AI55,"R")</f>
      </c>
      <c r="AX55" s="1">
        <f>=COUNTIF(E55:AI55,"DV")</f>
      </c>
      <c r="AY55" s="1">
        <f>=+AN55+AO55+AP55+AQ55+AR55+AS55+AT55+AU55</f>
      </c>
    </row>
    <row r="56" ht="16" customHeight="1" spans="1:51" x14ac:dyDescent="0.25">
      <c r="A56" s="46"/>
      <c r="B56" s="46"/>
      <c r="C56" s="46"/>
      <c r="D56" s="46" t="s">
        <v>32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>
        <v>2</v>
      </c>
      <c r="AG56" s="46"/>
      <c r="AH56" s="46"/>
      <c r="AI56" s="46"/>
      <c r="AJ56" s="46"/>
      <c r="AK56" s="46"/>
      <c r="AL56" s="46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ht="16" customHeight="1" spans="1:51" x14ac:dyDescent="0.25">
      <c r="A57" s="46">
        <v>25</v>
      </c>
      <c r="B57" s="46" t="s">
        <v>88</v>
      </c>
      <c r="C57" s="46" t="s">
        <v>89</v>
      </c>
      <c r="D57" s="46" t="s">
        <v>28</v>
      </c>
      <c r="E57" s="46" t="s">
        <v>29</v>
      </c>
      <c r="F57" s="46" t="s">
        <v>29</v>
      </c>
      <c r="G57" s="46" t="s">
        <v>29</v>
      </c>
      <c r="H57" s="46" t="s">
        <v>29</v>
      </c>
      <c r="I57" s="46" t="s">
        <v>30</v>
      </c>
      <c r="J57" s="46" t="s">
        <v>29</v>
      </c>
      <c r="K57" s="46" t="s">
        <v>29</v>
      </c>
      <c r="L57" s="46" t="s">
        <v>29</v>
      </c>
      <c r="M57" s="46" t="s">
        <v>29</v>
      </c>
      <c r="N57" s="46" t="s">
        <v>29</v>
      </c>
      <c r="O57" s="46" t="s">
        <v>29</v>
      </c>
      <c r="P57" s="46" t="s">
        <v>30</v>
      </c>
      <c r="Q57" s="46" t="s">
        <v>29</v>
      </c>
      <c r="R57" s="46" t="s">
        <v>29</v>
      </c>
      <c r="S57" s="46" t="s">
        <v>29</v>
      </c>
      <c r="T57" s="46" t="s">
        <v>29</v>
      </c>
      <c r="U57" s="46" t="s">
        <v>29</v>
      </c>
      <c r="V57" s="46" t="s">
        <v>29</v>
      </c>
      <c r="W57" s="46" t="s">
        <v>30</v>
      </c>
      <c r="X57" s="46" t="s">
        <v>29</v>
      </c>
      <c r="Y57" s="46" t="s">
        <v>29</v>
      </c>
      <c r="Z57" s="46" t="s">
        <v>29</v>
      </c>
      <c r="AA57" s="46" t="s">
        <v>29</v>
      </c>
      <c r="AB57" s="46" t="s">
        <v>29</v>
      </c>
      <c r="AC57" s="46" t="s">
        <v>29</v>
      </c>
      <c r="AD57" s="46" t="s">
        <v>29</v>
      </c>
      <c r="AE57" s="46" t="s">
        <v>29</v>
      </c>
      <c r="AF57" s="46" t="s">
        <v>30</v>
      </c>
      <c r="AG57" s="46" t="s">
        <v>29</v>
      </c>
      <c r="AH57" s="46" t="s">
        <v>31</v>
      </c>
      <c r="AI57" s="46" t="s">
        <v>29</v>
      </c>
      <c r="AJ57" s="46">
        <f>=SUM(E58:AI58)</f>
      </c>
      <c r="AK57" s="46">
        <f>=+AY57</f>
      </c>
      <c r="AL57" s="46"/>
      <c r="AM57" s="1"/>
      <c r="AN57" s="1">
        <f>=COUNTIF(E57:AI57,"A")+COUNTIF(E57:AI57,"B")+COUNTIF(E57:AI57,"C")+COUNTIF(E57:AI57,"D")+COUNTIF(E57:AI57,"E")+COUNTIF(E57:AI57,"F")+COUNTIF(E57:AI57,"M")+COUNTIF(E57:AI57,"AB")+COUNTIF(E57:AI57,"UZ")+COUNTIF(E57:AI57,"G")+(COUNTIF(E57:AI57,"RT.")/2)+(COUNTIF(E57:AI57,"ÇRT.")/2)</f>
      </c>
      <c r="AO57" s="1">
        <f>=COUNTIF(E57:AI57,"O")</f>
      </c>
      <c r="AP57" s="1">
        <f>=COUNTIF(E57:AI57,"RT")+(COUNTIF(E57:AI57,"RT.")/2)</f>
      </c>
      <c r="AQ57" s="1">
        <f>=COUNTIF(E57:AI57,"ÇRT")+(COUNTIF(E57:AI57,"ÇRT.")/2)</f>
      </c>
      <c r="AR57" s="1">
        <f>=COUNTIF(E57:AI57,"ÇHT")</f>
      </c>
      <c r="AS57" s="1">
        <f>=COUNTIF(E57:AI57,"Ö")+COUNTIF(E57:AI57,"T")</f>
      </c>
      <c r="AT57" s="1">
        <f>=COUNTIF(E57:AI57,"Y")</f>
      </c>
      <c r="AU57" s="1">
        <f>=COUNTIF(E57:AI57,"R.")</f>
      </c>
      <c r="AV57" s="1">
        <f>=COUNTIF(E57:AI57,"Ü")</f>
      </c>
      <c r="AW57" s="1">
        <f>=COUNTIF(E57:AI57,"R")</f>
      </c>
      <c r="AX57" s="1">
        <f>=COUNTIF(E57:AI57,"DV")</f>
      </c>
      <c r="AY57" s="1">
        <f>=+AN57+AO57+AP57+AQ57+AR57+AS57+AT57+AU57</f>
      </c>
    </row>
    <row r="58" ht="16" customHeight="1" spans="1:51" x14ac:dyDescent="0.25">
      <c r="A58" s="46"/>
      <c r="B58" s="46"/>
      <c r="C58" s="46"/>
      <c r="D58" s="46" t="s">
        <v>32</v>
      </c>
      <c r="E58" s="46"/>
      <c r="F58" s="46"/>
      <c r="G58" s="46">
        <v>2</v>
      </c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>
        <v>3</v>
      </c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>
        <v>3</v>
      </c>
      <c r="AH58" s="46">
        <v>2</v>
      </c>
      <c r="AI58" s="46"/>
      <c r="AJ58" s="46"/>
      <c r="AK58" s="46"/>
      <c r="AL58" s="46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ht="16" customHeight="1" spans="1:51" x14ac:dyDescent="0.25">
      <c r="A59" s="46">
        <v>26</v>
      </c>
      <c r="B59" s="46" t="s">
        <v>90</v>
      </c>
      <c r="C59" s="46" t="s">
        <v>91</v>
      </c>
      <c r="D59" s="46" t="s">
        <v>28</v>
      </c>
      <c r="E59" s="46" t="s">
        <v>36</v>
      </c>
      <c r="F59" s="46" t="s">
        <v>30</v>
      </c>
      <c r="G59" s="46" t="s">
        <v>29</v>
      </c>
      <c r="H59" s="46" t="s">
        <v>29</v>
      </c>
      <c r="I59" s="46" t="s">
        <v>29</v>
      </c>
      <c r="J59" s="46" t="s">
        <v>29</v>
      </c>
      <c r="K59" s="46" t="s">
        <v>29</v>
      </c>
      <c r="L59" s="46" t="s">
        <v>29</v>
      </c>
      <c r="M59" s="46" t="s">
        <v>29</v>
      </c>
      <c r="N59" s="46" t="s">
        <v>30</v>
      </c>
      <c r="O59" s="46" t="s">
        <v>29</v>
      </c>
      <c r="P59" s="46" t="s">
        <v>29</v>
      </c>
      <c r="Q59" s="46" t="s">
        <v>29</v>
      </c>
      <c r="R59" s="46" t="s">
        <v>29</v>
      </c>
      <c r="S59" s="46" t="s">
        <v>29</v>
      </c>
      <c r="T59" s="46" t="s">
        <v>29</v>
      </c>
      <c r="U59" s="46" t="s">
        <v>29</v>
      </c>
      <c r="V59" s="46" t="s">
        <v>30</v>
      </c>
      <c r="W59" s="46" t="s">
        <v>36</v>
      </c>
      <c r="X59" s="46" t="s">
        <v>36</v>
      </c>
      <c r="Y59" s="46" t="s">
        <v>36</v>
      </c>
      <c r="Z59" s="46" t="s">
        <v>36</v>
      </c>
      <c r="AA59" s="46" t="s">
        <v>36</v>
      </c>
      <c r="AB59" s="46" t="s">
        <v>30</v>
      </c>
      <c r="AC59" s="46" t="s">
        <v>36</v>
      </c>
      <c r="AD59" s="46" t="s">
        <v>36</v>
      </c>
      <c r="AE59" s="46" t="s">
        <v>36</v>
      </c>
      <c r="AF59" s="46" t="s">
        <v>36</v>
      </c>
      <c r="AG59" s="46" t="s">
        <v>36</v>
      </c>
      <c r="AH59" s="46" t="s">
        <v>31</v>
      </c>
      <c r="AI59" s="46" t="s">
        <v>36</v>
      </c>
      <c r="AJ59" s="46">
        <f>=SUM(E60:AI60)</f>
      </c>
      <c r="AK59" s="46">
        <f>=+AY59</f>
      </c>
      <c r="AL59" s="46"/>
      <c r="AM59" s="1"/>
      <c r="AN59" s="1">
        <f>=COUNTIF(E59:AI59,"A")+COUNTIF(E59:AI59,"B")+COUNTIF(E59:AI59,"C")+COUNTIF(E59:AI59,"D")+COUNTIF(E59:AI59,"E")+COUNTIF(E59:AI59,"F")+COUNTIF(E59:AI59,"M")+COUNTIF(E59:AI59,"AB")+COUNTIF(E59:AI59,"UZ")+COUNTIF(E59:AI59,"G")+(COUNTIF(E59:AI59,"RT.")/2)+(COUNTIF(E59:AI59,"ÇRT.")/2)</f>
      </c>
      <c r="AO59" s="1">
        <f>=COUNTIF(E59:AI59,"O")</f>
      </c>
      <c r="AP59" s="1">
        <f>=COUNTIF(E59:AI59,"RT")+(COUNTIF(E59:AI59,"RT.")/2)</f>
      </c>
      <c r="AQ59" s="1">
        <f>=COUNTIF(E59:AI59,"ÇRT")+(COUNTIF(E59:AI59,"ÇRT.")/2)</f>
      </c>
      <c r="AR59" s="1">
        <f>=COUNTIF(E59:AI59,"ÇHT")</f>
      </c>
      <c r="AS59" s="1">
        <f>=COUNTIF(E59:AI59,"Ö")+COUNTIF(E59:AI59,"T")</f>
      </c>
      <c r="AT59" s="1">
        <f>=COUNTIF(E59:AI59,"Y")</f>
      </c>
      <c r="AU59" s="1">
        <f>=COUNTIF(E59:AI59,"R.")</f>
      </c>
      <c r="AV59" s="1">
        <f>=COUNTIF(E59:AI59,"Ü")</f>
      </c>
      <c r="AW59" s="1">
        <f>=COUNTIF(E59:AI59,"R")</f>
      </c>
      <c r="AX59" s="1">
        <f>=COUNTIF(E59:AI59,"DV")</f>
      </c>
      <c r="AY59" s="1">
        <f>=+AN59+AO59+AP59+AQ59+AR59+AS59+AT59+AU59</f>
      </c>
    </row>
    <row r="60" ht="16" customHeight="1" spans="1:51" x14ac:dyDescent="0.25">
      <c r="A60" s="46"/>
      <c r="B60" s="46"/>
      <c r="C60" s="46"/>
      <c r="D60" s="46" t="s">
        <v>32</v>
      </c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ht="16" customHeight="1" spans="1:51" x14ac:dyDescent="0.25">
      <c r="A61" s="46">
        <v>27</v>
      </c>
      <c r="B61" s="46" t="s">
        <v>92</v>
      </c>
      <c r="C61" s="46" t="s">
        <v>93</v>
      </c>
      <c r="D61" s="46" t="s">
        <v>28</v>
      </c>
      <c r="E61" s="46" t="s">
        <v>29</v>
      </c>
      <c r="F61" s="46" t="s">
        <v>29</v>
      </c>
      <c r="G61" s="46" t="s">
        <v>29</v>
      </c>
      <c r="H61" s="46" t="s">
        <v>29</v>
      </c>
      <c r="I61" s="46" t="s">
        <v>29</v>
      </c>
      <c r="J61" s="46" t="s">
        <v>30</v>
      </c>
      <c r="K61" s="46" t="s">
        <v>29</v>
      </c>
      <c r="L61" s="46" t="s">
        <v>29</v>
      </c>
      <c r="M61" s="46" t="s">
        <v>29</v>
      </c>
      <c r="N61" s="46" t="s">
        <v>29</v>
      </c>
      <c r="O61" s="46" t="s">
        <v>29</v>
      </c>
      <c r="P61" s="46" t="s">
        <v>30</v>
      </c>
      <c r="Q61" s="46" t="s">
        <v>29</v>
      </c>
      <c r="R61" s="46" t="s">
        <v>29</v>
      </c>
      <c r="S61" s="46" t="s">
        <v>29</v>
      </c>
      <c r="T61" s="46" t="s">
        <v>29</v>
      </c>
      <c r="U61" s="46" t="s">
        <v>29</v>
      </c>
      <c r="V61" s="46" t="s">
        <v>29</v>
      </c>
      <c r="W61" s="46" t="s">
        <v>30</v>
      </c>
      <c r="X61" s="46" t="s">
        <v>29</v>
      </c>
      <c r="Y61" s="46" t="s">
        <v>29</v>
      </c>
      <c r="Z61" s="46" t="s">
        <v>29</v>
      </c>
      <c r="AA61" s="46" t="s">
        <v>29</v>
      </c>
      <c r="AB61" s="46" t="s">
        <v>29</v>
      </c>
      <c r="AC61" s="46" t="s">
        <v>29</v>
      </c>
      <c r="AD61" s="46" t="s">
        <v>30</v>
      </c>
      <c r="AE61" s="46" t="s">
        <v>29</v>
      </c>
      <c r="AF61" s="46" t="s">
        <v>29</v>
      </c>
      <c r="AG61" s="46" t="s">
        <v>29</v>
      </c>
      <c r="AH61" s="46" t="s">
        <v>31</v>
      </c>
      <c r="AI61" s="46" t="s">
        <v>29</v>
      </c>
      <c r="AJ61" s="46">
        <f>=SUM(E62:AI62)</f>
      </c>
      <c r="AK61" s="46">
        <f>=+AY61</f>
      </c>
      <c r="AL61" s="46"/>
      <c r="AM61" s="1"/>
      <c r="AN61" s="1">
        <f>=COUNTIF(E61:AI61,"A")+COUNTIF(E61:AI61,"B")+COUNTIF(E61:AI61,"C")+COUNTIF(E61:AI61,"D")+COUNTIF(E61:AI61,"E")+COUNTIF(E61:AI61,"F")+COUNTIF(E61:AI61,"M")+COUNTIF(E61:AI61,"AB")+COUNTIF(E61:AI61,"UZ")+COUNTIF(E61:AI61,"G")+(COUNTIF(E61:AI61,"RT.")/2)+(COUNTIF(E61:AI61,"ÇRT.")/2)</f>
      </c>
      <c r="AO61" s="1">
        <f>=COUNTIF(E61:AI61,"O")</f>
      </c>
      <c r="AP61" s="1">
        <f>=COUNTIF(E61:AI61,"RT")+(COUNTIF(E61:AI61,"RT.")/2)</f>
      </c>
      <c r="AQ61" s="1">
        <f>=COUNTIF(E61:AI61,"ÇRT")+(COUNTIF(E61:AI61,"ÇRT.")/2)</f>
      </c>
      <c r="AR61" s="1">
        <f>=COUNTIF(E61:AI61,"ÇHT")</f>
      </c>
      <c r="AS61" s="1">
        <f>=COUNTIF(E61:AI61,"Ö")+COUNTIF(E61:AI61,"T")</f>
      </c>
      <c r="AT61" s="1">
        <f>=COUNTIF(E61:AI61,"Y")</f>
      </c>
      <c r="AU61" s="1">
        <f>=COUNTIF(E61:AI61,"R.")</f>
      </c>
      <c r="AV61" s="1">
        <f>=COUNTIF(E61:AI61,"Ü")</f>
      </c>
      <c r="AW61" s="1">
        <f>=COUNTIF(E61:AI61,"R")</f>
      </c>
      <c r="AX61" s="1">
        <f>=COUNTIF(E61:AI61,"DV")</f>
      </c>
      <c r="AY61" s="1">
        <f>=+AN61+AO61+AP61+AQ61+AR61+AS61+AT61+AU61</f>
      </c>
    </row>
    <row r="62" ht="16" customHeight="1" spans="1:51" x14ac:dyDescent="0.25">
      <c r="A62" s="46"/>
      <c r="B62" s="46"/>
      <c r="C62" s="46"/>
      <c r="D62" s="46" t="s">
        <v>32</v>
      </c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>
        <v>1</v>
      </c>
      <c r="Z62" s="46"/>
      <c r="AA62" s="46"/>
      <c r="AB62" s="46"/>
      <c r="AC62" s="46"/>
      <c r="AD62" s="46"/>
      <c r="AE62" s="46"/>
      <c r="AF62" s="46"/>
      <c r="AG62" s="46">
        <v>3</v>
      </c>
      <c r="AH62" s="46">
        <v>2</v>
      </c>
      <c r="AI62" s="46"/>
      <c r="AJ62" s="46"/>
      <c r="AK62" s="46"/>
      <c r="AL62" s="46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ht="16" customHeight="1" spans="1:51" x14ac:dyDescent="0.25">
      <c r="A63" s="46">
        <v>28</v>
      </c>
      <c r="B63" s="46" t="s">
        <v>94</v>
      </c>
      <c r="C63" s="46" t="s">
        <v>95</v>
      </c>
      <c r="D63" s="46" t="s">
        <v>28</v>
      </c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>
        <f>=SUM(E64:AI64)</f>
      </c>
      <c r="AK63" s="46">
        <f>=+AY63</f>
      </c>
      <c r="AL63" s="46"/>
      <c r="AM63" s="1"/>
      <c r="AN63" s="1">
        <f>=COUNTIF(E63:AI63,"A")+COUNTIF(E63:AI63,"B")+COUNTIF(E63:AI63,"C")+COUNTIF(E63:AI63,"D")+COUNTIF(E63:AI63,"E")+COUNTIF(E63:AI63,"F")+COUNTIF(E63:AI63,"M")+COUNTIF(E63:AI63,"AB")+COUNTIF(E63:AI63,"UZ")+COUNTIF(E63:AI63,"G")+(COUNTIF(E63:AI63,"RT.")/2)+(COUNTIF(E63:AI63,"ÇRT.")/2)</f>
      </c>
      <c r="AO63" s="1">
        <f>=COUNTIF(E63:AI63,"O")</f>
      </c>
      <c r="AP63" s="1">
        <f>=COUNTIF(E63:AI63,"RT")+(COUNTIF(E63:AI63,"RT.")/2)</f>
      </c>
      <c r="AQ63" s="1">
        <f>=COUNTIF(E63:AI63,"ÇRT")+(COUNTIF(E63:AI63,"ÇRT.")/2)</f>
      </c>
      <c r="AR63" s="1">
        <f>=COUNTIF(E63:AI63,"ÇHT")</f>
      </c>
      <c r="AS63" s="1">
        <f>=COUNTIF(E63:AI63,"Ö")+COUNTIF(E63:AI63,"T")</f>
      </c>
      <c r="AT63" s="1">
        <f>=COUNTIF(E63:AI63,"Y")</f>
      </c>
      <c r="AU63" s="1">
        <f>=COUNTIF(E63:AI63,"R.")</f>
      </c>
      <c r="AV63" s="1">
        <f>=COUNTIF(E63:AI63,"Ü")</f>
      </c>
      <c r="AW63" s="1">
        <f>=COUNTIF(E63:AI63,"R")</f>
      </c>
      <c r="AX63" s="1">
        <f>=COUNTIF(E63:AI63,"DV")</f>
      </c>
      <c r="AY63" s="1">
        <f>=+AN63+AO63+AP63+AQ63+AR63+AS63+AT63+AU63</f>
      </c>
    </row>
    <row r="64" ht="16" customHeight="1" spans="1:51" x14ac:dyDescent="0.25">
      <c r="A64" s="46"/>
      <c r="B64" s="46"/>
      <c r="C64" s="46"/>
      <c r="D64" s="46" t="s">
        <v>32</v>
      </c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ht="16" customHeight="1" spans="1:51" x14ac:dyDescent="0.25">
      <c r="A65" s="46">
        <v>29</v>
      </c>
      <c r="B65" s="46" t="s">
        <v>96</v>
      </c>
      <c r="C65" s="46" t="s">
        <v>97</v>
      </c>
      <c r="D65" s="46" t="s">
        <v>28</v>
      </c>
      <c r="E65" s="46" t="s">
        <v>29</v>
      </c>
      <c r="F65" s="46" t="s">
        <v>29</v>
      </c>
      <c r="G65" s="46" t="s">
        <v>30</v>
      </c>
      <c r="H65" s="46" t="s">
        <v>29</v>
      </c>
      <c r="I65" s="46" t="s">
        <v>29</v>
      </c>
      <c r="J65" s="46" t="s">
        <v>29</v>
      </c>
      <c r="K65" s="46" t="s">
        <v>29</v>
      </c>
      <c r="L65" s="46" t="s">
        <v>29</v>
      </c>
      <c r="M65" s="46" t="s">
        <v>29</v>
      </c>
      <c r="N65" s="46" t="s">
        <v>29</v>
      </c>
      <c r="O65" s="46" t="s">
        <v>30</v>
      </c>
      <c r="P65" s="46" t="s">
        <v>29</v>
      </c>
      <c r="Q65" s="46" t="s">
        <v>29</v>
      </c>
      <c r="R65" s="46" t="s">
        <v>29</v>
      </c>
      <c r="S65" s="46" t="s">
        <v>29</v>
      </c>
      <c r="T65" s="46" t="s">
        <v>29</v>
      </c>
      <c r="U65" s="46" t="s">
        <v>30</v>
      </c>
      <c r="V65" s="46" t="s">
        <v>29</v>
      </c>
      <c r="W65" s="46" t="s">
        <v>29</v>
      </c>
      <c r="X65" s="46" t="s">
        <v>29</v>
      </c>
      <c r="Y65" s="46" t="s">
        <v>29</v>
      </c>
      <c r="Z65" s="46" t="s">
        <v>29</v>
      </c>
      <c r="AA65" s="46" t="s">
        <v>29</v>
      </c>
      <c r="AB65" s="46" t="s">
        <v>30</v>
      </c>
      <c r="AC65" s="46" t="s">
        <v>29</v>
      </c>
      <c r="AD65" s="46" t="s">
        <v>29</v>
      </c>
      <c r="AE65" s="46" t="s">
        <v>29</v>
      </c>
      <c r="AF65" s="46" t="s">
        <v>29</v>
      </c>
      <c r="AG65" s="46" t="s">
        <v>29</v>
      </c>
      <c r="AH65" s="46" t="s">
        <v>31</v>
      </c>
      <c r="AI65" s="46" t="s">
        <v>30</v>
      </c>
      <c r="AJ65" s="46">
        <f>=SUM(E66:AI66)</f>
      </c>
      <c r="AK65" s="46">
        <f>=+AY65</f>
      </c>
      <c r="AL65" s="46"/>
      <c r="AM65" s="1"/>
      <c r="AN65" s="1">
        <f>=COUNTIF(E65:AI65,"A")+COUNTIF(E65:AI65,"B")+COUNTIF(E65:AI65,"C")+COUNTIF(E65:AI65,"D")+COUNTIF(E65:AI65,"E")+COUNTIF(E65:AI65,"F")+COUNTIF(E65:AI65,"M")+COUNTIF(E65:AI65,"AB")+COUNTIF(E65:AI65,"UZ")+COUNTIF(E65:AI65,"G")+(COUNTIF(E65:AI65,"RT.")/2)+(COUNTIF(E65:AI65,"ÇRT.")/2)</f>
      </c>
      <c r="AO65" s="1">
        <f>=COUNTIF(E65:AI65,"O")</f>
      </c>
      <c r="AP65" s="1">
        <f>=COUNTIF(E65:AI65,"RT")+(COUNTIF(E65:AI65,"RT.")/2)</f>
      </c>
      <c r="AQ65" s="1">
        <f>=COUNTIF(E65:AI65,"ÇRT")+(COUNTIF(E65:AI65,"ÇRT.")/2)</f>
      </c>
      <c r="AR65" s="1">
        <f>=COUNTIF(E65:AI65,"ÇHT")</f>
      </c>
      <c r="AS65" s="1">
        <f>=COUNTIF(E65:AI65,"Ö")+COUNTIF(E65:AI65,"T")</f>
      </c>
      <c r="AT65" s="1">
        <f>=COUNTIF(E65:AI65,"Y")</f>
      </c>
      <c r="AU65" s="1">
        <f>=COUNTIF(E65:AI65,"R.")</f>
      </c>
      <c r="AV65" s="1">
        <f>=COUNTIF(E65:AI65,"Ü")</f>
      </c>
      <c r="AW65" s="1">
        <f>=COUNTIF(E65:AI65,"R")</f>
      </c>
      <c r="AX65" s="1">
        <f>=COUNTIF(E65:AI65,"DV")</f>
      </c>
      <c r="AY65" s="1">
        <f>=+AN65+AO65+AP65+AQ65+AR65+AS65+AT65+AU65</f>
      </c>
    </row>
    <row r="66" ht="16" customHeight="1" spans="1:51" x14ac:dyDescent="0.25">
      <c r="A66" s="46"/>
      <c r="B66" s="46"/>
      <c r="C66" s="46"/>
      <c r="D66" s="46" t="s">
        <v>32</v>
      </c>
      <c r="E66" s="46"/>
      <c r="F66" s="46"/>
      <c r="G66" s="46"/>
      <c r="H66" s="46"/>
      <c r="I66" s="46"/>
      <c r="J66" s="46"/>
      <c r="K66" s="46"/>
      <c r="L66" s="46"/>
      <c r="M66" s="46">
        <v>1</v>
      </c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>
        <v>3</v>
      </c>
      <c r="AH66" s="46">
        <v>2</v>
      </c>
      <c r="AI66" s="46"/>
      <c r="AJ66" s="46"/>
      <c r="AK66" s="46"/>
      <c r="AL66" s="46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ht="16" customHeight="1" spans="1:51" x14ac:dyDescent="0.25">
      <c r="A67" s="46">
        <v>30</v>
      </c>
      <c r="B67" s="46" t="s">
        <v>98</v>
      </c>
      <c r="C67" s="46" t="s">
        <v>99</v>
      </c>
      <c r="D67" s="46" t="s">
        <v>28</v>
      </c>
      <c r="E67" s="46" t="s">
        <v>29</v>
      </c>
      <c r="F67" s="46" t="s">
        <v>29</v>
      </c>
      <c r="G67" s="46" t="s">
        <v>29</v>
      </c>
      <c r="H67" s="46" t="s">
        <v>30</v>
      </c>
      <c r="I67" s="46" t="s">
        <v>29</v>
      </c>
      <c r="J67" s="46" t="s">
        <v>29</v>
      </c>
      <c r="K67" s="46" t="s">
        <v>29</v>
      </c>
      <c r="L67" s="46" t="s">
        <v>29</v>
      </c>
      <c r="M67" s="46" t="s">
        <v>29</v>
      </c>
      <c r="N67" s="46" t="s">
        <v>44</v>
      </c>
      <c r="O67" s="46" t="s">
        <v>29</v>
      </c>
      <c r="P67" s="46" t="s">
        <v>29</v>
      </c>
      <c r="Q67" s="46" t="s">
        <v>29</v>
      </c>
      <c r="R67" s="46" t="s">
        <v>29</v>
      </c>
      <c r="S67" s="46" t="s">
        <v>29</v>
      </c>
      <c r="T67" s="46" t="s">
        <v>29</v>
      </c>
      <c r="U67" s="46" t="s">
        <v>30</v>
      </c>
      <c r="V67" s="46" t="s">
        <v>29</v>
      </c>
      <c r="W67" s="46" t="s">
        <v>29</v>
      </c>
      <c r="X67" s="46" t="s">
        <v>29</v>
      </c>
      <c r="Y67" s="46" t="s">
        <v>29</v>
      </c>
      <c r="Z67" s="46" t="s">
        <v>29</v>
      </c>
      <c r="AA67" s="46" t="s">
        <v>29</v>
      </c>
      <c r="AB67" s="46" t="s">
        <v>30</v>
      </c>
      <c r="AC67" s="46" t="s">
        <v>29</v>
      </c>
      <c r="AD67" s="46" t="s">
        <v>29</v>
      </c>
      <c r="AE67" s="46" t="s">
        <v>29</v>
      </c>
      <c r="AF67" s="46" t="s">
        <v>29</v>
      </c>
      <c r="AG67" s="46" t="s">
        <v>29</v>
      </c>
      <c r="AH67" s="46" t="s">
        <v>31</v>
      </c>
      <c r="AI67" s="46" t="s">
        <v>30</v>
      </c>
      <c r="AJ67" s="46">
        <f>=SUM(E68:AI68)</f>
      </c>
      <c r="AK67" s="46">
        <f>=+AY67</f>
      </c>
      <c r="AL67" s="46"/>
      <c r="AM67" s="1"/>
      <c r="AN67" s="1">
        <f>=COUNTIF(E67:AI67,"A")+COUNTIF(E67:AI67,"B")+COUNTIF(E67:AI67,"C")+COUNTIF(E67:AI67,"D")+COUNTIF(E67:AI67,"E")+COUNTIF(E67:AI67,"F")+COUNTIF(E67:AI67,"M")+COUNTIF(E67:AI67,"AB")+COUNTIF(E67:AI67,"UZ")+COUNTIF(E67:AI67,"G")+(COUNTIF(E67:AI67,"RT.")/2)+(COUNTIF(E67:AI67,"ÇRT.")/2)</f>
      </c>
      <c r="AO67" s="1">
        <f>=COUNTIF(E67:AI67,"O")</f>
      </c>
      <c r="AP67" s="1">
        <f>=COUNTIF(E67:AI67,"RT")+(COUNTIF(E67:AI67,"RT.")/2)</f>
      </c>
      <c r="AQ67" s="1">
        <f>=COUNTIF(E67:AI67,"ÇRT")+(COUNTIF(E67:AI67,"ÇRT.")/2)</f>
      </c>
      <c r="AR67" s="1">
        <f>=COUNTIF(E67:AI67,"ÇHT")</f>
      </c>
      <c r="AS67" s="1">
        <f>=COUNTIF(E67:AI67,"Ö")+COUNTIF(E67:AI67,"T")</f>
      </c>
      <c r="AT67" s="1">
        <f>=COUNTIF(E67:AI67,"Y")</f>
      </c>
      <c r="AU67" s="1">
        <f>=COUNTIF(E67:AI67,"R.")</f>
      </c>
      <c r="AV67" s="1">
        <f>=COUNTIF(E67:AI67,"Ü")</f>
      </c>
      <c r="AW67" s="1">
        <f>=COUNTIF(E67:AI67,"R")</f>
      </c>
      <c r="AX67" s="1">
        <f>=COUNTIF(E67:AI67,"DV")</f>
      </c>
      <c r="AY67" s="1">
        <f>=+AN67+AO67+AP67+AQ67+AR67+AS67+AT67+AU67</f>
      </c>
    </row>
    <row r="68" ht="16" customHeight="1" spans="1:51" x14ac:dyDescent="0.25">
      <c r="A68" s="46"/>
      <c r="B68" s="46"/>
      <c r="C68" s="46"/>
      <c r="D68" s="46" t="s">
        <v>32</v>
      </c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>
        <v>3</v>
      </c>
      <c r="AH68" s="46">
        <v>2</v>
      </c>
      <c r="AI68" s="46"/>
      <c r="AJ68" s="46"/>
      <c r="AK68" s="46"/>
      <c r="AL68" s="46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ht="16" customHeight="1" spans="1:51" x14ac:dyDescent="0.25">
      <c r="A69" s="46">
        <v>31</v>
      </c>
      <c r="B69" s="46" t="s">
        <v>100</v>
      </c>
      <c r="C69" s="46" t="s">
        <v>101</v>
      </c>
      <c r="D69" s="46" t="s">
        <v>28</v>
      </c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>
        <f>=SUM(E70:AI70)</f>
      </c>
      <c r="AK69" s="46">
        <f>=+AY69</f>
      </c>
      <c r="AL69" s="46"/>
      <c r="AM69" s="1"/>
      <c r="AN69" s="1">
        <f>=COUNTIF(E69:AI69,"A")+COUNTIF(E69:AI69,"B")+COUNTIF(E69:AI69,"C")+COUNTIF(E69:AI69,"D")+COUNTIF(E69:AI69,"E")+COUNTIF(E69:AI69,"F")+COUNTIF(E69:AI69,"M")+COUNTIF(E69:AI69,"AB")+COUNTIF(E69:AI69,"UZ")+COUNTIF(E69:AI69,"G")+(COUNTIF(E69:AI69,"RT.")/2)+(COUNTIF(E69:AI69,"ÇRT.")/2)</f>
      </c>
      <c r="AO69" s="1">
        <f>=COUNTIF(E69:AI69,"O")</f>
      </c>
      <c r="AP69" s="1">
        <f>=COUNTIF(E69:AI69,"RT")+(COUNTIF(E69:AI69,"RT.")/2)</f>
      </c>
      <c r="AQ69" s="1">
        <f>=COUNTIF(E69:AI69,"ÇRT")+(COUNTIF(E69:AI69,"ÇRT.")/2)</f>
      </c>
      <c r="AR69" s="1">
        <f>=COUNTIF(E69:AI69,"ÇHT")</f>
      </c>
      <c r="AS69" s="1">
        <f>=COUNTIF(E69:AI69,"Ö")+COUNTIF(E69:AI69,"T")</f>
      </c>
      <c r="AT69" s="1">
        <f>=COUNTIF(E69:AI69,"Y")</f>
      </c>
      <c r="AU69" s="1">
        <f>=COUNTIF(E69:AI69,"R.")</f>
      </c>
      <c r="AV69" s="1">
        <f>=COUNTIF(E69:AI69,"Ü")</f>
      </c>
      <c r="AW69" s="1">
        <f>=COUNTIF(E69:AI69,"R")</f>
      </c>
      <c r="AX69" s="1">
        <f>=COUNTIF(E69:AI69,"DV")</f>
      </c>
      <c r="AY69" s="1">
        <f>=+AN69+AO69+AP69+AQ69+AR69+AS69+AT69+AU69</f>
      </c>
    </row>
    <row r="70" ht="16" customHeight="1" spans="1:51" x14ac:dyDescent="0.25">
      <c r="A70" s="46"/>
      <c r="B70" s="46"/>
      <c r="C70" s="46"/>
      <c r="D70" s="46" t="s">
        <v>32</v>
      </c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ht="16" customHeight="1" spans="1:51" x14ac:dyDescent="0.25">
      <c r="A71" s="46">
        <v>32</v>
      </c>
      <c r="B71" s="46" t="s">
        <v>102</v>
      </c>
      <c r="C71" s="46" t="s">
        <v>103</v>
      </c>
      <c r="D71" s="46" t="s">
        <v>28</v>
      </c>
      <c r="E71" s="46" t="s">
        <v>29</v>
      </c>
      <c r="F71" s="46" t="s">
        <v>29</v>
      </c>
      <c r="G71" s="46" t="s">
        <v>29</v>
      </c>
      <c r="H71" s="46" t="s">
        <v>29</v>
      </c>
      <c r="I71" s="46" t="s">
        <v>29</v>
      </c>
      <c r="J71" s="46" t="s">
        <v>30</v>
      </c>
      <c r="K71" s="46" t="s">
        <v>29</v>
      </c>
      <c r="L71" s="46" t="s">
        <v>29</v>
      </c>
      <c r="M71" s="46" t="s">
        <v>29</v>
      </c>
      <c r="N71" s="46" t="s">
        <v>29</v>
      </c>
      <c r="O71" s="46" t="s">
        <v>29</v>
      </c>
      <c r="P71" s="46" t="s">
        <v>29</v>
      </c>
      <c r="Q71" s="46" t="s">
        <v>30</v>
      </c>
      <c r="R71" s="46" t="s">
        <v>29</v>
      </c>
      <c r="S71" s="46" t="s">
        <v>29</v>
      </c>
      <c r="T71" s="46" t="s">
        <v>29</v>
      </c>
      <c r="U71" s="46" t="s">
        <v>29</v>
      </c>
      <c r="V71" s="46" t="s">
        <v>29</v>
      </c>
      <c r="W71" s="46" t="s">
        <v>29</v>
      </c>
      <c r="X71" s="46" t="s">
        <v>30</v>
      </c>
      <c r="Y71" s="46" t="s">
        <v>29</v>
      </c>
      <c r="Z71" s="46" t="s">
        <v>29</v>
      </c>
      <c r="AA71" s="46" t="s">
        <v>29</v>
      </c>
      <c r="AB71" s="46" t="s">
        <v>29</v>
      </c>
      <c r="AC71" s="46" t="s">
        <v>29</v>
      </c>
      <c r="AD71" s="46" t="s">
        <v>29</v>
      </c>
      <c r="AE71" s="46" t="s">
        <v>30</v>
      </c>
      <c r="AF71" s="46" t="s">
        <v>29</v>
      </c>
      <c r="AG71" s="46" t="s">
        <v>29</v>
      </c>
      <c r="AH71" s="46" t="s">
        <v>31</v>
      </c>
      <c r="AI71" s="46" t="s">
        <v>29</v>
      </c>
      <c r="AJ71" s="46">
        <f>=SUM(E72:AI72)</f>
      </c>
      <c r="AK71" s="46">
        <f>=+AY71</f>
      </c>
      <c r="AL71" s="46"/>
      <c r="AM71" s="1"/>
      <c r="AN71" s="1">
        <f>=COUNTIF(E71:AI71,"A")+COUNTIF(E71:AI71,"B")+COUNTIF(E71:AI71,"C")+COUNTIF(E71:AI71,"D")+COUNTIF(E71:AI71,"E")+COUNTIF(E71:AI71,"F")+COUNTIF(E71:AI71,"M")+COUNTIF(E71:AI71,"AB")+COUNTIF(E71:AI71,"UZ")+COUNTIF(E71:AI71,"G")+(COUNTIF(E71:AI71,"RT.")/2)+(COUNTIF(E71:AI71,"ÇRT.")/2)</f>
      </c>
      <c r="AO71" s="1">
        <f>=COUNTIF(E71:AI71,"O")</f>
      </c>
      <c r="AP71" s="1">
        <f>=COUNTIF(E71:AI71,"RT")+(COUNTIF(E71:AI71,"RT.")/2)</f>
      </c>
      <c r="AQ71" s="1">
        <f>=COUNTIF(E71:AI71,"ÇRT")+(COUNTIF(E71:AI71,"ÇRT.")/2)</f>
      </c>
      <c r="AR71" s="1">
        <f>=COUNTIF(E71:AI71,"ÇHT")</f>
      </c>
      <c r="AS71" s="1">
        <f>=COUNTIF(E71:AI71,"Ö")+COUNTIF(E71:AI71,"T")</f>
      </c>
      <c r="AT71" s="1">
        <f>=COUNTIF(E71:AI71,"Y")</f>
      </c>
      <c r="AU71" s="1">
        <f>=COUNTIF(E71:AI71,"R.")</f>
      </c>
      <c r="AV71" s="1">
        <f>=COUNTIF(E71:AI71,"Ü")</f>
      </c>
      <c r="AW71" s="1">
        <f>=COUNTIF(E71:AI71,"R")</f>
      </c>
      <c r="AX71" s="1">
        <f>=COUNTIF(E71:AI71,"DV")</f>
      </c>
      <c r="AY71" s="1">
        <f>=+AN71+AO71+AP71+AQ71+AR71+AS71+AT71+AU71</f>
      </c>
    </row>
    <row r="72" ht="16" customHeight="1" spans="1:51" x14ac:dyDescent="0.25">
      <c r="A72" s="46"/>
      <c r="B72" s="46"/>
      <c r="C72" s="46"/>
      <c r="D72" s="46" t="s">
        <v>32</v>
      </c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>
        <v>3</v>
      </c>
      <c r="AH72" s="46">
        <v>2</v>
      </c>
      <c r="AI72" s="46"/>
      <c r="AJ72" s="46"/>
      <c r="AK72" s="46"/>
      <c r="AL72" s="46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ht="16" customHeight="1" spans="1:51" x14ac:dyDescent="0.25">
      <c r="A73" s="46">
        <v>33</v>
      </c>
      <c r="B73" s="46" t="s">
        <v>104</v>
      </c>
      <c r="C73" s="46" t="s">
        <v>105</v>
      </c>
      <c r="D73" s="46" t="s">
        <v>28</v>
      </c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 t="s">
        <v>29</v>
      </c>
      <c r="P73" s="46" t="s">
        <v>50</v>
      </c>
      <c r="Q73" s="46" t="s">
        <v>50</v>
      </c>
      <c r="R73" s="46" t="s">
        <v>50</v>
      </c>
      <c r="S73" s="46" t="s">
        <v>30</v>
      </c>
      <c r="T73" s="46" t="s">
        <v>50</v>
      </c>
      <c r="U73" s="46" t="s">
        <v>50</v>
      </c>
      <c r="V73" s="46" t="s">
        <v>53</v>
      </c>
      <c r="W73" s="46" t="s">
        <v>53</v>
      </c>
      <c r="X73" s="46" t="s">
        <v>53</v>
      </c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>
        <f>=SUM(E74:AI74)</f>
      </c>
      <c r="AK73" s="46">
        <f>=+AY73</f>
      </c>
      <c r="AL73" s="46"/>
      <c r="AM73" s="1"/>
      <c r="AN73" s="1">
        <f>=COUNTIF(E73:AI73,"A")+COUNTIF(E73:AI73,"B")+COUNTIF(E73:AI73,"C")+COUNTIF(E73:AI73,"D")+COUNTIF(E73:AI73,"E")+COUNTIF(E73:AI73,"F")+COUNTIF(E73:AI73,"M")+COUNTIF(E73:AI73,"AB")+COUNTIF(E73:AI73,"UZ")+COUNTIF(E73:AI73,"G")+(COUNTIF(E73:AI73,"RT.")/2)+(COUNTIF(E73:AI73,"ÇRT.")/2)</f>
      </c>
      <c r="AO73" s="1">
        <f>=COUNTIF(E73:AI73,"O")</f>
      </c>
      <c r="AP73" s="1">
        <f>=COUNTIF(E73:AI73,"RT")+(COUNTIF(E73:AI73,"RT.")/2)</f>
      </c>
      <c r="AQ73" s="1">
        <f>=COUNTIF(E73:AI73,"ÇRT")+(COUNTIF(E73:AI73,"ÇRT.")/2)</f>
      </c>
      <c r="AR73" s="1">
        <f>=COUNTIF(E73:AI73,"ÇHT")</f>
      </c>
      <c r="AS73" s="1">
        <f>=COUNTIF(E73:AI73,"Ö")+COUNTIF(E73:AI73,"T")</f>
      </c>
      <c r="AT73" s="1">
        <f>=COUNTIF(E73:AI73,"Y")</f>
      </c>
      <c r="AU73" s="1">
        <f>=COUNTIF(E73:AI73,"R.")</f>
      </c>
      <c r="AV73" s="1">
        <f>=COUNTIF(E73:AI73,"Ü")</f>
      </c>
      <c r="AW73" s="1">
        <f>=COUNTIF(E73:AI73,"R")</f>
      </c>
      <c r="AX73" s="1">
        <f>=COUNTIF(E73:AI73,"DV")</f>
      </c>
      <c r="AY73" s="1">
        <f>=+AN73+AO73+AP73+AQ73+AR73+AS73+AT73+AU73</f>
      </c>
    </row>
    <row r="74" ht="16" customHeight="1" spans="1:51" x14ac:dyDescent="0.25">
      <c r="A74" s="46"/>
      <c r="B74" s="46"/>
      <c r="C74" s="46"/>
      <c r="D74" s="46" t="s">
        <v>32</v>
      </c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ht="16" customHeight="1" spans="1:51" x14ac:dyDescent="0.25">
      <c r="A75" s="46">
        <v>34</v>
      </c>
      <c r="B75" s="46" t="s">
        <v>106</v>
      </c>
      <c r="C75" s="46" t="s">
        <v>107</v>
      </c>
      <c r="D75" s="46" t="s">
        <v>28</v>
      </c>
      <c r="E75" s="46" t="s">
        <v>29</v>
      </c>
      <c r="F75" s="46" t="s">
        <v>29</v>
      </c>
      <c r="G75" s="46" t="s">
        <v>30</v>
      </c>
      <c r="H75" s="46" t="s">
        <v>29</v>
      </c>
      <c r="I75" s="46" t="s">
        <v>29</v>
      </c>
      <c r="J75" s="46" t="s">
        <v>29</v>
      </c>
      <c r="K75" s="46" t="s">
        <v>29</v>
      </c>
      <c r="L75" s="46" t="s">
        <v>29</v>
      </c>
      <c r="M75" s="46" t="s">
        <v>29</v>
      </c>
      <c r="N75" s="46" t="s">
        <v>30</v>
      </c>
      <c r="O75" s="46" t="s">
        <v>29</v>
      </c>
      <c r="P75" s="46" t="s">
        <v>29</v>
      </c>
      <c r="Q75" s="46" t="s">
        <v>29</v>
      </c>
      <c r="R75" s="46" t="s">
        <v>29</v>
      </c>
      <c r="S75" s="46" t="s">
        <v>29</v>
      </c>
      <c r="T75" s="46" t="s">
        <v>29</v>
      </c>
      <c r="U75" s="46" t="s">
        <v>30</v>
      </c>
      <c r="V75" s="46" t="s">
        <v>29</v>
      </c>
      <c r="W75" s="46" t="s">
        <v>29</v>
      </c>
      <c r="X75" s="46" t="s">
        <v>29</v>
      </c>
      <c r="Y75" s="46" t="s">
        <v>29</v>
      </c>
      <c r="Z75" s="46" t="s">
        <v>29</v>
      </c>
      <c r="AA75" s="46" t="s">
        <v>29</v>
      </c>
      <c r="AB75" s="46" t="s">
        <v>30</v>
      </c>
      <c r="AC75" s="46" t="s">
        <v>29</v>
      </c>
      <c r="AD75" s="46" t="s">
        <v>29</v>
      </c>
      <c r="AE75" s="46" t="s">
        <v>29</v>
      </c>
      <c r="AF75" s="46" t="s">
        <v>29</v>
      </c>
      <c r="AG75" s="46" t="s">
        <v>29</v>
      </c>
      <c r="AH75" s="46" t="s">
        <v>31</v>
      </c>
      <c r="AI75" s="46" t="s">
        <v>30</v>
      </c>
      <c r="AJ75" s="46">
        <f>=SUM(E76:AI76)</f>
      </c>
      <c r="AK75" s="46">
        <f>=+AY75</f>
      </c>
      <c r="AL75" s="46"/>
      <c r="AM75" s="1"/>
      <c r="AN75" s="1">
        <f>=COUNTIF(E75:AI75,"A")+COUNTIF(E75:AI75,"B")+COUNTIF(E75:AI75,"C")+COUNTIF(E75:AI75,"D")+COUNTIF(E75:AI75,"E")+COUNTIF(E75:AI75,"F")+COUNTIF(E75:AI75,"M")+COUNTIF(E75:AI75,"AB")+COUNTIF(E75:AI75,"UZ")+COUNTIF(E75:AI75,"G")+(COUNTIF(E75:AI75,"RT.")/2)+(COUNTIF(E75:AI75,"ÇRT.")/2)</f>
      </c>
      <c r="AO75" s="1">
        <f>=COUNTIF(E75:AI75,"O")</f>
      </c>
      <c r="AP75" s="1">
        <f>=COUNTIF(E75:AI75,"RT")+(COUNTIF(E75:AI75,"RT.")/2)</f>
      </c>
      <c r="AQ75" s="1">
        <f>=COUNTIF(E75:AI75,"ÇRT")+(COUNTIF(E75:AI75,"ÇRT.")/2)</f>
      </c>
      <c r="AR75" s="1">
        <f>=COUNTIF(E75:AI75,"ÇHT")</f>
      </c>
      <c r="AS75" s="1">
        <f>=COUNTIF(E75:AI75,"Ö")+COUNTIF(E75:AI75,"T")</f>
      </c>
      <c r="AT75" s="1">
        <f>=COUNTIF(E75:AI75,"Y")</f>
      </c>
      <c r="AU75" s="1">
        <f>=COUNTIF(E75:AI75,"R.")</f>
      </c>
      <c r="AV75" s="1">
        <f>=COUNTIF(E75:AI75,"Ü")</f>
      </c>
      <c r="AW75" s="1">
        <f>=COUNTIF(E75:AI75,"R")</f>
      </c>
      <c r="AX75" s="1">
        <f>=COUNTIF(E75:AI75,"DV")</f>
      </c>
      <c r="AY75" s="1">
        <f>=+AN75+AO75+AP75+AQ75+AR75+AS75+AT75+AU75</f>
      </c>
    </row>
    <row r="76" ht="16" customHeight="1" spans="1:51" x14ac:dyDescent="0.25">
      <c r="A76" s="46"/>
      <c r="B76" s="46"/>
      <c r="C76" s="46"/>
      <c r="D76" s="46" t="s">
        <v>32</v>
      </c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ht="16" customHeight="1" spans="1:51" x14ac:dyDescent="0.25">
      <c r="A77" s="46">
        <v>35</v>
      </c>
      <c r="B77" s="46" t="s">
        <v>108</v>
      </c>
      <c r="C77" s="46" t="s">
        <v>109</v>
      </c>
      <c r="D77" s="46" t="s">
        <v>28</v>
      </c>
      <c r="E77" s="46" t="s">
        <v>30</v>
      </c>
      <c r="F77" s="46" t="s">
        <v>29</v>
      </c>
      <c r="G77" s="46" t="s">
        <v>35</v>
      </c>
      <c r="H77" s="46" t="s">
        <v>29</v>
      </c>
      <c r="I77" s="46" t="s">
        <v>29</v>
      </c>
      <c r="J77" s="46" t="s">
        <v>29</v>
      </c>
      <c r="K77" s="46" t="s">
        <v>29</v>
      </c>
      <c r="L77" s="46" t="s">
        <v>29</v>
      </c>
      <c r="M77" s="46" t="s">
        <v>29</v>
      </c>
      <c r="N77" s="46" t="s">
        <v>29</v>
      </c>
      <c r="O77" s="46" t="s">
        <v>29</v>
      </c>
      <c r="P77" s="46" t="s">
        <v>30</v>
      </c>
      <c r="Q77" s="46" t="s">
        <v>29</v>
      </c>
      <c r="R77" s="46" t="s">
        <v>29</v>
      </c>
      <c r="S77" s="46" t="s">
        <v>30</v>
      </c>
      <c r="T77" s="46" t="s">
        <v>29</v>
      </c>
      <c r="U77" s="46" t="s">
        <v>29</v>
      </c>
      <c r="V77" s="46" t="s">
        <v>29</v>
      </c>
      <c r="W77" s="46" t="s">
        <v>29</v>
      </c>
      <c r="X77" s="46" t="s">
        <v>29</v>
      </c>
      <c r="Y77" s="46" t="s">
        <v>29</v>
      </c>
      <c r="Z77" s="46" t="s">
        <v>29</v>
      </c>
      <c r="AA77" s="46" t="s">
        <v>30</v>
      </c>
      <c r="AB77" s="46" t="s">
        <v>29</v>
      </c>
      <c r="AC77" s="46" t="s">
        <v>29</v>
      </c>
      <c r="AD77" s="46" t="s">
        <v>29</v>
      </c>
      <c r="AE77" s="46" t="s">
        <v>29</v>
      </c>
      <c r="AF77" s="46" t="s">
        <v>29</v>
      </c>
      <c r="AG77" s="46" t="s">
        <v>30</v>
      </c>
      <c r="AH77" s="46" t="s">
        <v>31</v>
      </c>
      <c r="AI77" s="46" t="s">
        <v>29</v>
      </c>
      <c r="AJ77" s="46">
        <f>=SUM(E78:AI78)</f>
      </c>
      <c r="AK77" s="46">
        <f>=+AY77</f>
      </c>
      <c r="AL77" s="46"/>
      <c r="AM77" s="1"/>
      <c r="AN77" s="1">
        <f>=COUNTIF(E77:AI77,"A")+COUNTIF(E77:AI77,"B")+COUNTIF(E77:AI77,"C")+COUNTIF(E77:AI77,"D")+COUNTIF(E77:AI77,"E")+COUNTIF(E77:AI77,"F")+COUNTIF(E77:AI77,"M")+COUNTIF(E77:AI77,"AB")+COUNTIF(E77:AI77,"UZ")+COUNTIF(E77:AI77,"G")+(COUNTIF(E77:AI77,"RT.")/2)+(COUNTIF(E77:AI77,"ÇRT.")/2)</f>
      </c>
      <c r="AO77" s="1">
        <f>=COUNTIF(E77:AI77,"O")</f>
      </c>
      <c r="AP77" s="1">
        <f>=COUNTIF(E77:AI77,"RT")+(COUNTIF(E77:AI77,"RT.")/2)</f>
      </c>
      <c r="AQ77" s="1">
        <f>=COUNTIF(E77:AI77,"ÇRT")+(COUNTIF(E77:AI77,"ÇRT.")/2)</f>
      </c>
      <c r="AR77" s="1">
        <f>=COUNTIF(E77:AI77,"ÇHT")</f>
      </c>
      <c r="AS77" s="1">
        <f>=COUNTIF(E77:AI77,"Ö")+COUNTIF(E77:AI77,"T")</f>
      </c>
      <c r="AT77" s="1">
        <f>=COUNTIF(E77:AI77,"Y")</f>
      </c>
      <c r="AU77" s="1">
        <f>=COUNTIF(E77:AI77,"R.")</f>
      </c>
      <c r="AV77" s="1">
        <f>=COUNTIF(E77:AI77,"Ü")</f>
      </c>
      <c r="AW77" s="1">
        <f>=COUNTIF(E77:AI77,"R")</f>
      </c>
      <c r="AX77" s="1">
        <f>=COUNTIF(E77:AI77,"DV")</f>
      </c>
      <c r="AY77" s="1">
        <f>=+AN77+AO77+AP77+AQ77+AR77+AS77+AT77+AU77</f>
      </c>
    </row>
    <row r="78" ht="16" customHeight="1" spans="1:51" x14ac:dyDescent="0.25">
      <c r="A78" s="46"/>
      <c r="B78" s="46"/>
      <c r="C78" s="46"/>
      <c r="D78" s="46" t="s">
        <v>32</v>
      </c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>
        <v>2</v>
      </c>
      <c r="AG78" s="46"/>
      <c r="AH78" s="46"/>
      <c r="AI78" s="46"/>
      <c r="AJ78" s="46"/>
      <c r="AK78" s="46"/>
      <c r="AL78" s="46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ht="16" customHeight="1" spans="1:51" x14ac:dyDescent="0.25">
      <c r="A79" s="46">
        <v>36</v>
      </c>
      <c r="B79" s="46" t="s">
        <v>110</v>
      </c>
      <c r="C79" s="46" t="s">
        <v>111</v>
      </c>
      <c r="D79" s="46" t="s">
        <v>28</v>
      </c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>
        <f>=SUM(E80:AI80)</f>
      </c>
      <c r="AK79" s="46">
        <f>=+AY79</f>
      </c>
      <c r="AL79" s="46"/>
      <c r="AM79" s="1"/>
      <c r="AN79" s="1">
        <f>=COUNTIF(E79:AI79,"A")+COUNTIF(E79:AI79,"B")+COUNTIF(E79:AI79,"C")+COUNTIF(E79:AI79,"D")+COUNTIF(E79:AI79,"E")+COUNTIF(E79:AI79,"F")+COUNTIF(E79:AI79,"M")+COUNTIF(E79:AI79,"AB")+COUNTIF(E79:AI79,"UZ")+COUNTIF(E79:AI79,"G")+(COUNTIF(E79:AI79,"RT.")/2)+(COUNTIF(E79:AI79,"ÇRT.")/2)</f>
      </c>
      <c r="AO79" s="1">
        <f>=COUNTIF(E79:AI79,"O")</f>
      </c>
      <c r="AP79" s="1">
        <f>=COUNTIF(E79:AI79,"RT")+(COUNTIF(E79:AI79,"RT.")/2)</f>
      </c>
      <c r="AQ79" s="1">
        <f>=COUNTIF(E79:AI79,"ÇRT")+(COUNTIF(E79:AI79,"ÇRT.")/2)</f>
      </c>
      <c r="AR79" s="1">
        <f>=COUNTIF(E79:AI79,"ÇHT")</f>
      </c>
      <c r="AS79" s="1">
        <f>=COUNTIF(E79:AI79,"Ö")+COUNTIF(E79:AI79,"T")</f>
      </c>
      <c r="AT79" s="1">
        <f>=COUNTIF(E79:AI79,"Y")</f>
      </c>
      <c r="AU79" s="1">
        <f>=COUNTIF(E79:AI79,"R.")</f>
      </c>
      <c r="AV79" s="1">
        <f>=COUNTIF(E79:AI79,"Ü")</f>
      </c>
      <c r="AW79" s="1">
        <f>=COUNTIF(E79:AI79,"R")</f>
      </c>
      <c r="AX79" s="1">
        <f>=COUNTIF(E79:AI79,"DV")</f>
      </c>
      <c r="AY79" s="1">
        <f>=+AN79+AO79+AP79+AQ79+AR79+AS79+AT79+AU79</f>
      </c>
    </row>
    <row r="80" ht="16" customHeight="1" spans="1:51" x14ac:dyDescent="0.25">
      <c r="A80" s="46"/>
      <c r="B80" s="46"/>
      <c r="C80" s="46"/>
      <c r="D80" s="46" t="s">
        <v>32</v>
      </c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ht="16" customHeight="1" spans="1:51" x14ac:dyDescent="0.25">
      <c r="A81" s="46">
        <v>37</v>
      </c>
      <c r="B81" s="46" t="s">
        <v>112</v>
      </c>
      <c r="C81" s="46" t="s">
        <v>113</v>
      </c>
      <c r="D81" s="46" t="s">
        <v>28</v>
      </c>
      <c r="E81" s="46" t="s">
        <v>114</v>
      </c>
      <c r="F81" s="46" t="s">
        <v>114</v>
      </c>
      <c r="G81" s="46" t="s">
        <v>30</v>
      </c>
      <c r="H81" s="46" t="s">
        <v>114</v>
      </c>
      <c r="I81" s="46" t="s">
        <v>114</v>
      </c>
      <c r="J81" s="46" t="s">
        <v>114</v>
      </c>
      <c r="K81" s="46" t="s">
        <v>114</v>
      </c>
      <c r="L81" s="46" t="s">
        <v>114</v>
      </c>
      <c r="M81" s="46" t="s">
        <v>35</v>
      </c>
      <c r="N81" s="46" t="s">
        <v>30</v>
      </c>
      <c r="O81" s="46" t="s">
        <v>114</v>
      </c>
      <c r="P81" s="46" t="s">
        <v>114</v>
      </c>
      <c r="Q81" s="46" t="s">
        <v>114</v>
      </c>
      <c r="R81" s="46" t="s">
        <v>114</v>
      </c>
      <c r="S81" s="46" t="s">
        <v>114</v>
      </c>
      <c r="T81" s="46" t="s">
        <v>114</v>
      </c>
      <c r="U81" s="46" t="s">
        <v>30</v>
      </c>
      <c r="V81" s="46" t="s">
        <v>41</v>
      </c>
      <c r="W81" s="46" t="s">
        <v>114</v>
      </c>
      <c r="X81" s="46" t="s">
        <v>114</v>
      </c>
      <c r="Y81" s="46" t="s">
        <v>114</v>
      </c>
      <c r="Z81" s="46" t="s">
        <v>114</v>
      </c>
      <c r="AA81" s="46" t="s">
        <v>114</v>
      </c>
      <c r="AB81" s="46" t="s">
        <v>30</v>
      </c>
      <c r="AC81" s="46" t="s">
        <v>114</v>
      </c>
      <c r="AD81" s="46" t="s">
        <v>114</v>
      </c>
      <c r="AE81" s="46" t="s">
        <v>114</v>
      </c>
      <c r="AF81" s="46" t="s">
        <v>114</v>
      </c>
      <c r="AG81" s="46" t="s">
        <v>114</v>
      </c>
      <c r="AH81" s="46" t="s">
        <v>31</v>
      </c>
      <c r="AI81" s="46" t="s">
        <v>30</v>
      </c>
      <c r="AJ81" s="46">
        <f>=SUM(E82:AI82)</f>
      </c>
      <c r="AK81" s="46">
        <f>=+AY81</f>
      </c>
      <c r="AL81" s="46"/>
      <c r="AM81" s="1"/>
      <c r="AN81" s="1">
        <f>=COUNTIF(E81:AI81,"A")+COUNTIF(E81:AI81,"B")+COUNTIF(E81:AI81,"C")+COUNTIF(E81:AI81,"D")+COUNTIF(E81:AI81,"E")+COUNTIF(E81:AI81,"F")+COUNTIF(E81:AI81,"M")+COUNTIF(E81:AI81,"AB")+COUNTIF(E81:AI81,"UZ")+COUNTIF(E81:AI81,"G")+(COUNTIF(E81:AI81,"RT.")/2)+(COUNTIF(E81:AI81,"ÇRT.")/2)</f>
      </c>
      <c r="AO81" s="1">
        <f>=COUNTIF(E81:AI81,"O")</f>
      </c>
      <c r="AP81" s="1">
        <f>=COUNTIF(E81:AI81,"RT")+(COUNTIF(E81:AI81,"RT.")/2)</f>
      </c>
      <c r="AQ81" s="1">
        <f>=COUNTIF(E81:AI81,"ÇRT")+(COUNTIF(E81:AI81,"ÇRT.")/2)</f>
      </c>
      <c r="AR81" s="1">
        <f>=COUNTIF(E81:AI81,"ÇHT")</f>
      </c>
      <c r="AS81" s="1">
        <f>=COUNTIF(E81:AI81,"Ö")+COUNTIF(E81:AI81,"T")</f>
      </c>
      <c r="AT81" s="1">
        <f>=COUNTIF(E81:AI81,"Y")</f>
      </c>
      <c r="AU81" s="1">
        <f>=COUNTIF(E81:AI81,"R.")</f>
      </c>
      <c r="AV81" s="1">
        <f>=COUNTIF(E81:AI81,"Ü")</f>
      </c>
      <c r="AW81" s="1">
        <f>=COUNTIF(E81:AI81,"R")</f>
      </c>
      <c r="AX81" s="1">
        <f>=COUNTIF(E81:AI81,"DV")</f>
      </c>
      <c r="AY81" s="1">
        <f>=+AN81+AO81+AP81+AQ81+AR81+AS81+AT81+AU81</f>
      </c>
    </row>
    <row r="82" ht="16" customHeight="1" spans="1:51" x14ac:dyDescent="0.25">
      <c r="A82" s="46"/>
      <c r="B82" s="46"/>
      <c r="C82" s="46"/>
      <c r="D82" s="46" t="s">
        <v>32</v>
      </c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ht="16" customHeight="1" spans="1:51" x14ac:dyDescent="0.25">
      <c r="A83" s="46">
        <v>38</v>
      </c>
      <c r="B83" s="46" t="s">
        <v>115</v>
      </c>
      <c r="C83" s="46" t="s">
        <v>116</v>
      </c>
      <c r="D83" s="46" t="s">
        <v>28</v>
      </c>
      <c r="E83" s="46" t="s">
        <v>30</v>
      </c>
      <c r="F83" s="46" t="s">
        <v>29</v>
      </c>
      <c r="G83" s="46" t="s">
        <v>29</v>
      </c>
      <c r="H83" s="46" t="s">
        <v>29</v>
      </c>
      <c r="I83" s="46" t="s">
        <v>29</v>
      </c>
      <c r="J83" s="46" t="s">
        <v>30</v>
      </c>
      <c r="K83" s="46" t="s">
        <v>29</v>
      </c>
      <c r="L83" s="46" t="s">
        <v>29</v>
      </c>
      <c r="M83" s="46" t="s">
        <v>29</v>
      </c>
      <c r="N83" s="46" t="s">
        <v>29</v>
      </c>
      <c r="O83" s="46" t="s">
        <v>29</v>
      </c>
      <c r="P83" s="46" t="s">
        <v>29</v>
      </c>
      <c r="Q83" s="46" t="s">
        <v>30</v>
      </c>
      <c r="R83" s="46" t="s">
        <v>29</v>
      </c>
      <c r="S83" s="46" t="s">
        <v>29</v>
      </c>
      <c r="T83" s="46" t="s">
        <v>29</v>
      </c>
      <c r="U83" s="46" t="s">
        <v>29</v>
      </c>
      <c r="V83" s="46" t="s">
        <v>29</v>
      </c>
      <c r="W83" s="46" t="s">
        <v>29</v>
      </c>
      <c r="X83" s="46" t="s">
        <v>30</v>
      </c>
      <c r="Y83" s="46" t="s">
        <v>29</v>
      </c>
      <c r="Z83" s="46" t="s">
        <v>29</v>
      </c>
      <c r="AA83" s="46" t="s">
        <v>29</v>
      </c>
      <c r="AB83" s="46" t="s">
        <v>29</v>
      </c>
      <c r="AC83" s="46" t="s">
        <v>47</v>
      </c>
      <c r="AD83" s="46" t="s">
        <v>29</v>
      </c>
      <c r="AE83" s="46" t="s">
        <v>30</v>
      </c>
      <c r="AF83" s="46" t="s">
        <v>35</v>
      </c>
      <c r="AG83" s="46" t="s">
        <v>35</v>
      </c>
      <c r="AH83" s="46" t="s">
        <v>117</v>
      </c>
      <c r="AI83" s="46" t="s">
        <v>29</v>
      </c>
      <c r="AJ83" s="46">
        <f>=SUM(E84:AI84)</f>
      </c>
      <c r="AK83" s="46">
        <f>=+AY83</f>
      </c>
      <c r="AL83" s="46"/>
      <c r="AM83" s="1"/>
      <c r="AN83" s="1">
        <f>=COUNTIF(E83:AI83,"A")+COUNTIF(E83:AI83,"B")+COUNTIF(E83:AI83,"C")+COUNTIF(E83:AI83,"D")+COUNTIF(E83:AI83,"E")+COUNTIF(E83:AI83,"F")+COUNTIF(E83:AI83,"M")+COUNTIF(E83:AI83,"AB")+COUNTIF(E83:AI83,"UZ")+COUNTIF(E83:AI83,"G")+(COUNTIF(E83:AI83,"RT.")/2)+(COUNTIF(E83:AI83,"ÇRT.")/2)</f>
      </c>
      <c r="AO83" s="1">
        <f>=COUNTIF(E83:AI83,"O")</f>
      </c>
      <c r="AP83" s="1">
        <f>=COUNTIF(E83:AI83,"RT")+(COUNTIF(E83:AI83,"RT.")/2)</f>
      </c>
      <c r="AQ83" s="1">
        <f>=COUNTIF(E83:AI83,"ÇRT")+(COUNTIF(E83:AI83,"ÇRT.")/2)</f>
      </c>
      <c r="AR83" s="1">
        <f>=COUNTIF(E83:AI83,"ÇHT")</f>
      </c>
      <c r="AS83" s="1">
        <f>=COUNTIF(E83:AI83,"Ö")+COUNTIF(E83:AI83,"T")</f>
      </c>
      <c r="AT83" s="1">
        <f>=COUNTIF(E83:AI83,"Y")</f>
      </c>
      <c r="AU83" s="1">
        <f>=COUNTIF(E83:AI83,"R.")</f>
      </c>
      <c r="AV83" s="1">
        <f>=COUNTIF(E83:AI83,"Ü")</f>
      </c>
      <c r="AW83" s="1">
        <f>=COUNTIF(E83:AI83,"R")</f>
      </c>
      <c r="AX83" s="1">
        <f>=COUNTIF(E83:AI83,"DV")</f>
      </c>
      <c r="AY83" s="1">
        <f>=+AN83+AO83+AP83+AQ83+AR83+AS83+AT83+AU83</f>
      </c>
    </row>
    <row r="84" ht="16" customHeight="1" spans="1:51" x14ac:dyDescent="0.25">
      <c r="A84" s="46"/>
      <c r="B84" s="46"/>
      <c r="C84" s="46"/>
      <c r="D84" s="46" t="s">
        <v>32</v>
      </c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ht="16" customHeight="1" spans="1:51" x14ac:dyDescent="0.25">
      <c r="A85" s="46">
        <v>39</v>
      </c>
      <c r="B85" s="46" t="s">
        <v>118</v>
      </c>
      <c r="C85" s="46" t="s">
        <v>119</v>
      </c>
      <c r="D85" s="46" t="s">
        <v>28</v>
      </c>
      <c r="E85" s="46" t="s">
        <v>50</v>
      </c>
      <c r="F85" s="46" t="s">
        <v>50</v>
      </c>
      <c r="G85" s="46" t="s">
        <v>50</v>
      </c>
      <c r="H85" s="46" t="s">
        <v>50</v>
      </c>
      <c r="I85" s="46" t="s">
        <v>50</v>
      </c>
      <c r="J85" s="46" t="s">
        <v>30</v>
      </c>
      <c r="K85" s="46" t="s">
        <v>50</v>
      </c>
      <c r="L85" s="46" t="s">
        <v>50</v>
      </c>
      <c r="M85" s="46" t="s">
        <v>50</v>
      </c>
      <c r="N85" s="46" t="s">
        <v>50</v>
      </c>
      <c r="O85" s="46" t="s">
        <v>50</v>
      </c>
      <c r="P85" s="46" t="s">
        <v>50</v>
      </c>
      <c r="Q85" s="46" t="s">
        <v>30</v>
      </c>
      <c r="R85" s="46" t="s">
        <v>50</v>
      </c>
      <c r="S85" s="46" t="s">
        <v>50</v>
      </c>
      <c r="T85" s="46" t="s">
        <v>50</v>
      </c>
      <c r="U85" s="46" t="s">
        <v>50</v>
      </c>
      <c r="V85" s="46" t="s">
        <v>50</v>
      </c>
      <c r="W85" s="46" t="s">
        <v>50</v>
      </c>
      <c r="X85" s="46" t="s">
        <v>30</v>
      </c>
      <c r="Y85" s="46" t="s">
        <v>50</v>
      </c>
      <c r="Z85" s="46" t="s">
        <v>50</v>
      </c>
      <c r="AA85" s="46" t="s">
        <v>50</v>
      </c>
      <c r="AB85" s="46" t="s">
        <v>50</v>
      </c>
      <c r="AC85" s="46" t="s">
        <v>50</v>
      </c>
      <c r="AD85" s="46" t="s">
        <v>50</v>
      </c>
      <c r="AE85" s="46" t="s">
        <v>30</v>
      </c>
      <c r="AF85" s="46" t="s">
        <v>50</v>
      </c>
      <c r="AG85" s="46" t="s">
        <v>50</v>
      </c>
      <c r="AH85" s="46" t="s">
        <v>31</v>
      </c>
      <c r="AI85" s="46" t="s">
        <v>50</v>
      </c>
      <c r="AJ85" s="46">
        <f>=SUM(E86:AI86)</f>
      </c>
      <c r="AK85" s="46">
        <f>=+AY85</f>
      </c>
      <c r="AL85" s="46"/>
      <c r="AM85" s="1"/>
      <c r="AN85" s="1">
        <f>=COUNTIF(E85:AI85,"A")+COUNTIF(E85:AI85,"B")+COUNTIF(E85:AI85,"C")+COUNTIF(E85:AI85,"D")+COUNTIF(E85:AI85,"E")+COUNTIF(E85:AI85,"F")+COUNTIF(E85:AI85,"M")+COUNTIF(E85:AI85,"AB")+COUNTIF(E85:AI85,"UZ")+COUNTIF(E85:AI85,"G")+(COUNTIF(E85:AI85,"RT.")/2)+(COUNTIF(E85:AI85,"ÇRT.")/2)</f>
      </c>
      <c r="AO85" s="1">
        <f>=COUNTIF(E85:AI85,"O")</f>
      </c>
      <c r="AP85" s="1">
        <f>=COUNTIF(E85:AI85,"RT")+(COUNTIF(E85:AI85,"RT.")/2)</f>
      </c>
      <c r="AQ85" s="1">
        <f>=COUNTIF(E85:AI85,"ÇRT")+(COUNTIF(E85:AI85,"ÇRT.")/2)</f>
      </c>
      <c r="AR85" s="1">
        <f>=COUNTIF(E85:AI85,"ÇHT")</f>
      </c>
      <c r="AS85" s="1">
        <f>=COUNTIF(E85:AI85,"Ö")+COUNTIF(E85:AI85,"T")</f>
      </c>
      <c r="AT85" s="1">
        <f>=COUNTIF(E85:AI85,"Y")</f>
      </c>
      <c r="AU85" s="1">
        <f>=COUNTIF(E85:AI85,"R.")</f>
      </c>
      <c r="AV85" s="1">
        <f>=COUNTIF(E85:AI85,"Ü")</f>
      </c>
      <c r="AW85" s="1">
        <f>=COUNTIF(E85:AI85,"R")</f>
      </c>
      <c r="AX85" s="1">
        <f>=COUNTIF(E85:AI85,"DV")</f>
      </c>
      <c r="AY85" s="1">
        <f>=+AN85+AO85+AP85+AQ85+AR85+AS85+AT85+AU85</f>
      </c>
    </row>
    <row r="86" ht="16" customHeight="1" spans="1:51" x14ac:dyDescent="0.25">
      <c r="A86" s="46"/>
      <c r="B86" s="46"/>
      <c r="C86" s="46"/>
      <c r="D86" s="46" t="s">
        <v>32</v>
      </c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ht="16" customHeight="1" spans="1:51" x14ac:dyDescent="0.25">
      <c r="A87" s="46">
        <v>40</v>
      </c>
      <c r="B87" s="46" t="s">
        <v>120</v>
      </c>
      <c r="C87" s="46" t="s">
        <v>121</v>
      </c>
      <c r="D87" s="46" t="s">
        <v>28</v>
      </c>
      <c r="E87" s="46" t="s">
        <v>29</v>
      </c>
      <c r="F87" s="46" t="s">
        <v>29</v>
      </c>
      <c r="G87" s="46" t="s">
        <v>29</v>
      </c>
      <c r="H87" s="46" t="s">
        <v>29</v>
      </c>
      <c r="I87" s="46" t="s">
        <v>29</v>
      </c>
      <c r="J87" s="46" t="s">
        <v>29</v>
      </c>
      <c r="K87" s="46" t="s">
        <v>30</v>
      </c>
      <c r="L87" s="46" t="s">
        <v>29</v>
      </c>
      <c r="M87" s="46" t="s">
        <v>29</v>
      </c>
      <c r="N87" s="46" t="s">
        <v>29</v>
      </c>
      <c r="O87" s="46" t="s">
        <v>29</v>
      </c>
      <c r="P87" s="46" t="s">
        <v>29</v>
      </c>
      <c r="Q87" s="46" t="s">
        <v>29</v>
      </c>
      <c r="R87" s="46" t="s">
        <v>30</v>
      </c>
      <c r="S87" s="46" t="s">
        <v>29</v>
      </c>
      <c r="T87" s="46" t="s">
        <v>29</v>
      </c>
      <c r="U87" s="46" t="s">
        <v>29</v>
      </c>
      <c r="V87" s="46" t="s">
        <v>29</v>
      </c>
      <c r="W87" s="46" t="s">
        <v>29</v>
      </c>
      <c r="X87" s="46" t="s">
        <v>29</v>
      </c>
      <c r="Y87" s="46" t="s">
        <v>29</v>
      </c>
      <c r="Z87" s="46" t="s">
        <v>30</v>
      </c>
      <c r="AA87" s="46" t="s">
        <v>29</v>
      </c>
      <c r="AB87" s="46" t="s">
        <v>29</v>
      </c>
      <c r="AC87" s="46" t="s">
        <v>29</v>
      </c>
      <c r="AD87" s="46" t="s">
        <v>29</v>
      </c>
      <c r="AE87" s="46" t="s">
        <v>29</v>
      </c>
      <c r="AF87" s="46" t="s">
        <v>30</v>
      </c>
      <c r="AG87" s="46" t="s">
        <v>29</v>
      </c>
      <c r="AH87" s="46" t="s">
        <v>31</v>
      </c>
      <c r="AI87" s="46" t="s">
        <v>29</v>
      </c>
      <c r="AJ87" s="46">
        <f>=SUM(E88:AI88)</f>
      </c>
      <c r="AK87" s="46">
        <f>=+AY87</f>
      </c>
      <c r="AL87" s="46"/>
      <c r="AM87" s="1"/>
      <c r="AN87" s="1">
        <f>=COUNTIF(E87:AI87,"A")+COUNTIF(E87:AI87,"B")+COUNTIF(E87:AI87,"C")+COUNTIF(E87:AI87,"D")+COUNTIF(E87:AI87,"E")+COUNTIF(E87:AI87,"F")+COUNTIF(E87:AI87,"M")+COUNTIF(E87:AI87,"AB")+COUNTIF(E87:AI87,"UZ")+COUNTIF(E87:AI87,"G")+(COUNTIF(E87:AI87,"RT.")/2)+(COUNTIF(E87:AI87,"ÇRT.")/2)</f>
      </c>
      <c r="AO87" s="1">
        <f>=COUNTIF(E87:AI87,"O")</f>
      </c>
      <c r="AP87" s="1">
        <f>=COUNTIF(E87:AI87,"RT")+(COUNTIF(E87:AI87,"RT.")/2)</f>
      </c>
      <c r="AQ87" s="1">
        <f>=COUNTIF(E87:AI87,"ÇRT")+(COUNTIF(E87:AI87,"ÇRT.")/2)</f>
      </c>
      <c r="AR87" s="1">
        <f>=COUNTIF(E87:AI87,"ÇHT")</f>
      </c>
      <c r="AS87" s="1">
        <f>=COUNTIF(E87:AI87,"Ö")+COUNTIF(E87:AI87,"T")</f>
      </c>
      <c r="AT87" s="1">
        <f>=COUNTIF(E87:AI87,"Y")</f>
      </c>
      <c r="AU87" s="1">
        <f>=COUNTIF(E87:AI87,"R.")</f>
      </c>
      <c r="AV87" s="1">
        <f>=COUNTIF(E87:AI87,"Ü")</f>
      </c>
      <c r="AW87" s="1">
        <f>=COUNTIF(E87:AI87,"R")</f>
      </c>
      <c r="AX87" s="1">
        <f>=COUNTIF(E87:AI87,"DV")</f>
      </c>
      <c r="AY87" s="1">
        <f>=+AN87+AO87+AP87+AQ87+AR87+AS87+AT87+AU87</f>
      </c>
    </row>
    <row r="88" ht="16" customHeight="1" spans="1:51" x14ac:dyDescent="0.25">
      <c r="A88" s="46"/>
      <c r="B88" s="46"/>
      <c r="C88" s="46"/>
      <c r="D88" s="46" t="s">
        <v>32</v>
      </c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ht="16" customHeight="1" spans="1:51" x14ac:dyDescent="0.25">
      <c r="A89" s="46">
        <v>41</v>
      </c>
      <c r="B89" s="46" t="s">
        <v>122</v>
      </c>
      <c r="C89" s="46" t="s">
        <v>123</v>
      </c>
      <c r="D89" s="46" t="s">
        <v>28</v>
      </c>
      <c r="E89" s="46" t="s">
        <v>47</v>
      </c>
      <c r="F89" s="46" t="s">
        <v>79</v>
      </c>
      <c r="G89" s="46" t="s">
        <v>79</v>
      </c>
      <c r="H89" s="46" t="s">
        <v>79</v>
      </c>
      <c r="I89" s="46" t="s">
        <v>29</v>
      </c>
      <c r="J89" s="46" t="s">
        <v>29</v>
      </c>
      <c r="K89" s="46" t="s">
        <v>29</v>
      </c>
      <c r="L89" s="46" t="s">
        <v>29</v>
      </c>
      <c r="M89" s="46" t="s">
        <v>29</v>
      </c>
      <c r="N89" s="46" t="s">
        <v>29</v>
      </c>
      <c r="O89" s="46" t="s">
        <v>30</v>
      </c>
      <c r="P89" s="46" t="s">
        <v>29</v>
      </c>
      <c r="Q89" s="46" t="s">
        <v>29</v>
      </c>
      <c r="R89" s="46" t="s">
        <v>29</v>
      </c>
      <c r="S89" s="46" t="s">
        <v>35</v>
      </c>
      <c r="T89" s="46" t="s">
        <v>29</v>
      </c>
      <c r="U89" s="46" t="s">
        <v>30</v>
      </c>
      <c r="V89" s="46" t="s">
        <v>36</v>
      </c>
      <c r="W89" s="46" t="s">
        <v>36</v>
      </c>
      <c r="X89" s="46" t="s">
        <v>36</v>
      </c>
      <c r="Y89" s="46" t="s">
        <v>36</v>
      </c>
      <c r="Z89" s="46" t="s">
        <v>36</v>
      </c>
      <c r="AA89" s="46" t="s">
        <v>36</v>
      </c>
      <c r="AB89" s="46" t="s">
        <v>36</v>
      </c>
      <c r="AC89" s="46" t="s">
        <v>30</v>
      </c>
      <c r="AD89" s="46" t="s">
        <v>36</v>
      </c>
      <c r="AE89" s="46" t="s">
        <v>36</v>
      </c>
      <c r="AF89" s="46" t="s">
        <v>36</v>
      </c>
      <c r="AG89" s="46" t="s">
        <v>36</v>
      </c>
      <c r="AH89" s="46" t="s">
        <v>31</v>
      </c>
      <c r="AI89" s="46" t="s">
        <v>30</v>
      </c>
      <c r="AJ89" s="46">
        <f>=SUM(E90:AI90)</f>
      </c>
      <c r="AK89" s="46">
        <f>=+AY89</f>
      </c>
      <c r="AL89" s="46"/>
      <c r="AM89" s="1"/>
      <c r="AN89" s="1">
        <f>=COUNTIF(E89:AI89,"A")+COUNTIF(E89:AI89,"B")+COUNTIF(E89:AI89,"C")+COUNTIF(E89:AI89,"D")+COUNTIF(E89:AI89,"E")+COUNTIF(E89:AI89,"F")+COUNTIF(E89:AI89,"M")+COUNTIF(E89:AI89,"AB")+COUNTIF(E89:AI89,"UZ")+COUNTIF(E89:AI89,"G")+(COUNTIF(E89:AI89,"RT.")/2)+(COUNTIF(E89:AI89,"ÇRT.")/2)</f>
      </c>
      <c r="AO89" s="1">
        <f>=COUNTIF(E89:AI89,"O")</f>
      </c>
      <c r="AP89" s="1">
        <f>=COUNTIF(E89:AI89,"RT")+(COUNTIF(E89:AI89,"RT.")/2)</f>
      </c>
      <c r="AQ89" s="1">
        <f>=COUNTIF(E89:AI89,"ÇRT")+(COUNTIF(E89:AI89,"ÇRT.")/2)</f>
      </c>
      <c r="AR89" s="1">
        <f>=COUNTIF(E89:AI89,"ÇHT")</f>
      </c>
      <c r="AS89" s="1">
        <f>=COUNTIF(E89:AI89,"Ö")+COUNTIF(E89:AI89,"T")</f>
      </c>
      <c r="AT89" s="1">
        <f>=COUNTIF(E89:AI89,"Y")</f>
      </c>
      <c r="AU89" s="1">
        <f>=COUNTIF(E89:AI89,"R.")</f>
      </c>
      <c r="AV89" s="1">
        <f>=COUNTIF(E89:AI89,"Ü")</f>
      </c>
      <c r="AW89" s="1">
        <f>=COUNTIF(E89:AI89,"R")</f>
      </c>
      <c r="AX89" s="1">
        <f>=COUNTIF(E89:AI89,"DV")</f>
      </c>
      <c r="AY89" s="1">
        <f>=+AN89+AO89+AP89+AQ89+AR89+AS89+AT89+AU89</f>
      </c>
    </row>
    <row r="90" ht="16" customHeight="1" spans="1:51" x14ac:dyDescent="0.25">
      <c r="A90" s="46"/>
      <c r="B90" s="46"/>
      <c r="C90" s="46"/>
      <c r="D90" s="46" t="s">
        <v>32</v>
      </c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ht="16" customHeight="1" spans="1:51" x14ac:dyDescent="0.25">
      <c r="A91" s="46">
        <v>42</v>
      </c>
      <c r="B91" s="46" t="s">
        <v>124</v>
      </c>
      <c r="C91" s="46" t="s">
        <v>125</v>
      </c>
      <c r="D91" s="46" t="s">
        <v>28</v>
      </c>
      <c r="E91" s="46" t="s">
        <v>29</v>
      </c>
      <c r="F91" s="46" t="s">
        <v>29</v>
      </c>
      <c r="G91" s="46" t="s">
        <v>30</v>
      </c>
      <c r="H91" s="46" t="s">
        <v>29</v>
      </c>
      <c r="I91" s="46" t="s">
        <v>29</v>
      </c>
      <c r="J91" s="46" t="s">
        <v>29</v>
      </c>
      <c r="K91" s="46" t="s">
        <v>29</v>
      </c>
      <c r="L91" s="46" t="s">
        <v>29</v>
      </c>
      <c r="M91" s="46" t="s">
        <v>29</v>
      </c>
      <c r="N91" s="46" t="s">
        <v>30</v>
      </c>
      <c r="O91" s="46" t="s">
        <v>29</v>
      </c>
      <c r="P91" s="46" t="s">
        <v>29</v>
      </c>
      <c r="Q91" s="46" t="s">
        <v>29</v>
      </c>
      <c r="R91" s="46" t="s">
        <v>29</v>
      </c>
      <c r="S91" s="46" t="s">
        <v>29</v>
      </c>
      <c r="T91" s="46" t="s">
        <v>30</v>
      </c>
      <c r="U91" s="46" t="s">
        <v>29</v>
      </c>
      <c r="V91" s="46" t="s">
        <v>29</v>
      </c>
      <c r="W91" s="46" t="s">
        <v>29</v>
      </c>
      <c r="X91" s="46" t="s">
        <v>29</v>
      </c>
      <c r="Y91" s="46" t="s">
        <v>29</v>
      </c>
      <c r="Z91" s="46" t="s">
        <v>29</v>
      </c>
      <c r="AA91" s="46" t="s">
        <v>29</v>
      </c>
      <c r="AB91" s="46" t="s">
        <v>30</v>
      </c>
      <c r="AC91" s="46" t="s">
        <v>29</v>
      </c>
      <c r="AD91" s="46" t="s">
        <v>29</v>
      </c>
      <c r="AE91" s="46" t="s">
        <v>29</v>
      </c>
      <c r="AF91" s="46" t="s">
        <v>29</v>
      </c>
      <c r="AG91" s="46" t="s">
        <v>29</v>
      </c>
      <c r="AH91" s="46" t="s">
        <v>31</v>
      </c>
      <c r="AI91" s="46" t="s">
        <v>30</v>
      </c>
      <c r="AJ91" s="46">
        <f>=SUM(E92:AI92)</f>
      </c>
      <c r="AK91" s="46">
        <f>=+AY91</f>
      </c>
      <c r="AL91" s="46"/>
      <c r="AM91" s="1"/>
      <c r="AN91" s="1">
        <f>=COUNTIF(E91:AI91,"A")+COUNTIF(E91:AI91,"B")+COUNTIF(E91:AI91,"C")+COUNTIF(E91:AI91,"D")+COUNTIF(E91:AI91,"E")+COUNTIF(E91:AI91,"F")+COUNTIF(E91:AI91,"M")+COUNTIF(E91:AI91,"AB")+COUNTIF(E91:AI91,"UZ")+COUNTIF(E91:AI91,"G")+(COUNTIF(E91:AI91,"RT.")/2)+(COUNTIF(E91:AI91,"ÇRT.")/2)</f>
      </c>
      <c r="AO91" s="1">
        <f>=COUNTIF(E91:AI91,"O")</f>
      </c>
      <c r="AP91" s="1">
        <f>=COUNTIF(E91:AI91,"RT")+(COUNTIF(E91:AI91,"RT.")/2)</f>
      </c>
      <c r="AQ91" s="1">
        <f>=COUNTIF(E91:AI91,"ÇRT")+(COUNTIF(E91:AI91,"ÇRT.")/2)</f>
      </c>
      <c r="AR91" s="1">
        <f>=COUNTIF(E91:AI91,"ÇHT")</f>
      </c>
      <c r="AS91" s="1">
        <f>=COUNTIF(E91:AI91,"Ö")+COUNTIF(E91:AI91,"T")</f>
      </c>
      <c r="AT91" s="1">
        <f>=COUNTIF(E91:AI91,"Y")</f>
      </c>
      <c r="AU91" s="1">
        <f>=COUNTIF(E91:AI91,"R.")</f>
      </c>
      <c r="AV91" s="1">
        <f>=COUNTIF(E91:AI91,"Ü")</f>
      </c>
      <c r="AW91" s="1">
        <f>=COUNTIF(E91:AI91,"R")</f>
      </c>
      <c r="AX91" s="1">
        <f>=COUNTIF(E91:AI91,"DV")</f>
      </c>
      <c r="AY91" s="1">
        <f>=+AN91+AO91+AP91+AQ91+AR91+AS91+AT91+AU91</f>
      </c>
    </row>
    <row r="92" ht="16" customHeight="1" spans="1:51" x14ac:dyDescent="0.25">
      <c r="A92" s="46"/>
      <c r="B92" s="46"/>
      <c r="C92" s="46"/>
      <c r="D92" s="46" t="s">
        <v>32</v>
      </c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ht="16" customHeight="1" spans="1:51" x14ac:dyDescent="0.25">
      <c r="A93" s="46">
        <v>43</v>
      </c>
      <c r="B93" s="46" t="s">
        <v>126</v>
      </c>
      <c r="C93" s="46" t="s">
        <v>127</v>
      </c>
      <c r="D93" s="46" t="s">
        <v>28</v>
      </c>
      <c r="E93" s="46" t="s">
        <v>29</v>
      </c>
      <c r="F93" s="46" t="s">
        <v>29</v>
      </c>
      <c r="G93" s="46" t="s">
        <v>29</v>
      </c>
      <c r="H93" s="46" t="s">
        <v>29</v>
      </c>
      <c r="I93" s="46" t="s">
        <v>30</v>
      </c>
      <c r="J93" s="46" t="s">
        <v>29</v>
      </c>
      <c r="K93" s="46" t="s">
        <v>29</v>
      </c>
      <c r="L93" s="46" t="s">
        <v>29</v>
      </c>
      <c r="M93" s="46" t="s">
        <v>29</v>
      </c>
      <c r="N93" s="46" t="s">
        <v>29</v>
      </c>
      <c r="O93" s="46" t="s">
        <v>29</v>
      </c>
      <c r="P93" s="46" t="s">
        <v>30</v>
      </c>
      <c r="Q93" s="46" t="s">
        <v>29</v>
      </c>
      <c r="R93" s="46" t="s">
        <v>29</v>
      </c>
      <c r="S93" s="46" t="s">
        <v>29</v>
      </c>
      <c r="T93" s="46" t="s">
        <v>29</v>
      </c>
      <c r="U93" s="46" t="s">
        <v>29</v>
      </c>
      <c r="V93" s="46" t="s">
        <v>29</v>
      </c>
      <c r="W93" s="46" t="s">
        <v>29</v>
      </c>
      <c r="X93" s="46" t="s">
        <v>29</v>
      </c>
      <c r="Y93" s="46" t="s">
        <v>29</v>
      </c>
      <c r="Z93" s="46" t="s">
        <v>30</v>
      </c>
      <c r="AA93" s="46" t="s">
        <v>29</v>
      </c>
      <c r="AB93" s="46" t="s">
        <v>29</v>
      </c>
      <c r="AC93" s="46" t="s">
        <v>29</v>
      </c>
      <c r="AD93" s="46" t="s">
        <v>30</v>
      </c>
      <c r="AE93" s="46" t="s">
        <v>29</v>
      </c>
      <c r="AF93" s="46" t="s">
        <v>29</v>
      </c>
      <c r="AG93" s="46" t="s">
        <v>29</v>
      </c>
      <c r="AH93" s="46" t="s">
        <v>31</v>
      </c>
      <c r="AI93" s="46" t="s">
        <v>29</v>
      </c>
      <c r="AJ93" s="46">
        <f>=SUM(E94:AI94)</f>
      </c>
      <c r="AK93" s="46">
        <f>=+AY93</f>
      </c>
      <c r="AL93" s="46"/>
      <c r="AM93" s="1"/>
      <c r="AN93" s="1">
        <f>=COUNTIF(E93:AI93,"A")+COUNTIF(E93:AI93,"B")+COUNTIF(E93:AI93,"C")+COUNTIF(E93:AI93,"D")+COUNTIF(E93:AI93,"E")+COUNTIF(E93:AI93,"F")+COUNTIF(E93:AI93,"M")+COUNTIF(E93:AI93,"AB")+COUNTIF(E93:AI93,"UZ")+COUNTIF(E93:AI93,"G")+(COUNTIF(E93:AI93,"RT.")/2)+(COUNTIF(E93:AI93,"ÇRT.")/2)</f>
      </c>
      <c r="AO93" s="1">
        <f>=COUNTIF(E93:AI93,"O")</f>
      </c>
      <c r="AP93" s="1">
        <f>=COUNTIF(E93:AI93,"RT")+(COUNTIF(E93:AI93,"RT.")/2)</f>
      </c>
      <c r="AQ93" s="1">
        <f>=COUNTIF(E93:AI93,"ÇRT")+(COUNTIF(E93:AI93,"ÇRT.")/2)</f>
      </c>
      <c r="AR93" s="1">
        <f>=COUNTIF(E93:AI93,"ÇHT")</f>
      </c>
      <c r="AS93" s="1">
        <f>=COUNTIF(E93:AI93,"Ö")+COUNTIF(E93:AI93,"T")</f>
      </c>
      <c r="AT93" s="1">
        <f>=COUNTIF(E93:AI93,"Y")</f>
      </c>
      <c r="AU93" s="1">
        <f>=COUNTIF(E93:AI93,"R.")</f>
      </c>
      <c r="AV93" s="1">
        <f>=COUNTIF(E93:AI93,"Ü")</f>
      </c>
      <c r="AW93" s="1">
        <f>=COUNTIF(E93:AI93,"R")</f>
      </c>
      <c r="AX93" s="1">
        <f>=COUNTIF(E93:AI93,"DV")</f>
      </c>
      <c r="AY93" s="1">
        <f>=+AN93+AO93+AP93+AQ93+AR93+AS93+AT93+AU93</f>
      </c>
    </row>
    <row r="94" ht="16" customHeight="1" spans="1:51" x14ac:dyDescent="0.25">
      <c r="A94" s="46"/>
      <c r="B94" s="46"/>
      <c r="C94" s="46"/>
      <c r="D94" s="46" t="s">
        <v>32</v>
      </c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>
        <v>2</v>
      </c>
      <c r="AG94" s="46">
        <v>3</v>
      </c>
      <c r="AH94" s="46">
        <v>2</v>
      </c>
      <c r="AI94" s="46"/>
      <c r="AJ94" s="46"/>
      <c r="AK94" s="46"/>
      <c r="AL94" s="46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ht="16" customHeight="1" spans="1:51" x14ac:dyDescent="0.25">
      <c r="A95" s="46">
        <v>44</v>
      </c>
      <c r="B95" s="46" t="s">
        <v>128</v>
      </c>
      <c r="C95" s="46" t="s">
        <v>129</v>
      </c>
      <c r="D95" s="46" t="s">
        <v>28</v>
      </c>
      <c r="E95" s="46" t="s">
        <v>50</v>
      </c>
      <c r="F95" s="46" t="s">
        <v>50</v>
      </c>
      <c r="G95" s="46" t="s">
        <v>50</v>
      </c>
      <c r="H95" s="46" t="s">
        <v>50</v>
      </c>
      <c r="I95" s="46" t="s">
        <v>30</v>
      </c>
      <c r="J95" s="46" t="s">
        <v>50</v>
      </c>
      <c r="K95" s="46" t="s">
        <v>47</v>
      </c>
      <c r="L95" s="46" t="s">
        <v>50</v>
      </c>
      <c r="M95" s="46" t="s">
        <v>50</v>
      </c>
      <c r="N95" s="46" t="s">
        <v>50</v>
      </c>
      <c r="O95" s="46" t="s">
        <v>50</v>
      </c>
      <c r="P95" s="46" t="s">
        <v>30</v>
      </c>
      <c r="Q95" s="46" t="s">
        <v>50</v>
      </c>
      <c r="R95" s="46" t="s">
        <v>50</v>
      </c>
      <c r="S95" s="46" t="s">
        <v>50</v>
      </c>
      <c r="T95" s="46" t="s">
        <v>50</v>
      </c>
      <c r="U95" s="46" t="s">
        <v>50</v>
      </c>
      <c r="V95" s="46" t="s">
        <v>50</v>
      </c>
      <c r="W95" s="46" t="s">
        <v>30</v>
      </c>
      <c r="X95" s="46" t="s">
        <v>50</v>
      </c>
      <c r="Y95" s="46" t="s">
        <v>50</v>
      </c>
      <c r="Z95" s="46" t="s">
        <v>50</v>
      </c>
      <c r="AA95" s="46" t="s">
        <v>50</v>
      </c>
      <c r="AB95" s="46" t="s">
        <v>50</v>
      </c>
      <c r="AC95" s="46" t="s">
        <v>50</v>
      </c>
      <c r="AD95" s="46" t="s">
        <v>30</v>
      </c>
      <c r="AE95" s="46" t="s">
        <v>68</v>
      </c>
      <c r="AF95" s="46" t="s">
        <v>50</v>
      </c>
      <c r="AG95" s="46" t="s">
        <v>50</v>
      </c>
      <c r="AH95" s="46" t="s">
        <v>31</v>
      </c>
      <c r="AI95" s="46" t="s">
        <v>50</v>
      </c>
      <c r="AJ95" s="46">
        <f>=SUM(E96:AI96)</f>
      </c>
      <c r="AK95" s="46">
        <f>=+AY95</f>
      </c>
      <c r="AL95" s="46"/>
      <c r="AM95" s="1"/>
      <c r="AN95" s="1">
        <f>=COUNTIF(E95:AI95,"A")+COUNTIF(E95:AI95,"B")+COUNTIF(E95:AI95,"C")+COUNTIF(E95:AI95,"D")+COUNTIF(E95:AI95,"E")+COUNTIF(E95:AI95,"F")+COUNTIF(E95:AI95,"M")+COUNTIF(E95:AI95,"AB")+COUNTIF(E95:AI95,"UZ")+COUNTIF(E95:AI95,"G")+(COUNTIF(E95:AI95,"RT.")/2)+(COUNTIF(E95:AI95,"ÇRT.")/2)</f>
      </c>
      <c r="AO95" s="1">
        <f>=COUNTIF(E95:AI95,"O")</f>
      </c>
      <c r="AP95" s="1">
        <f>=COUNTIF(E95:AI95,"RT")+(COUNTIF(E95:AI95,"RT.")/2)</f>
      </c>
      <c r="AQ95" s="1">
        <f>=COUNTIF(E95:AI95,"ÇRT")+(COUNTIF(E95:AI95,"ÇRT.")/2)</f>
      </c>
      <c r="AR95" s="1">
        <f>=COUNTIF(E95:AI95,"ÇHT")</f>
      </c>
      <c r="AS95" s="1">
        <f>=COUNTIF(E95:AI95,"Ö")+COUNTIF(E95:AI95,"T")</f>
      </c>
      <c r="AT95" s="1">
        <f>=COUNTIF(E95:AI95,"Y")</f>
      </c>
      <c r="AU95" s="1">
        <f>=COUNTIF(E95:AI95,"R.")</f>
      </c>
      <c r="AV95" s="1">
        <f>=COUNTIF(E95:AI95,"Ü")</f>
      </c>
      <c r="AW95" s="1">
        <f>=COUNTIF(E95:AI95,"R")</f>
      </c>
      <c r="AX95" s="1">
        <f>=COUNTIF(E95:AI95,"DV")</f>
      </c>
      <c r="AY95" s="1">
        <f>=+AN95+AO95+AP95+AQ95+AR95+AS95+AT95+AU95</f>
      </c>
    </row>
    <row r="96" ht="16" customHeight="1" spans="1:51" x14ac:dyDescent="0.25">
      <c r="A96" s="46"/>
      <c r="B96" s="46"/>
      <c r="C96" s="46"/>
      <c r="D96" s="46" t="s">
        <v>32</v>
      </c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ht="16" customHeight="1" spans="1:51" x14ac:dyDescent="0.25">
      <c r="A97" s="46">
        <v>45</v>
      </c>
      <c r="B97" s="46" t="s">
        <v>130</v>
      </c>
      <c r="C97" s="46" t="s">
        <v>131</v>
      </c>
      <c r="D97" s="46" t="s">
        <v>28</v>
      </c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 t="s">
        <v>29</v>
      </c>
      <c r="P97" s="46" t="s">
        <v>29</v>
      </c>
      <c r="Q97" s="46" t="s">
        <v>29</v>
      </c>
      <c r="R97" s="46" t="s">
        <v>29</v>
      </c>
      <c r="S97" s="46" t="s">
        <v>29</v>
      </c>
      <c r="T97" s="46" t="s">
        <v>29</v>
      </c>
      <c r="U97" s="46" t="s">
        <v>29</v>
      </c>
      <c r="V97" s="46" t="s">
        <v>30</v>
      </c>
      <c r="W97" s="46" t="s">
        <v>29</v>
      </c>
      <c r="X97" s="46" t="s">
        <v>29</v>
      </c>
      <c r="Y97" s="46" t="s">
        <v>29</v>
      </c>
      <c r="Z97" s="46" t="s">
        <v>29</v>
      </c>
      <c r="AA97" s="46" t="s">
        <v>29</v>
      </c>
      <c r="AB97" s="46" t="s">
        <v>29</v>
      </c>
      <c r="AC97" s="46" t="s">
        <v>30</v>
      </c>
      <c r="AD97" s="46" t="s">
        <v>29</v>
      </c>
      <c r="AE97" s="46" t="s">
        <v>29</v>
      </c>
      <c r="AF97" s="46" t="s">
        <v>29</v>
      </c>
      <c r="AG97" s="46" t="s">
        <v>29</v>
      </c>
      <c r="AH97" s="46" t="s">
        <v>31</v>
      </c>
      <c r="AI97" s="46" t="s">
        <v>29</v>
      </c>
      <c r="AJ97" s="46">
        <f>=SUM(E98:AI98)</f>
      </c>
      <c r="AK97" s="46">
        <f>=+AY97</f>
      </c>
      <c r="AL97" s="46"/>
      <c r="AM97" s="1"/>
      <c r="AN97" s="1">
        <f>=COUNTIF(E97:AI97,"A")+COUNTIF(E97:AI97,"B")+COUNTIF(E97:AI97,"C")+COUNTIF(E97:AI97,"D")+COUNTIF(E97:AI97,"E")+COUNTIF(E97:AI97,"F")+COUNTIF(E97:AI97,"M")+COUNTIF(E97:AI97,"AB")+COUNTIF(E97:AI97,"UZ")+COUNTIF(E97:AI97,"G")+(COUNTIF(E97:AI97,"RT.")/2)+(COUNTIF(E97:AI97,"ÇRT.")/2)</f>
      </c>
      <c r="AO97" s="1">
        <f>=COUNTIF(E97:AI97,"O")</f>
      </c>
      <c r="AP97" s="1">
        <f>=COUNTIF(E97:AI97,"RT")+(COUNTIF(E97:AI97,"RT.")/2)</f>
      </c>
      <c r="AQ97" s="1">
        <f>=COUNTIF(E97:AI97,"ÇRT")+(COUNTIF(E97:AI97,"ÇRT.")/2)</f>
      </c>
      <c r="AR97" s="1">
        <f>=COUNTIF(E97:AI97,"ÇHT")</f>
      </c>
      <c r="AS97" s="1">
        <f>=COUNTIF(E97:AI97,"Ö")+COUNTIF(E97:AI97,"T")</f>
      </c>
      <c r="AT97" s="1">
        <f>=COUNTIF(E97:AI97,"Y")</f>
      </c>
      <c r="AU97" s="1">
        <f>=COUNTIF(E97:AI97,"R.")</f>
      </c>
      <c r="AV97" s="1">
        <f>=COUNTIF(E97:AI97,"Ü")</f>
      </c>
      <c r="AW97" s="1">
        <f>=COUNTIF(E97:AI97,"R")</f>
      </c>
      <c r="AX97" s="1">
        <f>=COUNTIF(E97:AI97,"DV")</f>
      </c>
      <c r="AY97" s="1">
        <f>=+AN97+AO97+AP97+AQ97+AR97+AS97+AT97+AU97</f>
      </c>
    </row>
    <row r="98" ht="16" customHeight="1" spans="1:51" x14ac:dyDescent="0.25">
      <c r="A98" s="46"/>
      <c r="B98" s="46"/>
      <c r="C98" s="46"/>
      <c r="D98" s="46" t="s">
        <v>32</v>
      </c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>
        <v>1</v>
      </c>
      <c r="AE98" s="46"/>
      <c r="AF98" s="46"/>
      <c r="AG98" s="46">
        <v>3</v>
      </c>
      <c r="AH98" s="46">
        <v>2</v>
      </c>
      <c r="AI98" s="46"/>
      <c r="AJ98" s="46"/>
      <c r="AK98" s="46"/>
      <c r="AL98" s="46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ht="16" customHeight="1" spans="1:51" x14ac:dyDescent="0.25">
      <c r="A99" s="46">
        <v>46</v>
      </c>
      <c r="B99" s="46" t="s">
        <v>132</v>
      </c>
      <c r="C99" s="46" t="s">
        <v>133</v>
      </c>
      <c r="D99" s="46" t="s">
        <v>28</v>
      </c>
      <c r="E99" s="46" t="s">
        <v>29</v>
      </c>
      <c r="F99" s="46" t="s">
        <v>29</v>
      </c>
      <c r="G99" s="46" t="s">
        <v>29</v>
      </c>
      <c r="H99" s="46" t="s">
        <v>30</v>
      </c>
      <c r="I99" s="46" t="s">
        <v>36</v>
      </c>
      <c r="J99" s="46" t="s">
        <v>36</v>
      </c>
      <c r="K99" s="46" t="s">
        <v>36</v>
      </c>
      <c r="L99" s="46" t="s">
        <v>36</v>
      </c>
      <c r="M99" s="46" t="s">
        <v>36</v>
      </c>
      <c r="N99" s="46" t="s">
        <v>36</v>
      </c>
      <c r="O99" s="46" t="s">
        <v>30</v>
      </c>
      <c r="P99" s="46" t="s">
        <v>36</v>
      </c>
      <c r="Q99" s="46" t="s">
        <v>36</v>
      </c>
      <c r="R99" s="46" t="s">
        <v>36</v>
      </c>
      <c r="S99" s="46" t="s">
        <v>36</v>
      </c>
      <c r="T99" s="46" t="s">
        <v>36</v>
      </c>
      <c r="U99" s="46" t="s">
        <v>36</v>
      </c>
      <c r="V99" s="46" t="s">
        <v>30</v>
      </c>
      <c r="W99" s="46" t="s">
        <v>29</v>
      </c>
      <c r="X99" s="46" t="s">
        <v>29</v>
      </c>
      <c r="Y99" s="46" t="s">
        <v>29</v>
      </c>
      <c r="Z99" s="46" t="s">
        <v>29</v>
      </c>
      <c r="AA99" s="46" t="s">
        <v>30</v>
      </c>
      <c r="AB99" s="46" t="s">
        <v>29</v>
      </c>
      <c r="AC99" s="46" t="s">
        <v>29</v>
      </c>
      <c r="AD99" s="46" t="s">
        <v>29</v>
      </c>
      <c r="AE99" s="46" t="s">
        <v>29</v>
      </c>
      <c r="AF99" s="46" t="s">
        <v>29</v>
      </c>
      <c r="AG99" s="46" t="s">
        <v>29</v>
      </c>
      <c r="AH99" s="46" t="s">
        <v>31</v>
      </c>
      <c r="AI99" s="46" t="s">
        <v>30</v>
      </c>
      <c r="AJ99" s="46">
        <f>=SUM(E100:AI100)</f>
      </c>
      <c r="AK99" s="46">
        <f>=+AY99</f>
      </c>
      <c r="AL99" s="46"/>
      <c r="AM99" s="1"/>
      <c r="AN99" s="1">
        <f>=COUNTIF(E99:AI99,"A")+COUNTIF(E99:AI99,"B")+COUNTIF(E99:AI99,"C")+COUNTIF(E99:AI99,"D")+COUNTIF(E99:AI99,"E")+COUNTIF(E99:AI99,"F")+COUNTIF(E99:AI99,"M")+COUNTIF(E99:AI99,"AB")+COUNTIF(E99:AI99,"UZ")+COUNTIF(E99:AI99,"G")+(COUNTIF(E99:AI99,"RT.")/2)+(COUNTIF(E99:AI99,"ÇRT.")/2)</f>
      </c>
      <c r="AO99" s="1">
        <f>=COUNTIF(E99:AI99,"O")</f>
      </c>
      <c r="AP99" s="1">
        <f>=COUNTIF(E99:AI99,"RT")+(COUNTIF(E99:AI99,"RT.")/2)</f>
      </c>
      <c r="AQ99" s="1">
        <f>=COUNTIF(E99:AI99,"ÇRT")+(COUNTIF(E99:AI99,"ÇRT.")/2)</f>
      </c>
      <c r="AR99" s="1">
        <f>=COUNTIF(E99:AI99,"ÇHT")</f>
      </c>
      <c r="AS99" s="1">
        <f>=COUNTIF(E99:AI99,"Ö")+COUNTIF(E99:AI99,"T")</f>
      </c>
      <c r="AT99" s="1">
        <f>=COUNTIF(E99:AI99,"Y")</f>
      </c>
      <c r="AU99" s="1">
        <f>=COUNTIF(E99:AI99,"R.")</f>
      </c>
      <c r="AV99" s="1">
        <f>=COUNTIF(E99:AI99,"Ü")</f>
      </c>
      <c r="AW99" s="1">
        <f>=COUNTIF(E99:AI99,"R")</f>
      </c>
      <c r="AX99" s="1">
        <f>=COUNTIF(E99:AI99,"DV")</f>
      </c>
      <c r="AY99" s="1">
        <f>=+AN99+AO99+AP99+AQ99+AR99+AS99+AT99+AU99</f>
      </c>
    </row>
    <row r="100" ht="16" customHeight="1" spans="1:51" x14ac:dyDescent="0.25">
      <c r="A100" s="46"/>
      <c r="B100" s="46"/>
      <c r="C100" s="46"/>
      <c r="D100" s="46" t="s">
        <v>32</v>
      </c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>
        <v>0</v>
      </c>
      <c r="AE100" s="46"/>
      <c r="AF100" s="46">
        <v>2</v>
      </c>
      <c r="AG100" s="46">
        <v>3</v>
      </c>
      <c r="AH100" s="46">
        <v>2</v>
      </c>
      <c r="AI100" s="46"/>
      <c r="AJ100" s="46"/>
      <c r="AK100" s="46"/>
      <c r="AL100" s="46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ht="16" customHeight="1" spans="1:51" x14ac:dyDescent="0.25">
      <c r="A101" s="46">
        <v>47</v>
      </c>
      <c r="B101" s="46" t="s">
        <v>134</v>
      </c>
      <c r="C101" s="46" t="s">
        <v>135</v>
      </c>
      <c r="D101" s="46" t="s">
        <v>28</v>
      </c>
      <c r="E101" s="46" t="s">
        <v>29</v>
      </c>
      <c r="F101" s="46" t="s">
        <v>29</v>
      </c>
      <c r="G101" s="46" t="s">
        <v>30</v>
      </c>
      <c r="H101" s="46" t="s">
        <v>29</v>
      </c>
      <c r="I101" s="46" t="s">
        <v>29</v>
      </c>
      <c r="J101" s="46" t="s">
        <v>29</v>
      </c>
      <c r="K101" s="46" t="s">
        <v>29</v>
      </c>
      <c r="L101" s="46" t="s">
        <v>29</v>
      </c>
      <c r="M101" s="46" t="s">
        <v>29</v>
      </c>
      <c r="N101" s="46" t="s">
        <v>30</v>
      </c>
      <c r="O101" s="46" t="s">
        <v>29</v>
      </c>
      <c r="P101" s="46" t="s">
        <v>29</v>
      </c>
      <c r="Q101" s="46" t="s">
        <v>29</v>
      </c>
      <c r="R101" s="46" t="s">
        <v>29</v>
      </c>
      <c r="S101" s="46" t="s">
        <v>29</v>
      </c>
      <c r="T101" s="46" t="s">
        <v>29</v>
      </c>
      <c r="U101" s="46" t="s">
        <v>30</v>
      </c>
      <c r="V101" s="46" t="s">
        <v>29</v>
      </c>
      <c r="W101" s="46" t="s">
        <v>29</v>
      </c>
      <c r="X101" s="46" t="s">
        <v>29</v>
      </c>
      <c r="Y101" s="46" t="s">
        <v>29</v>
      </c>
      <c r="Z101" s="46" t="s">
        <v>29</v>
      </c>
      <c r="AA101" s="46" t="s">
        <v>29</v>
      </c>
      <c r="AB101" s="46" t="s">
        <v>30</v>
      </c>
      <c r="AC101" s="46" t="s">
        <v>29</v>
      </c>
      <c r="AD101" s="46" t="s">
        <v>29</v>
      </c>
      <c r="AE101" s="46" t="s">
        <v>29</v>
      </c>
      <c r="AF101" s="46" t="s">
        <v>29</v>
      </c>
      <c r="AG101" s="46" t="s">
        <v>29</v>
      </c>
      <c r="AH101" s="46" t="s">
        <v>31</v>
      </c>
      <c r="AI101" s="46" t="s">
        <v>30</v>
      </c>
      <c r="AJ101" s="46">
        <f>=SUM(E102:AI102)</f>
      </c>
      <c r="AK101" s="46">
        <f>=+AY101</f>
      </c>
      <c r="AL101" s="46"/>
      <c r="AM101" s="1"/>
      <c r="AN101" s="1">
        <f>=COUNTIF(E101:AI101,"A")+COUNTIF(E101:AI101,"B")+COUNTIF(E101:AI101,"C")+COUNTIF(E101:AI101,"D")+COUNTIF(E101:AI101,"E")+COUNTIF(E101:AI101,"F")+COUNTIF(E101:AI101,"M")+COUNTIF(E101:AI101,"AB")+COUNTIF(E101:AI101,"UZ")+COUNTIF(E101:AI101,"G")+(COUNTIF(E101:AI101,"RT.")/2)+(COUNTIF(E101:AI101,"ÇRT.")/2)</f>
      </c>
      <c r="AO101" s="1">
        <f>=COUNTIF(E101:AI101,"O")</f>
      </c>
      <c r="AP101" s="1">
        <f>=COUNTIF(E101:AI101,"RT")+(COUNTIF(E101:AI101,"RT.")/2)</f>
      </c>
      <c r="AQ101" s="1">
        <f>=COUNTIF(E101:AI101,"ÇRT")+(COUNTIF(E101:AI101,"ÇRT.")/2)</f>
      </c>
      <c r="AR101" s="1">
        <f>=COUNTIF(E101:AI101,"ÇHT")</f>
      </c>
      <c r="AS101" s="1">
        <f>=COUNTIF(E101:AI101,"Ö")+COUNTIF(E101:AI101,"T")</f>
      </c>
      <c r="AT101" s="1">
        <f>=COUNTIF(E101:AI101,"Y")</f>
      </c>
      <c r="AU101" s="1">
        <f>=COUNTIF(E101:AI101,"R.")</f>
      </c>
      <c r="AV101" s="1">
        <f>=COUNTIF(E101:AI101,"Ü")</f>
      </c>
      <c r="AW101" s="1">
        <f>=COUNTIF(E101:AI101,"R")</f>
      </c>
      <c r="AX101" s="1">
        <f>=COUNTIF(E101:AI101,"DV")</f>
      </c>
      <c r="AY101" s="1">
        <f>=+AN101+AO101+AP101+AQ101+AR101+AS101+AT101+AU101</f>
      </c>
    </row>
    <row r="102" ht="16" customHeight="1" spans="1:51" x14ac:dyDescent="0.25">
      <c r="A102" s="46"/>
      <c r="B102" s="46"/>
      <c r="C102" s="46"/>
      <c r="D102" s="46" t="s">
        <v>32</v>
      </c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ht="16" customHeight="1" spans="1:51" x14ac:dyDescent="0.25">
      <c r="A103" s="46">
        <v>48</v>
      </c>
      <c r="B103" s="46" t="s">
        <v>136</v>
      </c>
      <c r="C103" s="46" t="s">
        <v>137</v>
      </c>
      <c r="D103" s="46" t="s">
        <v>28</v>
      </c>
      <c r="E103" s="46" t="s">
        <v>29</v>
      </c>
      <c r="F103" s="46" t="s">
        <v>30</v>
      </c>
      <c r="G103" s="46" t="s">
        <v>29</v>
      </c>
      <c r="H103" s="46" t="s">
        <v>47</v>
      </c>
      <c r="I103" s="46" t="s">
        <v>29</v>
      </c>
      <c r="J103" s="46" t="s">
        <v>29</v>
      </c>
      <c r="K103" s="46" t="s">
        <v>29</v>
      </c>
      <c r="L103" s="46" t="s">
        <v>29</v>
      </c>
      <c r="M103" s="46" t="s">
        <v>30</v>
      </c>
      <c r="N103" s="46" t="s">
        <v>29</v>
      </c>
      <c r="O103" s="46" t="s">
        <v>29</v>
      </c>
      <c r="P103" s="46" t="s">
        <v>29</v>
      </c>
      <c r="Q103" s="46" t="s">
        <v>29</v>
      </c>
      <c r="R103" s="46" t="s">
        <v>29</v>
      </c>
      <c r="S103" s="46" t="s">
        <v>29</v>
      </c>
      <c r="T103" s="46" t="s">
        <v>30</v>
      </c>
      <c r="U103" s="46" t="s">
        <v>29</v>
      </c>
      <c r="V103" s="46" t="s">
        <v>29</v>
      </c>
      <c r="W103" s="46" t="s">
        <v>29</v>
      </c>
      <c r="X103" s="46" t="s">
        <v>29</v>
      </c>
      <c r="Y103" s="46" t="s">
        <v>29</v>
      </c>
      <c r="Z103" s="46" t="s">
        <v>29</v>
      </c>
      <c r="AA103" s="46" t="s">
        <v>30</v>
      </c>
      <c r="AB103" s="46" t="s">
        <v>29</v>
      </c>
      <c r="AC103" s="46" t="s">
        <v>29</v>
      </c>
      <c r="AD103" s="46" t="s">
        <v>29</v>
      </c>
      <c r="AE103" s="46" t="s">
        <v>29</v>
      </c>
      <c r="AF103" s="46" t="s">
        <v>29</v>
      </c>
      <c r="AG103" s="46" t="s">
        <v>29</v>
      </c>
      <c r="AH103" s="46" t="s">
        <v>44</v>
      </c>
      <c r="AI103" s="46" t="s">
        <v>29</v>
      </c>
      <c r="AJ103" s="46">
        <f>=SUM(E104:AI104)</f>
      </c>
      <c r="AK103" s="46">
        <f>=+AY103</f>
      </c>
      <c r="AL103" s="46"/>
      <c r="AM103" s="1"/>
      <c r="AN103" s="1">
        <f>=COUNTIF(E103:AI103,"A")+COUNTIF(E103:AI103,"B")+COUNTIF(E103:AI103,"C")+COUNTIF(E103:AI103,"D")+COUNTIF(E103:AI103,"E")+COUNTIF(E103:AI103,"F")+COUNTIF(E103:AI103,"M")+COUNTIF(E103:AI103,"AB")+COUNTIF(E103:AI103,"UZ")+COUNTIF(E103:AI103,"G")+(COUNTIF(E103:AI103,"RT.")/2)+(COUNTIF(E103:AI103,"ÇRT.")/2)</f>
      </c>
      <c r="AO103" s="1">
        <f>=COUNTIF(E103:AI103,"O")</f>
      </c>
      <c r="AP103" s="1">
        <f>=COUNTIF(E103:AI103,"RT")+(COUNTIF(E103:AI103,"RT.")/2)</f>
      </c>
      <c r="AQ103" s="1">
        <f>=COUNTIF(E103:AI103,"ÇRT")+(COUNTIF(E103:AI103,"ÇRT.")/2)</f>
      </c>
      <c r="AR103" s="1">
        <f>=COUNTIF(E103:AI103,"ÇHT")</f>
      </c>
      <c r="AS103" s="1">
        <f>=COUNTIF(E103:AI103,"Ö")+COUNTIF(E103:AI103,"T")</f>
      </c>
      <c r="AT103" s="1">
        <f>=COUNTIF(E103:AI103,"Y")</f>
      </c>
      <c r="AU103" s="1">
        <f>=COUNTIF(E103:AI103,"R.")</f>
      </c>
      <c r="AV103" s="1">
        <f>=COUNTIF(E103:AI103,"Ü")</f>
      </c>
      <c r="AW103" s="1">
        <f>=COUNTIF(E103:AI103,"R")</f>
      </c>
      <c r="AX103" s="1">
        <f>=COUNTIF(E103:AI103,"DV")</f>
      </c>
      <c r="AY103" s="1">
        <f>=+AN103+AO103+AP103+AQ103+AR103+AS103+AT103+AU103</f>
      </c>
    </row>
    <row r="104" ht="16" customHeight="1" spans="1:51" x14ac:dyDescent="0.25">
      <c r="A104" s="46"/>
      <c r="B104" s="46"/>
      <c r="C104" s="46"/>
      <c r="D104" s="46" t="s">
        <v>32</v>
      </c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>
        <v>2</v>
      </c>
      <c r="AG104" s="46"/>
      <c r="AH104" s="46"/>
      <c r="AI104" s="46"/>
      <c r="AJ104" s="46"/>
      <c r="AK104" s="46"/>
      <c r="AL104" s="46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ht="16" customHeight="1" spans="1:51" x14ac:dyDescent="0.25">
      <c r="A105" s="46">
        <v>49</v>
      </c>
      <c r="B105" s="46" t="s">
        <v>138</v>
      </c>
      <c r="C105" s="46" t="s">
        <v>139</v>
      </c>
      <c r="D105" s="46" t="s">
        <v>28</v>
      </c>
      <c r="E105" s="46" t="s">
        <v>29</v>
      </c>
      <c r="F105" s="46" t="s">
        <v>30</v>
      </c>
      <c r="G105" s="46" t="s">
        <v>29</v>
      </c>
      <c r="H105" s="46" t="s">
        <v>29</v>
      </c>
      <c r="I105" s="46" t="s">
        <v>29</v>
      </c>
      <c r="J105" s="46" t="s">
        <v>29</v>
      </c>
      <c r="K105" s="46" t="s">
        <v>29</v>
      </c>
      <c r="L105" s="46" t="s">
        <v>29</v>
      </c>
      <c r="M105" s="46" t="s">
        <v>30</v>
      </c>
      <c r="N105" s="46" t="s">
        <v>29</v>
      </c>
      <c r="O105" s="46" t="s">
        <v>29</v>
      </c>
      <c r="P105" s="46" t="s">
        <v>29</v>
      </c>
      <c r="Q105" s="46" t="s">
        <v>29</v>
      </c>
      <c r="R105" s="46" t="s">
        <v>29</v>
      </c>
      <c r="S105" s="46" t="s">
        <v>29</v>
      </c>
      <c r="T105" s="46" t="s">
        <v>30</v>
      </c>
      <c r="U105" s="46" t="s">
        <v>29</v>
      </c>
      <c r="V105" s="46" t="s">
        <v>29</v>
      </c>
      <c r="W105" s="46" t="s">
        <v>29</v>
      </c>
      <c r="X105" s="46" t="s">
        <v>29</v>
      </c>
      <c r="Y105" s="46" t="s">
        <v>29</v>
      </c>
      <c r="Z105" s="46" t="s">
        <v>29</v>
      </c>
      <c r="AA105" s="46" t="s">
        <v>29</v>
      </c>
      <c r="AB105" s="46" t="s">
        <v>29</v>
      </c>
      <c r="AC105" s="46" t="s">
        <v>29</v>
      </c>
      <c r="AD105" s="46" t="s">
        <v>29</v>
      </c>
      <c r="AE105" s="46" t="s">
        <v>29</v>
      </c>
      <c r="AF105" s="46" t="s">
        <v>29</v>
      </c>
      <c r="AG105" s="46" t="s">
        <v>30</v>
      </c>
      <c r="AH105" s="46" t="s">
        <v>31</v>
      </c>
      <c r="AI105" s="46" t="s">
        <v>29</v>
      </c>
      <c r="AJ105" s="46">
        <f>=SUM(E106:AI106)</f>
      </c>
      <c r="AK105" s="46">
        <f>=+AY105</f>
      </c>
      <c r="AL105" s="46"/>
      <c r="AM105" s="1"/>
      <c r="AN105" s="1">
        <f>=COUNTIF(E105:AI105,"A")+COUNTIF(E105:AI105,"B")+COUNTIF(E105:AI105,"C")+COUNTIF(E105:AI105,"D")+COUNTIF(E105:AI105,"E")+COUNTIF(E105:AI105,"F")+COUNTIF(E105:AI105,"M")+COUNTIF(E105:AI105,"AB")+COUNTIF(E105:AI105,"UZ")+COUNTIF(E105:AI105,"G")+(COUNTIF(E105:AI105,"RT.")/2)+(COUNTIF(E105:AI105,"ÇRT.")/2)</f>
      </c>
      <c r="AO105" s="1">
        <f>=COUNTIF(E105:AI105,"O")</f>
      </c>
      <c r="AP105" s="1">
        <f>=COUNTIF(E105:AI105,"RT")+(COUNTIF(E105:AI105,"RT.")/2)</f>
      </c>
      <c r="AQ105" s="1">
        <f>=COUNTIF(E105:AI105,"ÇRT")+(COUNTIF(E105:AI105,"ÇRT.")/2)</f>
      </c>
      <c r="AR105" s="1">
        <f>=COUNTIF(E105:AI105,"ÇHT")</f>
      </c>
      <c r="AS105" s="1">
        <f>=COUNTIF(E105:AI105,"Ö")+COUNTIF(E105:AI105,"T")</f>
      </c>
      <c r="AT105" s="1">
        <f>=COUNTIF(E105:AI105,"Y")</f>
      </c>
      <c r="AU105" s="1">
        <f>=COUNTIF(E105:AI105,"R.")</f>
      </c>
      <c r="AV105" s="1">
        <f>=COUNTIF(E105:AI105,"Ü")</f>
      </c>
      <c r="AW105" s="1">
        <f>=COUNTIF(E105:AI105,"R")</f>
      </c>
      <c r="AX105" s="1">
        <f>=COUNTIF(E105:AI105,"DV")</f>
      </c>
      <c r="AY105" s="1">
        <f>=+AN105+AO105+AP105+AQ105+AR105+AS105+AT105+AU105</f>
      </c>
    </row>
    <row r="106" ht="16" customHeight="1" spans="1:51" x14ac:dyDescent="0.25">
      <c r="A106" s="46"/>
      <c r="B106" s="46"/>
      <c r="C106" s="46"/>
      <c r="D106" s="46" t="s">
        <v>32</v>
      </c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>
        <v>1</v>
      </c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ht="16" customHeight="1" spans="1:51" x14ac:dyDescent="0.25">
      <c r="A107" s="46">
        <v>50</v>
      </c>
      <c r="B107" s="46" t="s">
        <v>140</v>
      </c>
      <c r="C107" s="46" t="s">
        <v>141</v>
      </c>
      <c r="D107" s="46" t="s">
        <v>28</v>
      </c>
      <c r="E107" s="46" t="s">
        <v>29</v>
      </c>
      <c r="F107" s="46" t="s">
        <v>29</v>
      </c>
      <c r="G107" s="46" t="s">
        <v>29</v>
      </c>
      <c r="H107" s="46" t="s">
        <v>29</v>
      </c>
      <c r="I107" s="46" t="s">
        <v>29</v>
      </c>
      <c r="J107" s="46" t="s">
        <v>30</v>
      </c>
      <c r="K107" s="46" t="s">
        <v>47</v>
      </c>
      <c r="L107" s="46" t="s">
        <v>47</v>
      </c>
      <c r="M107" s="46" t="s">
        <v>79</v>
      </c>
      <c r="N107" s="46" t="s">
        <v>79</v>
      </c>
      <c r="O107" s="46" t="s">
        <v>29</v>
      </c>
      <c r="P107" s="46" t="s">
        <v>29</v>
      </c>
      <c r="Q107" s="46" t="s">
        <v>30</v>
      </c>
      <c r="R107" s="46" t="s">
        <v>29</v>
      </c>
      <c r="S107" s="46" t="s">
        <v>29</v>
      </c>
      <c r="T107" s="46" t="s">
        <v>29</v>
      </c>
      <c r="U107" s="46" t="s">
        <v>29</v>
      </c>
      <c r="V107" s="46" t="s">
        <v>29</v>
      </c>
      <c r="W107" s="46" t="s">
        <v>29</v>
      </c>
      <c r="X107" s="46" t="s">
        <v>30</v>
      </c>
      <c r="Y107" s="46" t="s">
        <v>29</v>
      </c>
      <c r="Z107" s="46" t="s">
        <v>29</v>
      </c>
      <c r="AA107" s="46" t="s">
        <v>29</v>
      </c>
      <c r="AB107" s="46" t="s">
        <v>29</v>
      </c>
      <c r="AC107" s="46" t="s">
        <v>29</v>
      </c>
      <c r="AD107" s="46" t="s">
        <v>29</v>
      </c>
      <c r="AE107" s="46" t="s">
        <v>30</v>
      </c>
      <c r="AF107" s="46" t="s">
        <v>29</v>
      </c>
      <c r="AG107" s="46" t="s">
        <v>29</v>
      </c>
      <c r="AH107" s="46" t="s">
        <v>31</v>
      </c>
      <c r="AI107" s="46" t="s">
        <v>29</v>
      </c>
      <c r="AJ107" s="46">
        <f>=SUM(E108:AI108)</f>
      </c>
      <c r="AK107" s="46">
        <f>=+AY107</f>
      </c>
      <c r="AL107" s="46"/>
      <c r="AM107" s="1"/>
      <c r="AN107" s="1">
        <f>=COUNTIF(E107:AI107,"A")+COUNTIF(E107:AI107,"B")+COUNTIF(E107:AI107,"C")+COUNTIF(E107:AI107,"D")+COUNTIF(E107:AI107,"E")+COUNTIF(E107:AI107,"F")+COUNTIF(E107:AI107,"M")+COUNTIF(E107:AI107,"AB")+COUNTIF(E107:AI107,"UZ")+COUNTIF(E107:AI107,"G")+(COUNTIF(E107:AI107,"RT.")/2)+(COUNTIF(E107:AI107,"ÇRT.")/2)</f>
      </c>
      <c r="AO107" s="1">
        <f>=COUNTIF(E107:AI107,"O")</f>
      </c>
      <c r="AP107" s="1">
        <f>=COUNTIF(E107:AI107,"RT")+(COUNTIF(E107:AI107,"RT.")/2)</f>
      </c>
      <c r="AQ107" s="1">
        <f>=COUNTIF(E107:AI107,"ÇRT")+(COUNTIF(E107:AI107,"ÇRT.")/2)</f>
      </c>
      <c r="AR107" s="1">
        <f>=COUNTIF(E107:AI107,"ÇHT")</f>
      </c>
      <c r="AS107" s="1">
        <f>=COUNTIF(E107:AI107,"Ö")+COUNTIF(E107:AI107,"T")</f>
      </c>
      <c r="AT107" s="1">
        <f>=COUNTIF(E107:AI107,"Y")</f>
      </c>
      <c r="AU107" s="1">
        <f>=COUNTIF(E107:AI107,"R.")</f>
      </c>
      <c r="AV107" s="1">
        <f>=COUNTIF(E107:AI107,"Ü")</f>
      </c>
      <c r="AW107" s="1">
        <f>=COUNTIF(E107:AI107,"R")</f>
      </c>
      <c r="AX107" s="1">
        <f>=COUNTIF(E107:AI107,"DV")</f>
      </c>
      <c r="AY107" s="1">
        <f>=+AN107+AO107+AP107+AQ107+AR107+AS107+AT107+AU107</f>
      </c>
    </row>
    <row r="108" ht="16" customHeight="1" spans="1:51" x14ac:dyDescent="0.25">
      <c r="A108" s="46"/>
      <c r="B108" s="46"/>
      <c r="C108" s="46"/>
      <c r="D108" s="46" t="s">
        <v>32</v>
      </c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>
        <v>2</v>
      </c>
      <c r="AG108" s="46">
        <v>3</v>
      </c>
      <c r="AH108" s="46">
        <v>2</v>
      </c>
      <c r="AI108" s="46"/>
      <c r="AJ108" s="46"/>
      <c r="AK108" s="46"/>
      <c r="AL108" s="46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ht="16" customHeight="1" spans="1:51" x14ac:dyDescent="0.25">
      <c r="A109" s="46">
        <v>51</v>
      </c>
      <c r="B109" s="46" t="s">
        <v>142</v>
      </c>
      <c r="C109" s="46" t="s">
        <v>143</v>
      </c>
      <c r="D109" s="46" t="s">
        <v>28</v>
      </c>
      <c r="E109" s="46" t="s">
        <v>30</v>
      </c>
      <c r="F109" s="46" t="s">
        <v>29</v>
      </c>
      <c r="G109" s="46" t="s">
        <v>29</v>
      </c>
      <c r="H109" s="46" t="s">
        <v>29</v>
      </c>
      <c r="I109" s="46" t="s">
        <v>30</v>
      </c>
      <c r="J109" s="46" t="s">
        <v>29</v>
      </c>
      <c r="K109" s="46" t="s">
        <v>29</v>
      </c>
      <c r="L109" s="46" t="s">
        <v>29</v>
      </c>
      <c r="M109" s="46" t="s">
        <v>29</v>
      </c>
      <c r="N109" s="46" t="s">
        <v>29</v>
      </c>
      <c r="O109" s="46" t="s">
        <v>29</v>
      </c>
      <c r="P109" s="46" t="s">
        <v>29</v>
      </c>
      <c r="Q109" s="46" t="s">
        <v>30</v>
      </c>
      <c r="R109" s="46" t="s">
        <v>29</v>
      </c>
      <c r="S109" s="46" t="s">
        <v>29</v>
      </c>
      <c r="T109" s="46" t="s">
        <v>29</v>
      </c>
      <c r="U109" s="46" t="s">
        <v>29</v>
      </c>
      <c r="V109" s="46" t="s">
        <v>29</v>
      </c>
      <c r="W109" s="46" t="s">
        <v>29</v>
      </c>
      <c r="X109" s="46" t="s">
        <v>29</v>
      </c>
      <c r="Y109" s="46" t="s">
        <v>29</v>
      </c>
      <c r="Z109" s="46" t="s">
        <v>30</v>
      </c>
      <c r="AA109" s="46" t="s">
        <v>29</v>
      </c>
      <c r="AB109" s="46" t="s">
        <v>29</v>
      </c>
      <c r="AC109" s="46" t="s">
        <v>29</v>
      </c>
      <c r="AD109" s="46" t="s">
        <v>30</v>
      </c>
      <c r="AE109" s="46" t="s">
        <v>29</v>
      </c>
      <c r="AF109" s="46" t="s">
        <v>29</v>
      </c>
      <c r="AG109" s="46" t="s">
        <v>29</v>
      </c>
      <c r="AH109" s="46" t="s">
        <v>31</v>
      </c>
      <c r="AI109" s="46" t="s">
        <v>29</v>
      </c>
      <c r="AJ109" s="46">
        <f>=SUM(E110:AI110)</f>
      </c>
      <c r="AK109" s="46">
        <f>=+AY109</f>
      </c>
      <c r="AL109" s="46"/>
      <c r="AM109" s="1"/>
      <c r="AN109" s="1">
        <f>=COUNTIF(E109:AI109,"A")+COUNTIF(E109:AI109,"B")+COUNTIF(E109:AI109,"C")+COUNTIF(E109:AI109,"D")+COUNTIF(E109:AI109,"E")+COUNTIF(E109:AI109,"F")+COUNTIF(E109:AI109,"M")+COUNTIF(E109:AI109,"AB")+COUNTIF(E109:AI109,"UZ")+COUNTIF(E109:AI109,"G")+(COUNTIF(E109:AI109,"RT.")/2)+(COUNTIF(E109:AI109,"ÇRT.")/2)</f>
      </c>
      <c r="AO109" s="1">
        <f>=COUNTIF(E109:AI109,"O")</f>
      </c>
      <c r="AP109" s="1">
        <f>=COUNTIF(E109:AI109,"RT")+(COUNTIF(E109:AI109,"RT.")/2)</f>
      </c>
      <c r="AQ109" s="1">
        <f>=COUNTIF(E109:AI109,"ÇRT")+(COUNTIF(E109:AI109,"ÇRT.")/2)</f>
      </c>
      <c r="AR109" s="1">
        <f>=COUNTIF(E109:AI109,"ÇHT")</f>
      </c>
      <c r="AS109" s="1">
        <f>=COUNTIF(E109:AI109,"Ö")+COUNTIF(E109:AI109,"T")</f>
      </c>
      <c r="AT109" s="1">
        <f>=COUNTIF(E109:AI109,"Y")</f>
      </c>
      <c r="AU109" s="1">
        <f>=COUNTIF(E109:AI109,"R.")</f>
      </c>
      <c r="AV109" s="1">
        <f>=COUNTIF(E109:AI109,"Ü")</f>
      </c>
      <c r="AW109" s="1">
        <f>=COUNTIF(E109:AI109,"R")</f>
      </c>
      <c r="AX109" s="1">
        <f>=COUNTIF(E109:AI109,"DV")</f>
      </c>
      <c r="AY109" s="1">
        <f>=+AN109+AO109+AP109+AQ109+AR109+AS109+AT109+AU109</f>
      </c>
    </row>
    <row r="110" ht="16" customHeight="1" spans="1:51" x14ac:dyDescent="0.25">
      <c r="A110" s="46"/>
      <c r="B110" s="46"/>
      <c r="C110" s="46"/>
      <c r="D110" s="46" t="s">
        <v>32</v>
      </c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ht="16" customHeight="1" spans="1:51" x14ac:dyDescent="0.25">
      <c r="A111" s="46">
        <v>52</v>
      </c>
      <c r="B111" s="46" t="s">
        <v>144</v>
      </c>
      <c r="C111" s="46" t="s">
        <v>145</v>
      </c>
      <c r="D111" s="46" t="s">
        <v>28</v>
      </c>
      <c r="E111" s="46" t="s">
        <v>29</v>
      </c>
      <c r="F111" s="46" t="s">
        <v>29</v>
      </c>
      <c r="G111" s="46" t="s">
        <v>30</v>
      </c>
      <c r="H111" s="46" t="s">
        <v>29</v>
      </c>
      <c r="I111" s="46" t="s">
        <v>29</v>
      </c>
      <c r="J111" s="46" t="s">
        <v>29</v>
      </c>
      <c r="K111" s="46" t="s">
        <v>29</v>
      </c>
      <c r="L111" s="46" t="s">
        <v>29</v>
      </c>
      <c r="M111" s="46" t="s">
        <v>29</v>
      </c>
      <c r="N111" s="46" t="s">
        <v>29</v>
      </c>
      <c r="O111" s="46" t="s">
        <v>30</v>
      </c>
      <c r="P111" s="46" t="s">
        <v>29</v>
      </c>
      <c r="Q111" s="46" t="s">
        <v>29</v>
      </c>
      <c r="R111" s="46" t="s">
        <v>29</v>
      </c>
      <c r="S111" s="46" t="s">
        <v>29</v>
      </c>
      <c r="T111" s="46" t="s">
        <v>29</v>
      </c>
      <c r="U111" s="46" t="s">
        <v>29</v>
      </c>
      <c r="V111" s="46" t="s">
        <v>29</v>
      </c>
      <c r="W111" s="46" t="s">
        <v>29</v>
      </c>
      <c r="X111" s="46" t="s">
        <v>30</v>
      </c>
      <c r="Y111" s="46" t="s">
        <v>29</v>
      </c>
      <c r="Z111" s="46" t="s">
        <v>29</v>
      </c>
      <c r="AA111" s="46" t="s">
        <v>29</v>
      </c>
      <c r="AB111" s="46" t="s">
        <v>29</v>
      </c>
      <c r="AC111" s="46" t="s">
        <v>30</v>
      </c>
      <c r="AD111" s="46" t="s">
        <v>29</v>
      </c>
      <c r="AE111" s="46" t="s">
        <v>29</v>
      </c>
      <c r="AF111" s="46" t="s">
        <v>29</v>
      </c>
      <c r="AG111" s="46" t="s">
        <v>29</v>
      </c>
      <c r="AH111" s="46" t="s">
        <v>31</v>
      </c>
      <c r="AI111" s="46" t="s">
        <v>29</v>
      </c>
      <c r="AJ111" s="46">
        <f>=SUM(E112:AI112)</f>
      </c>
      <c r="AK111" s="46">
        <f>=+AY111</f>
      </c>
      <c r="AL111" s="46"/>
      <c r="AM111" s="1"/>
      <c r="AN111" s="1">
        <f>=COUNTIF(E111:AI111,"A")+COUNTIF(E111:AI111,"B")+COUNTIF(E111:AI111,"C")+COUNTIF(E111:AI111,"D")+COUNTIF(E111:AI111,"E")+COUNTIF(E111:AI111,"F")+COUNTIF(E111:AI111,"M")+COUNTIF(E111:AI111,"AB")+COUNTIF(E111:AI111,"UZ")+COUNTIF(E111:AI111,"G")+(COUNTIF(E111:AI111,"RT.")/2)+(COUNTIF(E111:AI111,"ÇRT.")/2)</f>
      </c>
      <c r="AO111" s="1">
        <f>=COUNTIF(E111:AI111,"O")</f>
      </c>
      <c r="AP111" s="1">
        <f>=COUNTIF(E111:AI111,"RT")+(COUNTIF(E111:AI111,"RT.")/2)</f>
      </c>
      <c r="AQ111" s="1">
        <f>=COUNTIF(E111:AI111,"ÇRT")+(COUNTIF(E111:AI111,"ÇRT.")/2)</f>
      </c>
      <c r="AR111" s="1">
        <f>=COUNTIF(E111:AI111,"ÇHT")</f>
      </c>
      <c r="AS111" s="1">
        <f>=COUNTIF(E111:AI111,"Ö")+COUNTIF(E111:AI111,"T")</f>
      </c>
      <c r="AT111" s="1">
        <f>=COUNTIF(E111:AI111,"Y")</f>
      </c>
      <c r="AU111" s="1">
        <f>=COUNTIF(E111:AI111,"R.")</f>
      </c>
      <c r="AV111" s="1">
        <f>=COUNTIF(E111:AI111,"Ü")</f>
      </c>
      <c r="AW111" s="1">
        <f>=COUNTIF(E111:AI111,"R")</f>
      </c>
      <c r="AX111" s="1">
        <f>=COUNTIF(E111:AI111,"DV")</f>
      </c>
      <c r="AY111" s="1">
        <f>=+AN111+AO111+AP111+AQ111+AR111+AS111+AT111+AU111</f>
      </c>
    </row>
    <row r="112" ht="16" customHeight="1" spans="1:51" x14ac:dyDescent="0.25">
      <c r="A112" s="46"/>
      <c r="B112" s="46"/>
      <c r="C112" s="46"/>
      <c r="D112" s="46" t="s">
        <v>32</v>
      </c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>
        <v>2</v>
      </c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>
        <v>3</v>
      </c>
      <c r="AH112" s="46">
        <v>2</v>
      </c>
      <c r="AI112" s="46"/>
      <c r="AJ112" s="46"/>
      <c r="AK112" s="46"/>
      <c r="AL112" s="46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ht="16" customHeight="1" spans="1:51" x14ac:dyDescent="0.25">
      <c r="A113" s="46">
        <v>53</v>
      </c>
      <c r="B113" s="46" t="s">
        <v>146</v>
      </c>
      <c r="C113" s="46" t="s">
        <v>147</v>
      </c>
      <c r="D113" s="46" t="s">
        <v>28</v>
      </c>
      <c r="E113" s="46" t="s">
        <v>30</v>
      </c>
      <c r="F113" s="46" t="s">
        <v>50</v>
      </c>
      <c r="G113" s="46" t="s">
        <v>50</v>
      </c>
      <c r="H113" s="46" t="s">
        <v>50</v>
      </c>
      <c r="I113" s="46" t="s">
        <v>50</v>
      </c>
      <c r="J113" s="46" t="s">
        <v>50</v>
      </c>
      <c r="K113" s="46" t="s">
        <v>50</v>
      </c>
      <c r="L113" s="46" t="s">
        <v>30</v>
      </c>
      <c r="M113" s="46" t="s">
        <v>50</v>
      </c>
      <c r="N113" s="46" t="s">
        <v>50</v>
      </c>
      <c r="O113" s="46" t="s">
        <v>50</v>
      </c>
      <c r="P113" s="46" t="s">
        <v>50</v>
      </c>
      <c r="Q113" s="46" t="s">
        <v>50</v>
      </c>
      <c r="R113" s="46" t="s">
        <v>50</v>
      </c>
      <c r="S113" s="46" t="s">
        <v>30</v>
      </c>
      <c r="T113" s="46" t="s">
        <v>50</v>
      </c>
      <c r="U113" s="46" t="s">
        <v>50</v>
      </c>
      <c r="V113" s="46" t="s">
        <v>50</v>
      </c>
      <c r="W113" s="46" t="s">
        <v>50</v>
      </c>
      <c r="X113" s="46" t="s">
        <v>50</v>
      </c>
      <c r="Y113" s="46" t="s">
        <v>50</v>
      </c>
      <c r="Z113" s="46" t="s">
        <v>30</v>
      </c>
      <c r="AA113" s="46" t="s">
        <v>50</v>
      </c>
      <c r="AB113" s="46" t="s">
        <v>50</v>
      </c>
      <c r="AC113" s="46" t="s">
        <v>50</v>
      </c>
      <c r="AD113" s="46" t="s">
        <v>50</v>
      </c>
      <c r="AE113" s="46" t="s">
        <v>50</v>
      </c>
      <c r="AF113" s="46" t="s">
        <v>50</v>
      </c>
      <c r="AG113" s="46" t="s">
        <v>44</v>
      </c>
      <c r="AH113" s="46" t="s">
        <v>31</v>
      </c>
      <c r="AI113" s="46" t="s">
        <v>50</v>
      </c>
      <c r="AJ113" s="46">
        <f>=SUM(E114:AI114)</f>
      </c>
      <c r="AK113" s="46">
        <f>=+AY113</f>
      </c>
      <c r="AL113" s="46"/>
      <c r="AM113" s="1"/>
      <c r="AN113" s="1">
        <f>=COUNTIF(E113:AI113,"A")+COUNTIF(E113:AI113,"B")+COUNTIF(E113:AI113,"C")+COUNTIF(E113:AI113,"D")+COUNTIF(E113:AI113,"E")+COUNTIF(E113:AI113,"F")+COUNTIF(E113:AI113,"M")+COUNTIF(E113:AI113,"AB")+COUNTIF(E113:AI113,"UZ")+COUNTIF(E113:AI113,"G")+(COUNTIF(E113:AI113,"RT.")/2)+(COUNTIF(E113:AI113,"ÇRT.")/2)</f>
      </c>
      <c r="AO113" s="1">
        <f>=COUNTIF(E113:AI113,"O")</f>
      </c>
      <c r="AP113" s="1">
        <f>=COUNTIF(E113:AI113,"RT")+(COUNTIF(E113:AI113,"RT.")/2)</f>
      </c>
      <c r="AQ113" s="1">
        <f>=COUNTIF(E113:AI113,"ÇRT")+(COUNTIF(E113:AI113,"ÇRT.")/2)</f>
      </c>
      <c r="AR113" s="1">
        <f>=COUNTIF(E113:AI113,"ÇHT")</f>
      </c>
      <c r="AS113" s="1">
        <f>=COUNTIF(E113:AI113,"Ö")+COUNTIF(E113:AI113,"T")</f>
      </c>
      <c r="AT113" s="1">
        <f>=COUNTIF(E113:AI113,"Y")</f>
      </c>
      <c r="AU113" s="1">
        <f>=COUNTIF(E113:AI113,"R.")</f>
      </c>
      <c r="AV113" s="1">
        <f>=COUNTIF(E113:AI113,"Ü")</f>
      </c>
      <c r="AW113" s="1">
        <f>=COUNTIF(E113:AI113,"R")</f>
      </c>
      <c r="AX113" s="1">
        <f>=COUNTIF(E113:AI113,"DV")</f>
      </c>
      <c r="AY113" s="1">
        <f>=+AN113+AO113+AP113+AQ113+AR113+AS113+AT113+AU113</f>
      </c>
    </row>
    <row r="114" ht="16" customHeight="1" spans="1:51" x14ac:dyDescent="0.25">
      <c r="A114" s="46"/>
      <c r="B114" s="46"/>
      <c r="C114" s="46"/>
      <c r="D114" s="46" t="s">
        <v>32</v>
      </c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>
        <v>3</v>
      </c>
      <c r="AH114" s="46">
        <v>2</v>
      </c>
      <c r="AI114" s="46"/>
      <c r="AJ114" s="46"/>
      <c r="AK114" s="46"/>
      <c r="AL114" s="46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ht="16" customHeight="1" spans="1:51" x14ac:dyDescent="0.25">
      <c r="A115" s="46">
        <v>54</v>
      </c>
      <c r="B115" s="46" t="s">
        <v>148</v>
      </c>
      <c r="C115" s="46" t="s">
        <v>149</v>
      </c>
      <c r="D115" s="46" t="s">
        <v>28</v>
      </c>
      <c r="E115" s="46" t="s">
        <v>29</v>
      </c>
      <c r="F115" s="46" t="s">
        <v>29</v>
      </c>
      <c r="G115" s="46" t="s">
        <v>41</v>
      </c>
      <c r="H115" s="46" t="s">
        <v>41</v>
      </c>
      <c r="I115" s="46" t="s">
        <v>29</v>
      </c>
      <c r="J115" s="46" t="s">
        <v>41</v>
      </c>
      <c r="K115" s="46" t="s">
        <v>30</v>
      </c>
      <c r="L115" s="46" t="s">
        <v>41</v>
      </c>
      <c r="M115" s="46" t="s">
        <v>41</v>
      </c>
      <c r="N115" s="46" t="s">
        <v>29</v>
      </c>
      <c r="O115" s="46" t="s">
        <v>29</v>
      </c>
      <c r="P115" s="46" t="s">
        <v>29</v>
      </c>
      <c r="Q115" s="46" t="s">
        <v>29</v>
      </c>
      <c r="R115" s="46" t="s">
        <v>30</v>
      </c>
      <c r="S115" s="46" t="s">
        <v>29</v>
      </c>
      <c r="T115" s="46" t="s">
        <v>29</v>
      </c>
      <c r="U115" s="46" t="s">
        <v>41</v>
      </c>
      <c r="V115" s="46" t="s">
        <v>41</v>
      </c>
      <c r="W115" s="46" t="s">
        <v>41</v>
      </c>
      <c r="X115" s="46" t="s">
        <v>41</v>
      </c>
      <c r="Y115" s="46" t="s">
        <v>30</v>
      </c>
      <c r="Z115" s="46" t="s">
        <v>41</v>
      </c>
      <c r="AA115" s="46" t="s">
        <v>41</v>
      </c>
      <c r="AB115" s="46" t="s">
        <v>29</v>
      </c>
      <c r="AC115" s="46" t="s">
        <v>29</v>
      </c>
      <c r="AD115" s="46" t="s">
        <v>29</v>
      </c>
      <c r="AE115" s="46" t="s">
        <v>29</v>
      </c>
      <c r="AF115" s="46" t="s">
        <v>30</v>
      </c>
      <c r="AG115" s="46" t="s">
        <v>29</v>
      </c>
      <c r="AH115" s="46" t="s">
        <v>31</v>
      </c>
      <c r="AI115" s="46" t="s">
        <v>41</v>
      </c>
      <c r="AJ115" s="46">
        <f>=SUM(E116:AI116)</f>
      </c>
      <c r="AK115" s="46">
        <f>=+AY115</f>
      </c>
      <c r="AL115" s="46"/>
      <c r="AM115" s="1"/>
      <c r="AN115" s="1">
        <f>=COUNTIF(E115:AI115,"A")+COUNTIF(E115:AI115,"B")+COUNTIF(E115:AI115,"C")+COUNTIF(E115:AI115,"D")+COUNTIF(E115:AI115,"E")+COUNTIF(E115:AI115,"F")+COUNTIF(E115:AI115,"M")+COUNTIF(E115:AI115,"AB")+COUNTIF(E115:AI115,"UZ")+COUNTIF(E115:AI115,"G")+(COUNTIF(E115:AI115,"RT.")/2)+(COUNTIF(E115:AI115,"ÇRT.")/2)</f>
      </c>
      <c r="AO115" s="1">
        <f>=COUNTIF(E115:AI115,"O")</f>
      </c>
      <c r="AP115" s="1">
        <f>=COUNTIF(E115:AI115,"RT")+(COUNTIF(E115:AI115,"RT.")/2)</f>
      </c>
      <c r="AQ115" s="1">
        <f>=COUNTIF(E115:AI115,"ÇRT")+(COUNTIF(E115:AI115,"ÇRT.")/2)</f>
      </c>
      <c r="AR115" s="1">
        <f>=COUNTIF(E115:AI115,"ÇHT")</f>
      </c>
      <c r="AS115" s="1">
        <f>=COUNTIF(E115:AI115,"Ö")+COUNTIF(E115:AI115,"T")</f>
      </c>
      <c r="AT115" s="1">
        <f>=COUNTIF(E115:AI115,"Y")</f>
      </c>
      <c r="AU115" s="1">
        <f>=COUNTIF(E115:AI115,"R.")</f>
      </c>
      <c r="AV115" s="1">
        <f>=COUNTIF(E115:AI115,"Ü")</f>
      </c>
      <c r="AW115" s="1">
        <f>=COUNTIF(E115:AI115,"R")</f>
      </c>
      <c r="AX115" s="1">
        <f>=COUNTIF(E115:AI115,"DV")</f>
      </c>
      <c r="AY115" s="1">
        <f>=+AN115+AO115+AP115+AQ115+AR115+AS115+AT115+AU115</f>
      </c>
    </row>
    <row r="116" ht="16" customHeight="1" spans="1:51" x14ac:dyDescent="0.25">
      <c r="A116" s="46"/>
      <c r="B116" s="46"/>
      <c r="C116" s="46"/>
      <c r="D116" s="46" t="s">
        <v>32</v>
      </c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ht="16" customHeight="1" spans="1:51" x14ac:dyDescent="0.25">
      <c r="A117" s="46">
        <v>55</v>
      </c>
      <c r="B117" s="46" t="s">
        <v>150</v>
      </c>
      <c r="C117" s="46" t="s">
        <v>151</v>
      </c>
      <c r="D117" s="46" t="s">
        <v>28</v>
      </c>
      <c r="E117" s="46" t="s">
        <v>41</v>
      </c>
      <c r="F117" s="46" t="s">
        <v>30</v>
      </c>
      <c r="G117" s="46" t="s">
        <v>29</v>
      </c>
      <c r="H117" s="46" t="s">
        <v>29</v>
      </c>
      <c r="I117" s="46" t="s">
        <v>29</v>
      </c>
      <c r="J117" s="46" t="s">
        <v>29</v>
      </c>
      <c r="K117" s="46" t="s">
        <v>29</v>
      </c>
      <c r="L117" s="46" t="s">
        <v>29</v>
      </c>
      <c r="M117" s="46" t="s">
        <v>30</v>
      </c>
      <c r="N117" s="46" t="s">
        <v>41</v>
      </c>
      <c r="O117" s="46" t="s">
        <v>41</v>
      </c>
      <c r="P117" s="46" t="s">
        <v>41</v>
      </c>
      <c r="Q117" s="46" t="s">
        <v>41</v>
      </c>
      <c r="R117" s="46" t="s">
        <v>41</v>
      </c>
      <c r="S117" s="46" t="s">
        <v>41</v>
      </c>
      <c r="T117" s="46" t="s">
        <v>29</v>
      </c>
      <c r="U117" s="46" t="s">
        <v>30</v>
      </c>
      <c r="V117" s="46" t="s">
        <v>29</v>
      </c>
      <c r="W117" s="46" t="s">
        <v>29</v>
      </c>
      <c r="X117" s="46" t="s">
        <v>29</v>
      </c>
      <c r="Y117" s="46" t="s">
        <v>29</v>
      </c>
      <c r="Z117" s="46" t="s">
        <v>29</v>
      </c>
      <c r="AA117" s="46" t="s">
        <v>30</v>
      </c>
      <c r="AB117" s="46" t="s">
        <v>41</v>
      </c>
      <c r="AC117" s="46" t="s">
        <v>41</v>
      </c>
      <c r="AD117" s="46" t="s">
        <v>41</v>
      </c>
      <c r="AE117" s="46" t="s">
        <v>41</v>
      </c>
      <c r="AF117" s="46" t="s">
        <v>41</v>
      </c>
      <c r="AG117" s="46" t="s">
        <v>41</v>
      </c>
      <c r="AH117" s="46" t="s">
        <v>30</v>
      </c>
      <c r="AI117" s="46" t="s">
        <v>29</v>
      </c>
      <c r="AJ117" s="46">
        <f>=SUM(E118:AI118)</f>
      </c>
      <c r="AK117" s="46">
        <f>=+AY117</f>
      </c>
      <c r="AL117" s="46"/>
      <c r="AM117" s="1"/>
      <c r="AN117" s="1">
        <f>=COUNTIF(E117:AI117,"A")+COUNTIF(E117:AI117,"B")+COUNTIF(E117:AI117,"C")+COUNTIF(E117:AI117,"D")+COUNTIF(E117:AI117,"E")+COUNTIF(E117:AI117,"F")+COUNTIF(E117:AI117,"M")+COUNTIF(E117:AI117,"AB")+COUNTIF(E117:AI117,"UZ")+COUNTIF(E117:AI117,"G")+(COUNTIF(E117:AI117,"RT.")/2)+(COUNTIF(E117:AI117,"ÇRT.")/2)</f>
      </c>
      <c r="AO117" s="1">
        <f>=COUNTIF(E117:AI117,"O")</f>
      </c>
      <c r="AP117" s="1">
        <f>=COUNTIF(E117:AI117,"RT")+(COUNTIF(E117:AI117,"RT.")/2)</f>
      </c>
      <c r="AQ117" s="1">
        <f>=COUNTIF(E117:AI117,"ÇRT")+(COUNTIF(E117:AI117,"ÇRT.")/2)</f>
      </c>
      <c r="AR117" s="1">
        <f>=COUNTIF(E117:AI117,"ÇHT")</f>
      </c>
      <c r="AS117" s="1">
        <f>=COUNTIF(E117:AI117,"Ö")+COUNTIF(E117:AI117,"T")</f>
      </c>
      <c r="AT117" s="1">
        <f>=COUNTIF(E117:AI117,"Y")</f>
      </c>
      <c r="AU117" s="1">
        <f>=COUNTIF(E117:AI117,"R.")</f>
      </c>
      <c r="AV117" s="1">
        <f>=COUNTIF(E117:AI117,"Ü")</f>
      </c>
      <c r="AW117" s="1">
        <f>=COUNTIF(E117:AI117,"R")</f>
      </c>
      <c r="AX117" s="1">
        <f>=COUNTIF(E117:AI117,"DV")</f>
      </c>
      <c r="AY117" s="1">
        <f>=+AN117+AO117+AP117+AQ117+AR117+AS117+AT117+AU117</f>
      </c>
    </row>
    <row r="118" ht="16" customHeight="1" spans="1:51" x14ac:dyDescent="0.25">
      <c r="A118" s="46"/>
      <c r="B118" s="46"/>
      <c r="C118" s="46"/>
      <c r="D118" s="46" t="s">
        <v>32</v>
      </c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ht="16" customHeight="1" spans="1:51" x14ac:dyDescent="0.25">
      <c r="A119" s="46">
        <v>56</v>
      </c>
      <c r="B119" s="46" t="s">
        <v>152</v>
      </c>
      <c r="C119" s="46" t="s">
        <v>153</v>
      </c>
      <c r="D119" s="46" t="s">
        <v>28</v>
      </c>
      <c r="E119" s="46" t="s">
        <v>47</v>
      </c>
      <c r="F119" s="46" t="s">
        <v>29</v>
      </c>
      <c r="G119" s="46" t="s">
        <v>29</v>
      </c>
      <c r="H119" s="46" t="s">
        <v>29</v>
      </c>
      <c r="I119" s="46" t="s">
        <v>30</v>
      </c>
      <c r="J119" s="46" t="s">
        <v>29</v>
      </c>
      <c r="K119" s="46" t="s">
        <v>29</v>
      </c>
      <c r="L119" s="46" t="s">
        <v>29</v>
      </c>
      <c r="M119" s="46" t="s">
        <v>29</v>
      </c>
      <c r="N119" s="46" t="s">
        <v>29</v>
      </c>
      <c r="O119" s="46" t="s">
        <v>29</v>
      </c>
      <c r="P119" s="46" t="s">
        <v>30</v>
      </c>
      <c r="Q119" s="46" t="s">
        <v>29</v>
      </c>
      <c r="R119" s="46" t="s">
        <v>29</v>
      </c>
      <c r="S119" s="46" t="s">
        <v>29</v>
      </c>
      <c r="T119" s="46" t="s">
        <v>29</v>
      </c>
      <c r="U119" s="46" t="s">
        <v>29</v>
      </c>
      <c r="V119" s="46" t="s">
        <v>29</v>
      </c>
      <c r="W119" s="46" t="s">
        <v>30</v>
      </c>
      <c r="X119" s="46" t="s">
        <v>29</v>
      </c>
      <c r="Y119" s="46" t="s">
        <v>29</v>
      </c>
      <c r="Z119" s="46" t="s">
        <v>29</v>
      </c>
      <c r="AA119" s="46" t="s">
        <v>29</v>
      </c>
      <c r="AB119" s="46" t="s">
        <v>29</v>
      </c>
      <c r="AC119" s="46" t="s">
        <v>29</v>
      </c>
      <c r="AD119" s="46" t="s">
        <v>30</v>
      </c>
      <c r="AE119" s="46" t="s">
        <v>29</v>
      </c>
      <c r="AF119" s="46" t="s">
        <v>29</v>
      </c>
      <c r="AG119" s="46" t="s">
        <v>29</v>
      </c>
      <c r="AH119" s="46" t="s">
        <v>31</v>
      </c>
      <c r="AI119" s="46" t="s">
        <v>30</v>
      </c>
      <c r="AJ119" s="46">
        <f>=SUM(E120:AI120)</f>
      </c>
      <c r="AK119" s="46">
        <f>=+AY119</f>
      </c>
      <c r="AL119" s="46"/>
      <c r="AM119" s="1"/>
      <c r="AN119" s="1">
        <f>=COUNTIF(E119:AI119,"A")+COUNTIF(E119:AI119,"B")+COUNTIF(E119:AI119,"C")+COUNTIF(E119:AI119,"D")+COUNTIF(E119:AI119,"E")+COUNTIF(E119:AI119,"F")+COUNTIF(E119:AI119,"M")+COUNTIF(E119:AI119,"AB")+COUNTIF(E119:AI119,"UZ")+COUNTIF(E119:AI119,"G")+(COUNTIF(E119:AI119,"RT.")/2)+(COUNTIF(E119:AI119,"ÇRT.")/2)</f>
      </c>
      <c r="AO119" s="1">
        <f>=COUNTIF(E119:AI119,"O")</f>
      </c>
      <c r="AP119" s="1">
        <f>=COUNTIF(E119:AI119,"RT")+(COUNTIF(E119:AI119,"RT.")/2)</f>
      </c>
      <c r="AQ119" s="1">
        <f>=COUNTIF(E119:AI119,"ÇRT")+(COUNTIF(E119:AI119,"ÇRT.")/2)</f>
      </c>
      <c r="AR119" s="1">
        <f>=COUNTIF(E119:AI119,"ÇHT")</f>
      </c>
      <c r="AS119" s="1">
        <f>=COUNTIF(E119:AI119,"Ö")+COUNTIF(E119:AI119,"T")</f>
      </c>
      <c r="AT119" s="1">
        <f>=COUNTIF(E119:AI119,"Y")</f>
      </c>
      <c r="AU119" s="1">
        <f>=COUNTIF(E119:AI119,"R.")</f>
      </c>
      <c r="AV119" s="1">
        <f>=COUNTIF(E119:AI119,"Ü")</f>
      </c>
      <c r="AW119" s="1">
        <f>=COUNTIF(E119:AI119,"R")</f>
      </c>
      <c r="AX119" s="1">
        <f>=COUNTIF(E119:AI119,"DV")</f>
      </c>
      <c r="AY119" s="1">
        <f>=+AN119+AO119+AP119+AQ119+AR119+AS119+AT119+AU119</f>
      </c>
    </row>
    <row r="120" ht="16" customHeight="1" spans="1:51" x14ac:dyDescent="0.25">
      <c r="A120" s="46"/>
      <c r="B120" s="46"/>
      <c r="C120" s="46"/>
      <c r="D120" s="46" t="s">
        <v>32</v>
      </c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ht="16" customHeight="1" spans="1:51" x14ac:dyDescent="0.25">
      <c r="A121" s="46">
        <v>57</v>
      </c>
      <c r="B121" s="46" t="s">
        <v>154</v>
      </c>
      <c r="C121" s="46" t="s">
        <v>155</v>
      </c>
      <c r="D121" s="46" t="s">
        <v>28</v>
      </c>
      <c r="E121" s="46" t="s">
        <v>29</v>
      </c>
      <c r="F121" s="46" t="s">
        <v>30</v>
      </c>
      <c r="G121" s="46" t="s">
        <v>29</v>
      </c>
      <c r="H121" s="46" t="s">
        <v>29</v>
      </c>
      <c r="I121" s="46" t="s">
        <v>29</v>
      </c>
      <c r="J121" s="46" t="s">
        <v>29</v>
      </c>
      <c r="K121" s="46" t="s">
        <v>30</v>
      </c>
      <c r="L121" s="46" t="s">
        <v>29</v>
      </c>
      <c r="M121" s="46" t="s">
        <v>29</v>
      </c>
      <c r="N121" s="46" t="s">
        <v>29</v>
      </c>
      <c r="O121" s="46" t="s">
        <v>29</v>
      </c>
      <c r="P121" s="46" t="s">
        <v>29</v>
      </c>
      <c r="Q121" s="46" t="s">
        <v>29</v>
      </c>
      <c r="R121" s="46" t="s">
        <v>30</v>
      </c>
      <c r="S121" s="46" t="s">
        <v>29</v>
      </c>
      <c r="T121" s="46" t="s">
        <v>29</v>
      </c>
      <c r="U121" s="46" t="s">
        <v>29</v>
      </c>
      <c r="V121" s="46" t="s">
        <v>29</v>
      </c>
      <c r="W121" s="46" t="s">
        <v>29</v>
      </c>
      <c r="X121" s="46" t="s">
        <v>30</v>
      </c>
      <c r="Y121" s="46" t="s">
        <v>29</v>
      </c>
      <c r="Z121" s="46" t="s">
        <v>29</v>
      </c>
      <c r="AA121" s="46" t="s">
        <v>29</v>
      </c>
      <c r="AB121" s="46" t="s">
        <v>29</v>
      </c>
      <c r="AC121" s="46" t="s">
        <v>29</v>
      </c>
      <c r="AD121" s="46" t="s">
        <v>29</v>
      </c>
      <c r="AE121" s="46" t="s">
        <v>29</v>
      </c>
      <c r="AF121" s="46" t="s">
        <v>29</v>
      </c>
      <c r="AG121" s="46" t="s">
        <v>29</v>
      </c>
      <c r="AH121" s="46" t="s">
        <v>31</v>
      </c>
      <c r="AI121" s="46" t="s">
        <v>30</v>
      </c>
      <c r="AJ121" s="46">
        <f>=SUM(E122:AI122)</f>
      </c>
      <c r="AK121" s="46">
        <f>=+AY121</f>
      </c>
      <c r="AL121" s="46"/>
      <c r="AM121" s="1"/>
      <c r="AN121" s="1">
        <f>=COUNTIF(E121:AI121,"A")+COUNTIF(E121:AI121,"B")+COUNTIF(E121:AI121,"C")+COUNTIF(E121:AI121,"D")+COUNTIF(E121:AI121,"E")+COUNTIF(E121:AI121,"F")+COUNTIF(E121:AI121,"M")+COUNTIF(E121:AI121,"AB")+COUNTIF(E121:AI121,"UZ")+COUNTIF(E121:AI121,"G")+(COUNTIF(E121:AI121,"RT.")/2)+(COUNTIF(E121:AI121,"ÇRT.")/2)</f>
      </c>
      <c r="AO121" s="1">
        <f>=COUNTIF(E121:AI121,"O")</f>
      </c>
      <c r="AP121" s="1">
        <f>=COUNTIF(E121:AI121,"RT")+(COUNTIF(E121:AI121,"RT.")/2)</f>
      </c>
      <c r="AQ121" s="1">
        <f>=COUNTIF(E121:AI121,"ÇRT")+(COUNTIF(E121:AI121,"ÇRT.")/2)</f>
      </c>
      <c r="AR121" s="1">
        <f>=COUNTIF(E121:AI121,"ÇHT")</f>
      </c>
      <c r="AS121" s="1">
        <f>=COUNTIF(E121:AI121,"Ö")+COUNTIF(E121:AI121,"T")</f>
      </c>
      <c r="AT121" s="1">
        <f>=COUNTIF(E121:AI121,"Y")</f>
      </c>
      <c r="AU121" s="1">
        <f>=COUNTIF(E121:AI121,"R.")</f>
      </c>
      <c r="AV121" s="1">
        <f>=COUNTIF(E121:AI121,"Ü")</f>
      </c>
      <c r="AW121" s="1">
        <f>=COUNTIF(E121:AI121,"R")</f>
      </c>
      <c r="AX121" s="1">
        <f>=COUNTIF(E121:AI121,"DV")</f>
      </c>
      <c r="AY121" s="1">
        <f>=+AN121+AO121+AP121+AQ121+AR121+AS121+AT121+AU121</f>
      </c>
    </row>
    <row r="122" ht="16" customHeight="1" spans="1:51" x14ac:dyDescent="0.25">
      <c r="A122" s="46"/>
      <c r="B122" s="46"/>
      <c r="C122" s="46"/>
      <c r="D122" s="46" t="s">
        <v>32</v>
      </c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>
        <v>1</v>
      </c>
      <c r="Z122" s="46"/>
      <c r="AA122" s="46"/>
      <c r="AB122" s="46"/>
      <c r="AC122" s="46"/>
      <c r="AD122" s="46"/>
      <c r="AE122" s="46"/>
      <c r="AF122" s="46"/>
      <c r="AG122" s="46">
        <v>3</v>
      </c>
      <c r="AH122" s="46">
        <v>2</v>
      </c>
      <c r="AI122" s="46"/>
      <c r="AJ122" s="46"/>
      <c r="AK122" s="46"/>
      <c r="AL122" s="46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ht="16" customHeight="1" spans="1:51" x14ac:dyDescent="0.25">
      <c r="A123" s="46">
        <v>58</v>
      </c>
      <c r="B123" s="46" t="s">
        <v>156</v>
      </c>
      <c r="C123" s="46" t="s">
        <v>157</v>
      </c>
      <c r="D123" s="46" t="s">
        <v>28</v>
      </c>
      <c r="E123" s="46" t="s">
        <v>50</v>
      </c>
      <c r="F123" s="46" t="s">
        <v>50</v>
      </c>
      <c r="G123" s="46" t="s">
        <v>30</v>
      </c>
      <c r="H123" s="46" t="s">
        <v>50</v>
      </c>
      <c r="I123" s="46" t="s">
        <v>50</v>
      </c>
      <c r="J123" s="46" t="s">
        <v>50</v>
      </c>
      <c r="K123" s="46" t="s">
        <v>50</v>
      </c>
      <c r="L123" s="46" t="s">
        <v>50</v>
      </c>
      <c r="M123" s="46" t="s">
        <v>50</v>
      </c>
      <c r="N123" s="46" t="s">
        <v>30</v>
      </c>
      <c r="O123" s="46" t="s">
        <v>50</v>
      </c>
      <c r="P123" s="46" t="s">
        <v>50</v>
      </c>
      <c r="Q123" s="46" t="s">
        <v>50</v>
      </c>
      <c r="R123" s="46" t="s">
        <v>50</v>
      </c>
      <c r="S123" s="46" t="s">
        <v>50</v>
      </c>
      <c r="T123" s="46" t="s">
        <v>50</v>
      </c>
      <c r="U123" s="46" t="s">
        <v>30</v>
      </c>
      <c r="V123" s="46" t="s">
        <v>50</v>
      </c>
      <c r="W123" s="46" t="s">
        <v>50</v>
      </c>
      <c r="X123" s="46" t="s">
        <v>50</v>
      </c>
      <c r="Y123" s="46" t="s">
        <v>50</v>
      </c>
      <c r="Z123" s="46" t="s">
        <v>50</v>
      </c>
      <c r="AA123" s="46" t="s">
        <v>50</v>
      </c>
      <c r="AB123" s="46" t="s">
        <v>30</v>
      </c>
      <c r="AC123" s="46" t="s">
        <v>50</v>
      </c>
      <c r="AD123" s="46" t="s">
        <v>50</v>
      </c>
      <c r="AE123" s="46" t="s">
        <v>50</v>
      </c>
      <c r="AF123" s="46" t="s">
        <v>50</v>
      </c>
      <c r="AG123" s="46" t="s">
        <v>50</v>
      </c>
      <c r="AH123" s="46" t="s">
        <v>31</v>
      </c>
      <c r="AI123" s="46" t="s">
        <v>30</v>
      </c>
      <c r="AJ123" s="46">
        <f>=SUM(E124:AI124)</f>
      </c>
      <c r="AK123" s="46">
        <f>=+AY123</f>
      </c>
      <c r="AL123" s="46"/>
      <c r="AM123" s="1"/>
      <c r="AN123" s="1">
        <f>=COUNTIF(E123:AI123,"A")+COUNTIF(E123:AI123,"B")+COUNTIF(E123:AI123,"C")+COUNTIF(E123:AI123,"D")+COUNTIF(E123:AI123,"E")+COUNTIF(E123:AI123,"F")+COUNTIF(E123:AI123,"M")+COUNTIF(E123:AI123,"AB")+COUNTIF(E123:AI123,"UZ")+COUNTIF(E123:AI123,"G")+(COUNTIF(E123:AI123,"RT.")/2)+(COUNTIF(E123:AI123,"ÇRT.")/2)</f>
      </c>
      <c r="AO123" s="1">
        <f>=COUNTIF(E123:AI123,"O")</f>
      </c>
      <c r="AP123" s="1">
        <f>=COUNTIF(E123:AI123,"RT")+(COUNTIF(E123:AI123,"RT.")/2)</f>
      </c>
      <c r="AQ123" s="1">
        <f>=COUNTIF(E123:AI123,"ÇRT")+(COUNTIF(E123:AI123,"ÇRT.")/2)</f>
      </c>
      <c r="AR123" s="1">
        <f>=COUNTIF(E123:AI123,"ÇHT")</f>
      </c>
      <c r="AS123" s="1">
        <f>=COUNTIF(E123:AI123,"Ö")+COUNTIF(E123:AI123,"T")</f>
      </c>
      <c r="AT123" s="1">
        <f>=COUNTIF(E123:AI123,"Y")</f>
      </c>
      <c r="AU123" s="1">
        <f>=COUNTIF(E123:AI123,"R.")</f>
      </c>
      <c r="AV123" s="1">
        <f>=COUNTIF(E123:AI123,"Ü")</f>
      </c>
      <c r="AW123" s="1">
        <f>=COUNTIF(E123:AI123,"R")</f>
      </c>
      <c r="AX123" s="1">
        <f>=COUNTIF(E123:AI123,"DV")</f>
      </c>
      <c r="AY123" s="1">
        <f>=+AN123+AO123+AP123+AQ123+AR123+AS123+AT123+AU123</f>
      </c>
    </row>
    <row r="124" ht="16" customHeight="1" spans="1:51" x14ac:dyDescent="0.25">
      <c r="A124" s="46"/>
      <c r="B124" s="46"/>
      <c r="C124" s="46"/>
      <c r="D124" s="46" t="s">
        <v>32</v>
      </c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ht="16" customHeight="1" spans="1:51" x14ac:dyDescent="0.25">
      <c r="A125" s="46">
        <v>59</v>
      </c>
      <c r="B125" s="46" t="s">
        <v>158</v>
      </c>
      <c r="C125" s="46" t="s">
        <v>159</v>
      </c>
      <c r="D125" s="46" t="s">
        <v>28</v>
      </c>
      <c r="E125" s="46" t="s">
        <v>30</v>
      </c>
      <c r="F125" s="46" t="s">
        <v>29</v>
      </c>
      <c r="G125" s="46" t="s">
        <v>29</v>
      </c>
      <c r="H125" s="46" t="s">
        <v>29</v>
      </c>
      <c r="I125" s="46" t="s">
        <v>29</v>
      </c>
      <c r="J125" s="46" t="s">
        <v>41</v>
      </c>
      <c r="K125" s="46" t="s">
        <v>29</v>
      </c>
      <c r="L125" s="46" t="s">
        <v>30</v>
      </c>
      <c r="M125" s="46" t="s">
        <v>29</v>
      </c>
      <c r="N125" s="46" t="s">
        <v>29</v>
      </c>
      <c r="O125" s="46" t="s">
        <v>41</v>
      </c>
      <c r="P125" s="46" t="s">
        <v>29</v>
      </c>
      <c r="Q125" s="46" t="s">
        <v>29</v>
      </c>
      <c r="R125" s="46" t="s">
        <v>30</v>
      </c>
      <c r="S125" s="46" t="s">
        <v>29</v>
      </c>
      <c r="T125" s="46" t="s">
        <v>29</v>
      </c>
      <c r="U125" s="46" t="s">
        <v>29</v>
      </c>
      <c r="V125" s="46" t="s">
        <v>41</v>
      </c>
      <c r="W125" s="46" t="s">
        <v>30</v>
      </c>
      <c r="X125" s="46" t="s">
        <v>29</v>
      </c>
      <c r="Y125" s="46" t="s">
        <v>29</v>
      </c>
      <c r="Z125" s="46" t="s">
        <v>29</v>
      </c>
      <c r="AA125" s="46" t="s">
        <v>29</v>
      </c>
      <c r="AB125" s="46" t="s">
        <v>29</v>
      </c>
      <c r="AC125" s="46" t="s">
        <v>41</v>
      </c>
      <c r="AD125" s="46" t="s">
        <v>30</v>
      </c>
      <c r="AE125" s="46" t="s">
        <v>29</v>
      </c>
      <c r="AF125" s="46" t="s">
        <v>29</v>
      </c>
      <c r="AG125" s="46" t="s">
        <v>29</v>
      </c>
      <c r="AH125" s="46" t="s">
        <v>31</v>
      </c>
      <c r="AI125" s="46" t="s">
        <v>29</v>
      </c>
      <c r="AJ125" s="46">
        <f>=SUM(E126:AI126)</f>
      </c>
      <c r="AK125" s="46">
        <f>=+AY125</f>
      </c>
      <c r="AL125" s="46"/>
      <c r="AM125" s="1"/>
      <c r="AN125" s="1">
        <f>=COUNTIF(E125:AI125,"A")+COUNTIF(E125:AI125,"B")+COUNTIF(E125:AI125,"C")+COUNTIF(E125:AI125,"D")+COUNTIF(E125:AI125,"E")+COUNTIF(E125:AI125,"F")+COUNTIF(E125:AI125,"M")+COUNTIF(E125:AI125,"AB")+COUNTIF(E125:AI125,"UZ")+COUNTIF(E125:AI125,"G")+(COUNTIF(E125:AI125,"RT.")/2)+(COUNTIF(E125:AI125,"ÇRT.")/2)</f>
      </c>
      <c r="AO125" s="1">
        <f>=COUNTIF(E125:AI125,"O")</f>
      </c>
      <c r="AP125" s="1">
        <f>=COUNTIF(E125:AI125,"RT")+(COUNTIF(E125:AI125,"RT.")/2)</f>
      </c>
      <c r="AQ125" s="1">
        <f>=COUNTIF(E125:AI125,"ÇRT")+(COUNTIF(E125:AI125,"ÇRT.")/2)</f>
      </c>
      <c r="AR125" s="1">
        <f>=COUNTIF(E125:AI125,"ÇHT")</f>
      </c>
      <c r="AS125" s="1">
        <f>=COUNTIF(E125:AI125,"Ö")+COUNTIF(E125:AI125,"T")</f>
      </c>
      <c r="AT125" s="1">
        <f>=COUNTIF(E125:AI125,"Y")</f>
      </c>
      <c r="AU125" s="1">
        <f>=COUNTIF(E125:AI125,"R.")</f>
      </c>
      <c r="AV125" s="1">
        <f>=COUNTIF(E125:AI125,"Ü")</f>
      </c>
      <c r="AW125" s="1">
        <f>=COUNTIF(E125:AI125,"R")</f>
      </c>
      <c r="AX125" s="1">
        <f>=COUNTIF(E125:AI125,"DV")</f>
      </c>
      <c r="AY125" s="1">
        <f>=+AN125+AO125+AP125+AQ125+AR125+AS125+AT125+AU125</f>
      </c>
    </row>
    <row r="126" ht="16" customHeight="1" spans="1:51" x14ac:dyDescent="0.25">
      <c r="A126" s="46"/>
      <c r="B126" s="46"/>
      <c r="C126" s="46"/>
      <c r="D126" s="46" t="s">
        <v>32</v>
      </c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>
        <v>2</v>
      </c>
      <c r="AG126" s="46">
        <v>3</v>
      </c>
      <c r="AH126" s="46">
        <v>2</v>
      </c>
      <c r="AI126" s="46"/>
      <c r="AJ126" s="46"/>
      <c r="AK126" s="46"/>
      <c r="AL126" s="46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ht="16" customHeight="1" spans="1:51" x14ac:dyDescent="0.25">
      <c r="A127" s="46">
        <v>60</v>
      </c>
      <c r="B127" s="46" t="s">
        <v>160</v>
      </c>
      <c r="C127" s="46" t="s">
        <v>161</v>
      </c>
      <c r="D127" s="46" t="s">
        <v>28</v>
      </c>
      <c r="E127" s="46" t="s">
        <v>30</v>
      </c>
      <c r="F127" s="46" t="s">
        <v>29</v>
      </c>
      <c r="G127" s="46" t="s">
        <v>29</v>
      </c>
      <c r="H127" s="46" t="s">
        <v>29</v>
      </c>
      <c r="I127" s="46" t="s">
        <v>29</v>
      </c>
      <c r="J127" s="46" t="s">
        <v>30</v>
      </c>
      <c r="K127" s="46" t="s">
        <v>29</v>
      </c>
      <c r="L127" s="46" t="s">
        <v>29</v>
      </c>
      <c r="M127" s="46" t="s">
        <v>29</v>
      </c>
      <c r="N127" s="46" t="s">
        <v>29</v>
      </c>
      <c r="O127" s="46" t="s">
        <v>29</v>
      </c>
      <c r="P127" s="46" t="s">
        <v>29</v>
      </c>
      <c r="Q127" s="46" t="s">
        <v>30</v>
      </c>
      <c r="R127" s="46" t="s">
        <v>29</v>
      </c>
      <c r="S127" s="46" t="s">
        <v>29</v>
      </c>
      <c r="T127" s="46" t="s">
        <v>29</v>
      </c>
      <c r="U127" s="46" t="s">
        <v>29</v>
      </c>
      <c r="V127" s="46" t="s">
        <v>29</v>
      </c>
      <c r="W127" s="46" t="s">
        <v>29</v>
      </c>
      <c r="X127" s="46" t="s">
        <v>30</v>
      </c>
      <c r="Y127" s="46" t="s">
        <v>29</v>
      </c>
      <c r="Z127" s="46" t="s">
        <v>29</v>
      </c>
      <c r="AA127" s="46" t="s">
        <v>29</v>
      </c>
      <c r="AB127" s="46" t="s">
        <v>29</v>
      </c>
      <c r="AC127" s="46" t="s">
        <v>29</v>
      </c>
      <c r="AD127" s="46" t="s">
        <v>29</v>
      </c>
      <c r="AE127" s="46" t="s">
        <v>30</v>
      </c>
      <c r="AF127" s="46" t="s">
        <v>29</v>
      </c>
      <c r="AG127" s="46" t="s">
        <v>29</v>
      </c>
      <c r="AH127" s="46" t="s">
        <v>31</v>
      </c>
      <c r="AI127" s="46" t="s">
        <v>29</v>
      </c>
      <c r="AJ127" s="46">
        <f>=SUM(E128:AI128)</f>
      </c>
      <c r="AK127" s="46">
        <f>=+AY127</f>
      </c>
      <c r="AL127" s="46"/>
      <c r="AM127" s="1"/>
      <c r="AN127" s="1">
        <f>=COUNTIF(E127:AI127,"A")+COUNTIF(E127:AI127,"B")+COUNTIF(E127:AI127,"C")+COUNTIF(E127:AI127,"D")+COUNTIF(E127:AI127,"E")+COUNTIF(E127:AI127,"F")+COUNTIF(E127:AI127,"M")+COUNTIF(E127:AI127,"AB")+COUNTIF(E127:AI127,"UZ")+COUNTIF(E127:AI127,"G")+(COUNTIF(E127:AI127,"RT.")/2)+(COUNTIF(E127:AI127,"ÇRT.")/2)</f>
      </c>
      <c r="AO127" s="1">
        <f>=COUNTIF(E127:AI127,"O")</f>
      </c>
      <c r="AP127" s="1">
        <f>=COUNTIF(E127:AI127,"RT")+(COUNTIF(E127:AI127,"RT.")/2)</f>
      </c>
      <c r="AQ127" s="1">
        <f>=COUNTIF(E127:AI127,"ÇRT")+(COUNTIF(E127:AI127,"ÇRT.")/2)</f>
      </c>
      <c r="AR127" s="1">
        <f>=COUNTIF(E127:AI127,"ÇHT")</f>
      </c>
      <c r="AS127" s="1">
        <f>=COUNTIF(E127:AI127,"Ö")+COUNTIF(E127:AI127,"T")</f>
      </c>
      <c r="AT127" s="1">
        <f>=COUNTIF(E127:AI127,"Y")</f>
      </c>
      <c r="AU127" s="1">
        <f>=COUNTIF(E127:AI127,"R.")</f>
      </c>
      <c r="AV127" s="1">
        <f>=COUNTIF(E127:AI127,"Ü")</f>
      </c>
      <c r="AW127" s="1">
        <f>=COUNTIF(E127:AI127,"R")</f>
      </c>
      <c r="AX127" s="1">
        <f>=COUNTIF(E127:AI127,"DV")</f>
      </c>
      <c r="AY127" s="1">
        <f>=+AN127+AO127+AP127+AQ127+AR127+AS127+AT127+AU127</f>
      </c>
    </row>
    <row r="128" ht="16" customHeight="1" spans="1:51" x14ac:dyDescent="0.25">
      <c r="A128" s="46"/>
      <c r="B128" s="46"/>
      <c r="C128" s="46"/>
      <c r="D128" s="46" t="s">
        <v>32</v>
      </c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ht="16" customHeight="1" spans="1:51" x14ac:dyDescent="0.25">
      <c r="A129" s="46">
        <v>61</v>
      </c>
      <c r="B129" s="46" t="s">
        <v>162</v>
      </c>
      <c r="C129" s="46" t="s">
        <v>163</v>
      </c>
      <c r="D129" s="46" t="s">
        <v>28</v>
      </c>
      <c r="E129" s="46" t="s">
        <v>30</v>
      </c>
      <c r="F129" s="46" t="s">
        <v>50</v>
      </c>
      <c r="G129" s="46" t="s">
        <v>50</v>
      </c>
      <c r="H129" s="46" t="s">
        <v>50</v>
      </c>
      <c r="I129" s="46" t="s">
        <v>50</v>
      </c>
      <c r="J129" s="46" t="s">
        <v>50</v>
      </c>
      <c r="K129" s="46" t="s">
        <v>50</v>
      </c>
      <c r="L129" s="46" t="s">
        <v>30</v>
      </c>
      <c r="M129" s="46" t="s">
        <v>50</v>
      </c>
      <c r="N129" s="46" t="s">
        <v>50</v>
      </c>
      <c r="O129" s="46" t="s">
        <v>50</v>
      </c>
      <c r="P129" s="46" t="s">
        <v>50</v>
      </c>
      <c r="Q129" s="46" t="s">
        <v>50</v>
      </c>
      <c r="R129" s="46" t="s">
        <v>50</v>
      </c>
      <c r="S129" s="46" t="s">
        <v>50</v>
      </c>
      <c r="T129" s="46" t="s">
        <v>30</v>
      </c>
      <c r="U129" s="46" t="s">
        <v>50</v>
      </c>
      <c r="V129" s="46" t="s">
        <v>50</v>
      </c>
      <c r="W129" s="46" t="s">
        <v>50</v>
      </c>
      <c r="X129" s="46" t="s">
        <v>50</v>
      </c>
      <c r="Y129" s="46" t="s">
        <v>50</v>
      </c>
      <c r="Z129" s="46" t="s">
        <v>50</v>
      </c>
      <c r="AA129" s="46" t="s">
        <v>30</v>
      </c>
      <c r="AB129" s="46" t="s">
        <v>50</v>
      </c>
      <c r="AC129" s="46" t="s">
        <v>50</v>
      </c>
      <c r="AD129" s="46" t="s">
        <v>50</v>
      </c>
      <c r="AE129" s="46" t="s">
        <v>50</v>
      </c>
      <c r="AF129" s="46" t="s">
        <v>50</v>
      </c>
      <c r="AG129" s="46" t="s">
        <v>30</v>
      </c>
      <c r="AH129" s="46" t="s">
        <v>31</v>
      </c>
      <c r="AI129" s="46" t="s">
        <v>50</v>
      </c>
      <c r="AJ129" s="46">
        <f>=SUM(E130:AI130)</f>
      </c>
      <c r="AK129" s="46">
        <f>=+AY129</f>
      </c>
      <c r="AL129" s="46"/>
      <c r="AM129" s="1"/>
      <c r="AN129" s="1">
        <f>=COUNTIF(E129:AI129,"A")+COUNTIF(E129:AI129,"B")+COUNTIF(E129:AI129,"C")+COUNTIF(E129:AI129,"D")+COUNTIF(E129:AI129,"E")+COUNTIF(E129:AI129,"F")+COUNTIF(E129:AI129,"M")+COUNTIF(E129:AI129,"AB")+COUNTIF(E129:AI129,"UZ")+COUNTIF(E129:AI129,"G")+(COUNTIF(E129:AI129,"RT.")/2)+(COUNTIF(E129:AI129,"ÇRT.")/2)</f>
      </c>
      <c r="AO129" s="1">
        <f>=COUNTIF(E129:AI129,"O")</f>
      </c>
      <c r="AP129" s="1">
        <f>=COUNTIF(E129:AI129,"RT")+(COUNTIF(E129:AI129,"RT.")/2)</f>
      </c>
      <c r="AQ129" s="1">
        <f>=COUNTIF(E129:AI129,"ÇRT")+(COUNTIF(E129:AI129,"ÇRT.")/2)</f>
      </c>
      <c r="AR129" s="1">
        <f>=COUNTIF(E129:AI129,"ÇHT")</f>
      </c>
      <c r="AS129" s="1">
        <f>=COUNTIF(E129:AI129,"Ö")+COUNTIF(E129:AI129,"T")</f>
      </c>
      <c r="AT129" s="1">
        <f>=COUNTIF(E129:AI129,"Y")</f>
      </c>
      <c r="AU129" s="1">
        <f>=COUNTIF(E129:AI129,"R.")</f>
      </c>
      <c r="AV129" s="1">
        <f>=COUNTIF(E129:AI129,"Ü")</f>
      </c>
      <c r="AW129" s="1">
        <f>=COUNTIF(E129:AI129,"R")</f>
      </c>
      <c r="AX129" s="1">
        <f>=COUNTIF(E129:AI129,"DV")</f>
      </c>
      <c r="AY129" s="1">
        <f>=+AN129+AO129+AP129+AQ129+AR129+AS129+AT129+AU129</f>
      </c>
    </row>
    <row r="130" ht="16" customHeight="1" spans="1:51" x14ac:dyDescent="0.25">
      <c r="A130" s="46"/>
      <c r="B130" s="46"/>
      <c r="C130" s="46"/>
      <c r="D130" s="46" t="s">
        <v>32</v>
      </c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ht="16" customHeight="1" spans="1:51" x14ac:dyDescent="0.25">
      <c r="A131" s="46">
        <v>62</v>
      </c>
      <c r="B131" s="46" t="s">
        <v>164</v>
      </c>
      <c r="C131" s="46" t="s">
        <v>165</v>
      </c>
      <c r="D131" s="46" t="s">
        <v>28</v>
      </c>
      <c r="E131" s="46" t="s">
        <v>29</v>
      </c>
      <c r="F131" s="46" t="s">
        <v>29</v>
      </c>
      <c r="G131" s="46" t="s">
        <v>41</v>
      </c>
      <c r="H131" s="46" t="s">
        <v>30</v>
      </c>
      <c r="I131" s="46" t="s">
        <v>41</v>
      </c>
      <c r="J131" s="46" t="s">
        <v>41</v>
      </c>
      <c r="K131" s="46" t="s">
        <v>41</v>
      </c>
      <c r="L131" s="46" t="s">
        <v>41</v>
      </c>
      <c r="M131" s="46" t="s">
        <v>41</v>
      </c>
      <c r="N131" s="46" t="s">
        <v>29</v>
      </c>
      <c r="O131" s="46" t="s">
        <v>30</v>
      </c>
      <c r="P131" s="46" t="s">
        <v>29</v>
      </c>
      <c r="Q131" s="46" t="s">
        <v>29</v>
      </c>
      <c r="R131" s="46" t="s">
        <v>29</v>
      </c>
      <c r="S131" s="46" t="s">
        <v>29</v>
      </c>
      <c r="T131" s="46" t="s">
        <v>29</v>
      </c>
      <c r="U131" s="46" t="s">
        <v>41</v>
      </c>
      <c r="V131" s="46" t="s">
        <v>30</v>
      </c>
      <c r="W131" s="46" t="s">
        <v>41</v>
      </c>
      <c r="X131" s="46" t="s">
        <v>41</v>
      </c>
      <c r="Y131" s="46" t="s">
        <v>41</v>
      </c>
      <c r="Z131" s="46" t="s">
        <v>41</v>
      </c>
      <c r="AA131" s="46" t="s">
        <v>41</v>
      </c>
      <c r="AB131" s="46" t="s">
        <v>29</v>
      </c>
      <c r="AC131" s="46" t="s">
        <v>30</v>
      </c>
      <c r="AD131" s="46" t="s">
        <v>29</v>
      </c>
      <c r="AE131" s="46" t="s">
        <v>29</v>
      </c>
      <c r="AF131" s="46" t="s">
        <v>29</v>
      </c>
      <c r="AG131" s="46" t="s">
        <v>29</v>
      </c>
      <c r="AH131" s="46" t="s">
        <v>31</v>
      </c>
      <c r="AI131" s="46" t="s">
        <v>41</v>
      </c>
      <c r="AJ131" s="46">
        <f>=SUM(E132:AI132)</f>
      </c>
      <c r="AK131" s="46">
        <f>=+AY131</f>
      </c>
      <c r="AL131" s="46"/>
      <c r="AM131" s="1"/>
      <c r="AN131" s="1">
        <f>=COUNTIF(E131:AI131,"A")+COUNTIF(E131:AI131,"B")+COUNTIF(E131:AI131,"C")+COUNTIF(E131:AI131,"D")+COUNTIF(E131:AI131,"E")+COUNTIF(E131:AI131,"F")+COUNTIF(E131:AI131,"M")+COUNTIF(E131:AI131,"AB")+COUNTIF(E131:AI131,"UZ")+COUNTIF(E131:AI131,"G")+(COUNTIF(E131:AI131,"RT.")/2)+(COUNTIF(E131:AI131,"ÇRT.")/2)</f>
      </c>
      <c r="AO131" s="1">
        <f>=COUNTIF(E131:AI131,"O")</f>
      </c>
      <c r="AP131" s="1">
        <f>=COUNTIF(E131:AI131,"RT")+(COUNTIF(E131:AI131,"RT.")/2)</f>
      </c>
      <c r="AQ131" s="1">
        <f>=COUNTIF(E131:AI131,"ÇRT")+(COUNTIF(E131:AI131,"ÇRT.")/2)</f>
      </c>
      <c r="AR131" s="1">
        <f>=COUNTIF(E131:AI131,"ÇHT")</f>
      </c>
      <c r="AS131" s="1">
        <f>=COUNTIF(E131:AI131,"Ö")+COUNTIF(E131:AI131,"T")</f>
      </c>
      <c r="AT131" s="1">
        <f>=COUNTIF(E131:AI131,"Y")</f>
      </c>
      <c r="AU131" s="1">
        <f>=COUNTIF(E131:AI131,"R.")</f>
      </c>
      <c r="AV131" s="1">
        <f>=COUNTIF(E131:AI131,"Ü")</f>
      </c>
      <c r="AW131" s="1">
        <f>=COUNTIF(E131:AI131,"R")</f>
      </c>
      <c r="AX131" s="1">
        <f>=COUNTIF(E131:AI131,"DV")</f>
      </c>
      <c r="AY131" s="1">
        <f>=+AN131+AO131+AP131+AQ131+AR131+AS131+AT131+AU131</f>
      </c>
    </row>
    <row r="132" ht="16" customHeight="1" spans="1:51" x14ac:dyDescent="0.25">
      <c r="A132" s="46"/>
      <c r="B132" s="46"/>
      <c r="C132" s="46"/>
      <c r="D132" s="46" t="s">
        <v>32</v>
      </c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ht="16" customHeight="1" spans="1:51" x14ac:dyDescent="0.25">
      <c r="A133" s="46">
        <v>63</v>
      </c>
      <c r="B133" s="46" t="s">
        <v>166</v>
      </c>
      <c r="C133" s="46" t="s">
        <v>167</v>
      </c>
      <c r="D133" s="46" t="s">
        <v>28</v>
      </c>
      <c r="E133" s="46" t="s">
        <v>29</v>
      </c>
      <c r="F133" s="46" t="s">
        <v>29</v>
      </c>
      <c r="G133" s="46" t="s">
        <v>29</v>
      </c>
      <c r="H133" s="46" t="s">
        <v>29</v>
      </c>
      <c r="I133" s="46" t="s">
        <v>29</v>
      </c>
      <c r="J133" s="46" t="s">
        <v>29</v>
      </c>
      <c r="K133" s="46" t="s">
        <v>29</v>
      </c>
      <c r="L133" s="46" t="s">
        <v>30</v>
      </c>
      <c r="M133" s="46" t="s">
        <v>29</v>
      </c>
      <c r="N133" s="46" t="s">
        <v>29</v>
      </c>
      <c r="O133" s="46" t="s">
        <v>29</v>
      </c>
      <c r="P133" s="46" t="s">
        <v>29</v>
      </c>
      <c r="Q133" s="46" t="s">
        <v>29</v>
      </c>
      <c r="R133" s="46" t="s">
        <v>30</v>
      </c>
      <c r="S133" s="46" t="s">
        <v>29</v>
      </c>
      <c r="T133" s="46" t="s">
        <v>29</v>
      </c>
      <c r="U133" s="46" t="s">
        <v>29</v>
      </c>
      <c r="V133" s="46" t="s">
        <v>29</v>
      </c>
      <c r="W133" s="46" t="s">
        <v>30</v>
      </c>
      <c r="X133" s="46" t="s">
        <v>29</v>
      </c>
      <c r="Y133" s="46" t="s">
        <v>29</v>
      </c>
      <c r="Z133" s="46" t="s">
        <v>29</v>
      </c>
      <c r="AA133" s="46" t="s">
        <v>29</v>
      </c>
      <c r="AB133" s="46" t="s">
        <v>29</v>
      </c>
      <c r="AC133" s="46" t="s">
        <v>29</v>
      </c>
      <c r="AD133" s="46" t="s">
        <v>29</v>
      </c>
      <c r="AE133" s="46" t="s">
        <v>29</v>
      </c>
      <c r="AF133" s="46" t="s">
        <v>29</v>
      </c>
      <c r="AG133" s="46" t="s">
        <v>30</v>
      </c>
      <c r="AH133" s="46" t="s">
        <v>31</v>
      </c>
      <c r="AI133" s="46" t="s">
        <v>29</v>
      </c>
      <c r="AJ133" s="46">
        <f>=SUM(E134:AI134)</f>
      </c>
      <c r="AK133" s="46">
        <f>=+AY133</f>
      </c>
      <c r="AL133" s="46"/>
      <c r="AM133" s="1"/>
      <c r="AN133" s="1">
        <f>=COUNTIF(E133:AI133,"A")+COUNTIF(E133:AI133,"B")+COUNTIF(E133:AI133,"C")+COUNTIF(E133:AI133,"D")+COUNTIF(E133:AI133,"E")+COUNTIF(E133:AI133,"F")+COUNTIF(E133:AI133,"M")+COUNTIF(E133:AI133,"AB")+COUNTIF(E133:AI133,"UZ")+COUNTIF(E133:AI133,"G")+(COUNTIF(E133:AI133,"RT.")/2)+(COUNTIF(E133:AI133,"ÇRT.")/2)</f>
      </c>
      <c r="AO133" s="1">
        <f>=COUNTIF(E133:AI133,"O")</f>
      </c>
      <c r="AP133" s="1">
        <f>=COUNTIF(E133:AI133,"RT")+(COUNTIF(E133:AI133,"RT.")/2)</f>
      </c>
      <c r="AQ133" s="1">
        <f>=COUNTIF(E133:AI133,"ÇRT")+(COUNTIF(E133:AI133,"ÇRT.")/2)</f>
      </c>
      <c r="AR133" s="1">
        <f>=COUNTIF(E133:AI133,"ÇHT")</f>
      </c>
      <c r="AS133" s="1">
        <f>=COUNTIF(E133:AI133,"Ö")+COUNTIF(E133:AI133,"T")</f>
      </c>
      <c r="AT133" s="1">
        <f>=COUNTIF(E133:AI133,"Y")</f>
      </c>
      <c r="AU133" s="1">
        <f>=COUNTIF(E133:AI133,"R.")</f>
      </c>
      <c r="AV133" s="1">
        <f>=COUNTIF(E133:AI133,"Ü")</f>
      </c>
      <c r="AW133" s="1">
        <f>=COUNTIF(E133:AI133,"R")</f>
      </c>
      <c r="AX133" s="1">
        <f>=COUNTIF(E133:AI133,"DV")</f>
      </c>
      <c r="AY133" s="1">
        <f>=+AN133+AO133+AP133+AQ133+AR133+AS133+AT133+AU133</f>
      </c>
    </row>
    <row r="134" ht="16" customHeight="1" spans="1:51" x14ac:dyDescent="0.25">
      <c r="A134" s="46"/>
      <c r="B134" s="46"/>
      <c r="C134" s="46"/>
      <c r="D134" s="46" t="s">
        <v>32</v>
      </c>
      <c r="E134" s="46"/>
      <c r="F134" s="46"/>
      <c r="G134" s="46">
        <v>2</v>
      </c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>
        <v>2</v>
      </c>
      <c r="AG134" s="46"/>
      <c r="AH134" s="46"/>
      <c r="AI134" s="46"/>
      <c r="AJ134" s="46"/>
      <c r="AK134" s="46"/>
      <c r="AL134" s="46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ht="16" customHeight="1" spans="1:51" x14ac:dyDescent="0.25">
      <c r="A135" s="46">
        <v>64</v>
      </c>
      <c r="B135" s="46" t="s">
        <v>168</v>
      </c>
      <c r="C135" s="46" t="s">
        <v>169</v>
      </c>
      <c r="D135" s="46" t="s">
        <v>28</v>
      </c>
      <c r="E135" s="46" t="s">
        <v>29</v>
      </c>
      <c r="F135" s="46" t="s">
        <v>29</v>
      </c>
      <c r="G135" s="46" t="s">
        <v>29</v>
      </c>
      <c r="H135" s="46" t="s">
        <v>29</v>
      </c>
      <c r="I135" s="46" t="s">
        <v>29</v>
      </c>
      <c r="J135" s="46" t="s">
        <v>29</v>
      </c>
      <c r="K135" s="46" t="s">
        <v>30</v>
      </c>
      <c r="L135" s="46" t="s">
        <v>29</v>
      </c>
      <c r="M135" s="46" t="s">
        <v>29</v>
      </c>
      <c r="N135" s="46" t="s">
        <v>29</v>
      </c>
      <c r="O135" s="46" t="s">
        <v>29</v>
      </c>
      <c r="P135" s="46" t="s">
        <v>29</v>
      </c>
      <c r="Q135" s="46" t="s">
        <v>29</v>
      </c>
      <c r="R135" s="46" t="s">
        <v>30</v>
      </c>
      <c r="S135" s="46" t="s">
        <v>29</v>
      </c>
      <c r="T135" s="46" t="s">
        <v>29</v>
      </c>
      <c r="U135" s="46" t="s">
        <v>29</v>
      </c>
      <c r="V135" s="46" t="s">
        <v>29</v>
      </c>
      <c r="W135" s="46" t="s">
        <v>29</v>
      </c>
      <c r="X135" s="46" t="s">
        <v>29</v>
      </c>
      <c r="Y135" s="46" t="s">
        <v>29</v>
      </c>
      <c r="Z135" s="46" t="s">
        <v>30</v>
      </c>
      <c r="AA135" s="46" t="s">
        <v>29</v>
      </c>
      <c r="AB135" s="46" t="s">
        <v>29</v>
      </c>
      <c r="AC135" s="46" t="s">
        <v>29</v>
      </c>
      <c r="AD135" s="46" t="s">
        <v>29</v>
      </c>
      <c r="AE135" s="46" t="s">
        <v>29</v>
      </c>
      <c r="AF135" s="46" t="s">
        <v>30</v>
      </c>
      <c r="AG135" s="46" t="s">
        <v>29</v>
      </c>
      <c r="AH135" s="46" t="s">
        <v>31</v>
      </c>
      <c r="AI135" s="46" t="s">
        <v>29</v>
      </c>
      <c r="AJ135" s="46">
        <f>=SUM(E136:AI136)</f>
      </c>
      <c r="AK135" s="46">
        <f>=+AY135</f>
      </c>
      <c r="AL135" s="46"/>
      <c r="AM135" s="1"/>
      <c r="AN135" s="1">
        <f>=COUNTIF(E135:AI135,"A")+COUNTIF(E135:AI135,"B")+COUNTIF(E135:AI135,"C")+COUNTIF(E135:AI135,"D")+COUNTIF(E135:AI135,"E")+COUNTIF(E135:AI135,"F")+COUNTIF(E135:AI135,"M")+COUNTIF(E135:AI135,"AB")+COUNTIF(E135:AI135,"UZ")+COUNTIF(E135:AI135,"G")+(COUNTIF(E135:AI135,"RT.")/2)+(COUNTIF(E135:AI135,"ÇRT.")/2)</f>
      </c>
      <c r="AO135" s="1">
        <f>=COUNTIF(E135:AI135,"O")</f>
      </c>
      <c r="AP135" s="1">
        <f>=COUNTIF(E135:AI135,"RT")+(COUNTIF(E135:AI135,"RT.")/2)</f>
      </c>
      <c r="AQ135" s="1">
        <f>=COUNTIF(E135:AI135,"ÇRT")+(COUNTIF(E135:AI135,"ÇRT.")/2)</f>
      </c>
      <c r="AR135" s="1">
        <f>=COUNTIF(E135:AI135,"ÇHT")</f>
      </c>
      <c r="AS135" s="1">
        <f>=COUNTIF(E135:AI135,"Ö")+COUNTIF(E135:AI135,"T")</f>
      </c>
      <c r="AT135" s="1">
        <f>=COUNTIF(E135:AI135,"Y")</f>
      </c>
      <c r="AU135" s="1">
        <f>=COUNTIF(E135:AI135,"R.")</f>
      </c>
      <c r="AV135" s="1">
        <f>=COUNTIF(E135:AI135,"Ü")</f>
      </c>
      <c r="AW135" s="1">
        <f>=COUNTIF(E135:AI135,"R")</f>
      </c>
      <c r="AX135" s="1">
        <f>=COUNTIF(E135:AI135,"DV")</f>
      </c>
      <c r="AY135" s="1">
        <f>=+AN135+AO135+AP135+AQ135+AR135+AS135+AT135+AU135</f>
      </c>
    </row>
    <row r="136" ht="16" customHeight="1" spans="1:51" x14ac:dyDescent="0.25">
      <c r="A136" s="46"/>
      <c r="B136" s="46"/>
      <c r="C136" s="46"/>
      <c r="D136" s="46" t="s">
        <v>32</v>
      </c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>
        <v>3</v>
      </c>
      <c r="AH136" s="46">
        <v>2</v>
      </c>
      <c r="AI136" s="46"/>
      <c r="AJ136" s="46"/>
      <c r="AK136" s="46"/>
      <c r="AL136" s="46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ht="16" customHeight="1" spans="1:51" x14ac:dyDescent="0.25">
      <c r="A137" s="46">
        <v>65</v>
      </c>
      <c r="B137" s="46" t="s">
        <v>170</v>
      </c>
      <c r="C137" s="46" t="s">
        <v>171</v>
      </c>
      <c r="D137" s="46" t="s">
        <v>28</v>
      </c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>
        <f>=SUM(E138:AI138)</f>
      </c>
      <c r="AK137" s="46">
        <f>=+AY137</f>
      </c>
      <c r="AL137" s="46"/>
      <c r="AM137" s="1"/>
      <c r="AN137" s="1">
        <f>=COUNTIF(E137:AI137,"A")+COUNTIF(E137:AI137,"B")+COUNTIF(E137:AI137,"C")+COUNTIF(E137:AI137,"D")+COUNTIF(E137:AI137,"E")+COUNTIF(E137:AI137,"F")+COUNTIF(E137:AI137,"M")+COUNTIF(E137:AI137,"AB")+COUNTIF(E137:AI137,"UZ")+COUNTIF(E137:AI137,"G")+(COUNTIF(E137:AI137,"RT.")/2)+(COUNTIF(E137:AI137,"ÇRT.")/2)</f>
      </c>
      <c r="AO137" s="1">
        <f>=COUNTIF(E137:AI137,"O")</f>
      </c>
      <c r="AP137" s="1">
        <f>=COUNTIF(E137:AI137,"RT")+(COUNTIF(E137:AI137,"RT.")/2)</f>
      </c>
      <c r="AQ137" s="1">
        <f>=COUNTIF(E137:AI137,"ÇRT")+(COUNTIF(E137:AI137,"ÇRT.")/2)</f>
      </c>
      <c r="AR137" s="1">
        <f>=COUNTIF(E137:AI137,"ÇHT")</f>
      </c>
      <c r="AS137" s="1">
        <f>=COUNTIF(E137:AI137,"Ö")+COUNTIF(E137:AI137,"T")</f>
      </c>
      <c r="AT137" s="1">
        <f>=COUNTIF(E137:AI137,"Y")</f>
      </c>
      <c r="AU137" s="1">
        <f>=COUNTIF(E137:AI137,"R.")</f>
      </c>
      <c r="AV137" s="1">
        <f>=COUNTIF(E137:AI137,"Ü")</f>
      </c>
      <c r="AW137" s="1">
        <f>=COUNTIF(E137:AI137,"R")</f>
      </c>
      <c r="AX137" s="1">
        <f>=COUNTIF(E137:AI137,"DV")</f>
      </c>
      <c r="AY137" s="1">
        <f>=+AN137+AO137+AP137+AQ137+AR137+AS137+AT137+AU137</f>
      </c>
    </row>
    <row r="138" ht="16" customHeight="1" spans="1:51" x14ac:dyDescent="0.25">
      <c r="A138" s="46"/>
      <c r="B138" s="46"/>
      <c r="C138" s="46"/>
      <c r="D138" s="46" t="s">
        <v>32</v>
      </c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ht="16" customHeight="1" spans="1:51" x14ac:dyDescent="0.25">
      <c r="A139" s="46">
        <v>66</v>
      </c>
      <c r="B139" s="46" t="s">
        <v>172</v>
      </c>
      <c r="C139" s="46" t="s">
        <v>173</v>
      </c>
      <c r="D139" s="46" t="s">
        <v>28</v>
      </c>
      <c r="E139" s="46" t="s">
        <v>29</v>
      </c>
      <c r="F139" s="46" t="s">
        <v>29</v>
      </c>
      <c r="G139" s="46" t="s">
        <v>29</v>
      </c>
      <c r="H139" s="46" t="s">
        <v>30</v>
      </c>
      <c r="I139" s="46" t="s">
        <v>29</v>
      </c>
      <c r="J139" s="46" t="s">
        <v>29</v>
      </c>
      <c r="K139" s="46" t="s">
        <v>29</v>
      </c>
      <c r="L139" s="46" t="s">
        <v>29</v>
      </c>
      <c r="M139" s="46" t="s">
        <v>29</v>
      </c>
      <c r="N139" s="46" t="s">
        <v>29</v>
      </c>
      <c r="O139" s="46" t="s">
        <v>29</v>
      </c>
      <c r="P139" s="46" t="s">
        <v>29</v>
      </c>
      <c r="Q139" s="46" t="s">
        <v>29</v>
      </c>
      <c r="R139" s="46" t="s">
        <v>30</v>
      </c>
      <c r="S139" s="46" t="s">
        <v>29</v>
      </c>
      <c r="T139" s="46" t="s">
        <v>29</v>
      </c>
      <c r="U139" s="46" t="s">
        <v>29</v>
      </c>
      <c r="V139" s="46" t="s">
        <v>29</v>
      </c>
      <c r="W139" s="46" t="s">
        <v>29</v>
      </c>
      <c r="X139" s="46" t="s">
        <v>29</v>
      </c>
      <c r="Y139" s="46" t="s">
        <v>29</v>
      </c>
      <c r="Z139" s="46" t="s">
        <v>29</v>
      </c>
      <c r="AA139" s="46" t="s">
        <v>29</v>
      </c>
      <c r="AB139" s="46" t="s">
        <v>29</v>
      </c>
      <c r="AC139" s="46" t="s">
        <v>30</v>
      </c>
      <c r="AD139" s="46" t="s">
        <v>29</v>
      </c>
      <c r="AE139" s="46" t="s">
        <v>29</v>
      </c>
      <c r="AF139" s="46" t="s">
        <v>29</v>
      </c>
      <c r="AG139" s="46" t="s">
        <v>30</v>
      </c>
      <c r="AH139" s="46" t="s">
        <v>31</v>
      </c>
      <c r="AI139" s="46" t="s">
        <v>29</v>
      </c>
      <c r="AJ139" s="46">
        <f>=SUM(E140:AI140)</f>
      </c>
      <c r="AK139" s="46">
        <f>=+AY139</f>
      </c>
      <c r="AL139" s="46"/>
      <c r="AM139" s="1"/>
      <c r="AN139" s="1">
        <f>=COUNTIF(E139:AI139,"A")+COUNTIF(E139:AI139,"B")+COUNTIF(E139:AI139,"C")+COUNTIF(E139:AI139,"D")+COUNTIF(E139:AI139,"E")+COUNTIF(E139:AI139,"F")+COUNTIF(E139:AI139,"M")+COUNTIF(E139:AI139,"AB")+COUNTIF(E139:AI139,"UZ")+COUNTIF(E139:AI139,"G")+(COUNTIF(E139:AI139,"RT.")/2)+(COUNTIF(E139:AI139,"ÇRT.")/2)</f>
      </c>
      <c r="AO139" s="1">
        <f>=COUNTIF(E139:AI139,"O")</f>
      </c>
      <c r="AP139" s="1">
        <f>=COUNTIF(E139:AI139,"RT")+(COUNTIF(E139:AI139,"RT.")/2)</f>
      </c>
      <c r="AQ139" s="1">
        <f>=COUNTIF(E139:AI139,"ÇRT")+(COUNTIF(E139:AI139,"ÇRT.")/2)</f>
      </c>
      <c r="AR139" s="1">
        <f>=COUNTIF(E139:AI139,"ÇHT")</f>
      </c>
      <c r="AS139" s="1">
        <f>=COUNTIF(E139:AI139,"Ö")+COUNTIF(E139:AI139,"T")</f>
      </c>
      <c r="AT139" s="1">
        <f>=COUNTIF(E139:AI139,"Y")</f>
      </c>
      <c r="AU139" s="1">
        <f>=COUNTIF(E139:AI139,"R.")</f>
      </c>
      <c r="AV139" s="1">
        <f>=COUNTIF(E139:AI139,"Ü")</f>
      </c>
      <c r="AW139" s="1">
        <f>=COUNTIF(E139:AI139,"R")</f>
      </c>
      <c r="AX139" s="1">
        <f>=COUNTIF(E139:AI139,"DV")</f>
      </c>
      <c r="AY139" s="1">
        <f>=+AN139+AO139+AP139+AQ139+AR139+AS139+AT139+AU139</f>
      </c>
    </row>
    <row r="140" ht="16" customHeight="1" spans="1:51" x14ac:dyDescent="0.25">
      <c r="A140" s="46"/>
      <c r="B140" s="46"/>
      <c r="C140" s="46"/>
      <c r="D140" s="46" t="s">
        <v>32</v>
      </c>
      <c r="E140" s="46"/>
      <c r="F140" s="46"/>
      <c r="G140" s="46">
        <v>1</v>
      </c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>
        <v>1</v>
      </c>
      <c r="U140" s="46"/>
      <c r="V140" s="46"/>
      <c r="W140" s="46"/>
      <c r="X140" s="46"/>
      <c r="Y140" s="46">
        <v>1</v>
      </c>
      <c r="Z140" s="46"/>
      <c r="AA140" s="46"/>
      <c r="AB140" s="46"/>
      <c r="AC140" s="46"/>
      <c r="AD140" s="46"/>
      <c r="AE140" s="46"/>
      <c r="AF140" s="46">
        <v>1</v>
      </c>
      <c r="AG140" s="46"/>
      <c r="AH140" s="46"/>
      <c r="AI140" s="46"/>
      <c r="AJ140" s="46"/>
      <c r="AK140" s="46"/>
      <c r="AL140" s="46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ht="16" customHeight="1" spans="1:51" x14ac:dyDescent="0.25">
      <c r="A141" s="46">
        <v>67</v>
      </c>
      <c r="B141" s="46" t="s">
        <v>174</v>
      </c>
      <c r="C141" s="46" t="s">
        <v>175</v>
      </c>
      <c r="D141" s="46" t="s">
        <v>28</v>
      </c>
      <c r="E141" s="46" t="s">
        <v>30</v>
      </c>
      <c r="F141" s="46" t="s">
        <v>41</v>
      </c>
      <c r="G141" s="46" t="s">
        <v>41</v>
      </c>
      <c r="H141" s="46" t="s">
        <v>41</v>
      </c>
      <c r="I141" s="46" t="s">
        <v>41</v>
      </c>
      <c r="J141" s="46" t="s">
        <v>41</v>
      </c>
      <c r="K141" s="46" t="s">
        <v>41</v>
      </c>
      <c r="L141" s="46" t="s">
        <v>30</v>
      </c>
      <c r="M141" s="46" t="s">
        <v>41</v>
      </c>
      <c r="N141" s="46" t="s">
        <v>41</v>
      </c>
      <c r="O141" s="46" t="s">
        <v>41</v>
      </c>
      <c r="P141" s="46" t="s">
        <v>41</v>
      </c>
      <c r="Q141" s="46" t="s">
        <v>41</v>
      </c>
      <c r="R141" s="46" t="s">
        <v>41</v>
      </c>
      <c r="S141" s="46" t="s">
        <v>30</v>
      </c>
      <c r="T141" s="46" t="s">
        <v>41</v>
      </c>
      <c r="U141" s="46" t="s">
        <v>41</v>
      </c>
      <c r="V141" s="46" t="s">
        <v>41</v>
      </c>
      <c r="W141" s="46" t="s">
        <v>41</v>
      </c>
      <c r="X141" s="46" t="s">
        <v>41</v>
      </c>
      <c r="Y141" s="46" t="s">
        <v>30</v>
      </c>
      <c r="Z141" s="46" t="s">
        <v>41</v>
      </c>
      <c r="AA141" s="46" t="s">
        <v>41</v>
      </c>
      <c r="AB141" s="46" t="s">
        <v>41</v>
      </c>
      <c r="AC141" s="46" t="s">
        <v>41</v>
      </c>
      <c r="AD141" s="46" t="s">
        <v>41</v>
      </c>
      <c r="AE141" s="46" t="s">
        <v>41</v>
      </c>
      <c r="AF141" s="46" t="s">
        <v>41</v>
      </c>
      <c r="AG141" s="46" t="s">
        <v>41</v>
      </c>
      <c r="AH141" s="46" t="s">
        <v>31</v>
      </c>
      <c r="AI141" s="46" t="s">
        <v>30</v>
      </c>
      <c r="AJ141" s="46">
        <f>=SUM(E142:AI142)</f>
      </c>
      <c r="AK141" s="46">
        <f>=+AY141</f>
      </c>
      <c r="AL141" s="46"/>
      <c r="AM141" s="1"/>
      <c r="AN141" s="1">
        <f>=COUNTIF(E141:AI141,"A")+COUNTIF(E141:AI141,"B")+COUNTIF(E141:AI141,"C")+COUNTIF(E141:AI141,"D")+COUNTIF(E141:AI141,"E")+COUNTIF(E141:AI141,"F")+COUNTIF(E141:AI141,"M")+COUNTIF(E141:AI141,"AB")+COUNTIF(E141:AI141,"UZ")+COUNTIF(E141:AI141,"G")+(COUNTIF(E141:AI141,"RT.")/2)+(COUNTIF(E141:AI141,"ÇRT.")/2)</f>
      </c>
      <c r="AO141" s="1">
        <f>=COUNTIF(E141:AI141,"O")</f>
      </c>
      <c r="AP141" s="1">
        <f>=COUNTIF(E141:AI141,"RT")+(COUNTIF(E141:AI141,"RT.")/2)</f>
      </c>
      <c r="AQ141" s="1">
        <f>=COUNTIF(E141:AI141,"ÇRT")+(COUNTIF(E141:AI141,"ÇRT.")/2)</f>
      </c>
      <c r="AR141" s="1">
        <f>=COUNTIF(E141:AI141,"ÇHT")</f>
      </c>
      <c r="AS141" s="1">
        <f>=COUNTIF(E141:AI141,"Ö")+COUNTIF(E141:AI141,"T")</f>
      </c>
      <c r="AT141" s="1">
        <f>=COUNTIF(E141:AI141,"Y")</f>
      </c>
      <c r="AU141" s="1">
        <f>=COUNTIF(E141:AI141,"R.")</f>
      </c>
      <c r="AV141" s="1">
        <f>=COUNTIF(E141:AI141,"Ü")</f>
      </c>
      <c r="AW141" s="1">
        <f>=COUNTIF(E141:AI141,"R")</f>
      </c>
      <c r="AX141" s="1">
        <f>=COUNTIF(E141:AI141,"DV")</f>
      </c>
      <c r="AY141" s="1">
        <f>=+AN141+AO141+AP141+AQ141+AR141+AS141+AT141+AU141</f>
      </c>
    </row>
    <row r="142" ht="16" customHeight="1" spans="1:51" x14ac:dyDescent="0.25">
      <c r="A142" s="46"/>
      <c r="B142" s="46"/>
      <c r="C142" s="46"/>
      <c r="D142" s="46" t="s">
        <v>32</v>
      </c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>
        <v>0</v>
      </c>
      <c r="Z142" s="46"/>
      <c r="AA142" s="46"/>
      <c r="AB142" s="46"/>
      <c r="AC142" s="46"/>
      <c r="AD142" s="46"/>
      <c r="AE142" s="46"/>
      <c r="AF142" s="46">
        <v>0</v>
      </c>
      <c r="AG142" s="46">
        <v>1</v>
      </c>
      <c r="AH142" s="46"/>
      <c r="AI142" s="46"/>
      <c r="AJ142" s="46"/>
      <c r="AK142" s="46"/>
      <c r="AL142" s="46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ht="16" customHeight="1" spans="1:51" x14ac:dyDescent="0.25">
      <c r="A143" s="46">
        <v>68</v>
      </c>
      <c r="B143" s="46" t="s">
        <v>176</v>
      </c>
      <c r="C143" s="46" t="s">
        <v>177</v>
      </c>
      <c r="D143" s="46" t="s">
        <v>28</v>
      </c>
      <c r="E143" s="46" t="s">
        <v>30</v>
      </c>
      <c r="F143" s="46" t="s">
        <v>36</v>
      </c>
      <c r="G143" s="46" t="s">
        <v>36</v>
      </c>
      <c r="H143" s="46" t="s">
        <v>36</v>
      </c>
      <c r="I143" s="46" t="s">
        <v>36</v>
      </c>
      <c r="J143" s="46" t="s">
        <v>36</v>
      </c>
      <c r="K143" s="46" t="s">
        <v>30</v>
      </c>
      <c r="L143" s="46" t="s">
        <v>36</v>
      </c>
      <c r="M143" s="46" t="s">
        <v>36</v>
      </c>
      <c r="N143" s="46" t="s">
        <v>36</v>
      </c>
      <c r="O143" s="46" t="s">
        <v>36</v>
      </c>
      <c r="P143" s="46" t="s">
        <v>36</v>
      </c>
      <c r="Q143" s="46" t="s">
        <v>36</v>
      </c>
      <c r="R143" s="46" t="s">
        <v>30</v>
      </c>
      <c r="S143" s="46" t="s">
        <v>29</v>
      </c>
      <c r="T143" s="46" t="s">
        <v>29</v>
      </c>
      <c r="U143" s="46" t="s">
        <v>29</v>
      </c>
      <c r="V143" s="46" t="s">
        <v>29</v>
      </c>
      <c r="W143" s="46" t="s">
        <v>29</v>
      </c>
      <c r="X143" s="46" t="s">
        <v>29</v>
      </c>
      <c r="Y143" s="46" t="s">
        <v>30</v>
      </c>
      <c r="Z143" s="46" t="s">
        <v>29</v>
      </c>
      <c r="AA143" s="46" t="s">
        <v>29</v>
      </c>
      <c r="AB143" s="46" t="s">
        <v>29</v>
      </c>
      <c r="AC143" s="46" t="s">
        <v>29</v>
      </c>
      <c r="AD143" s="46" t="s">
        <v>29</v>
      </c>
      <c r="AE143" s="46" t="s">
        <v>29</v>
      </c>
      <c r="AF143" s="46" t="s">
        <v>30</v>
      </c>
      <c r="AG143" s="46" t="s">
        <v>36</v>
      </c>
      <c r="AH143" s="46" t="s">
        <v>31</v>
      </c>
      <c r="AI143" s="46" t="s">
        <v>36</v>
      </c>
      <c r="AJ143" s="46">
        <f>=SUM(E144:AI144)</f>
      </c>
      <c r="AK143" s="46">
        <f>=+AY143</f>
      </c>
      <c r="AL143" s="46"/>
      <c r="AM143" s="1"/>
      <c r="AN143" s="1">
        <f>=COUNTIF(E143:AI143,"A")+COUNTIF(E143:AI143,"B")+COUNTIF(E143:AI143,"C")+COUNTIF(E143:AI143,"D")+COUNTIF(E143:AI143,"E")+COUNTIF(E143:AI143,"F")+COUNTIF(E143:AI143,"M")+COUNTIF(E143:AI143,"AB")+COUNTIF(E143:AI143,"UZ")+COUNTIF(E143:AI143,"G")+(COUNTIF(E143:AI143,"RT.")/2)+(COUNTIF(E143:AI143,"ÇRT.")/2)</f>
      </c>
      <c r="AO143" s="1">
        <f>=COUNTIF(E143:AI143,"O")</f>
      </c>
      <c r="AP143" s="1">
        <f>=COUNTIF(E143:AI143,"RT")+(COUNTIF(E143:AI143,"RT.")/2)</f>
      </c>
      <c r="AQ143" s="1">
        <f>=COUNTIF(E143:AI143,"ÇRT")+(COUNTIF(E143:AI143,"ÇRT.")/2)</f>
      </c>
      <c r="AR143" s="1">
        <f>=COUNTIF(E143:AI143,"ÇHT")</f>
      </c>
      <c r="AS143" s="1">
        <f>=COUNTIF(E143:AI143,"Ö")+COUNTIF(E143:AI143,"T")</f>
      </c>
      <c r="AT143" s="1">
        <f>=COUNTIF(E143:AI143,"Y")</f>
      </c>
      <c r="AU143" s="1">
        <f>=COUNTIF(E143:AI143,"R.")</f>
      </c>
      <c r="AV143" s="1">
        <f>=COUNTIF(E143:AI143,"Ü")</f>
      </c>
      <c r="AW143" s="1">
        <f>=COUNTIF(E143:AI143,"R")</f>
      </c>
      <c r="AX143" s="1">
        <f>=COUNTIF(E143:AI143,"DV")</f>
      </c>
      <c r="AY143" s="1">
        <f>=+AN143+AO143+AP143+AQ143+AR143+AS143+AT143+AU143</f>
      </c>
    </row>
    <row r="144" ht="16" customHeight="1" spans="1:51" x14ac:dyDescent="0.25">
      <c r="A144" s="46"/>
      <c r="B144" s="46"/>
      <c r="C144" s="46"/>
      <c r="D144" s="46" t="s">
        <v>32</v>
      </c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>
        <v>2</v>
      </c>
      <c r="AI144" s="46"/>
      <c r="AJ144" s="46"/>
      <c r="AK144" s="46"/>
      <c r="AL144" s="46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ht="16" customHeight="1" spans="1:51" x14ac:dyDescent="0.25">
      <c r="A145" s="46">
        <v>69</v>
      </c>
      <c r="B145" s="46" t="s">
        <v>178</v>
      </c>
      <c r="C145" s="46" t="s">
        <v>179</v>
      </c>
      <c r="D145" s="46" t="s">
        <v>28</v>
      </c>
      <c r="E145" s="46" t="s">
        <v>29</v>
      </c>
      <c r="F145" s="46" t="s">
        <v>29</v>
      </c>
      <c r="G145" s="46" t="s">
        <v>29</v>
      </c>
      <c r="H145" s="46" t="s">
        <v>29</v>
      </c>
      <c r="I145" s="46" t="s">
        <v>29</v>
      </c>
      <c r="J145" s="46" t="s">
        <v>30</v>
      </c>
      <c r="K145" s="46" t="s">
        <v>29</v>
      </c>
      <c r="L145" s="46" t="s">
        <v>29</v>
      </c>
      <c r="M145" s="46" t="s">
        <v>29</v>
      </c>
      <c r="N145" s="46" t="s">
        <v>29</v>
      </c>
      <c r="O145" s="46" t="s">
        <v>29</v>
      </c>
      <c r="P145" s="46" t="s">
        <v>29</v>
      </c>
      <c r="Q145" s="46" t="s">
        <v>30</v>
      </c>
      <c r="R145" s="46" t="s">
        <v>36</v>
      </c>
      <c r="S145" s="46" t="s">
        <v>36</v>
      </c>
      <c r="T145" s="46" t="s">
        <v>36</v>
      </c>
      <c r="U145" s="46" t="s">
        <v>36</v>
      </c>
      <c r="V145" s="46" t="s">
        <v>36</v>
      </c>
      <c r="W145" s="46" t="s">
        <v>36</v>
      </c>
      <c r="X145" s="46" t="s">
        <v>30</v>
      </c>
      <c r="Y145" s="46" t="s">
        <v>36</v>
      </c>
      <c r="Z145" s="46" t="s">
        <v>36</v>
      </c>
      <c r="AA145" s="46" t="s">
        <v>36</v>
      </c>
      <c r="AB145" s="46" t="s">
        <v>36</v>
      </c>
      <c r="AC145" s="46" t="s">
        <v>36</v>
      </c>
      <c r="AD145" s="46" t="s">
        <v>36</v>
      </c>
      <c r="AE145" s="46" t="s">
        <v>30</v>
      </c>
      <c r="AF145" s="46" t="s">
        <v>29</v>
      </c>
      <c r="AG145" s="46" t="s">
        <v>29</v>
      </c>
      <c r="AH145" s="46" t="s">
        <v>31</v>
      </c>
      <c r="AI145" s="46" t="s">
        <v>29</v>
      </c>
      <c r="AJ145" s="46">
        <f>=SUM(E146:AI146)</f>
      </c>
      <c r="AK145" s="46">
        <f>=+AY145</f>
      </c>
      <c r="AL145" s="46"/>
      <c r="AM145" s="1"/>
      <c r="AN145" s="1">
        <f>=COUNTIF(E145:AI145,"A")+COUNTIF(E145:AI145,"B")+COUNTIF(E145:AI145,"C")+COUNTIF(E145:AI145,"D")+COUNTIF(E145:AI145,"E")+COUNTIF(E145:AI145,"F")+COUNTIF(E145:AI145,"M")+COUNTIF(E145:AI145,"AB")+COUNTIF(E145:AI145,"UZ")+COUNTIF(E145:AI145,"G")+(COUNTIF(E145:AI145,"RT.")/2)+(COUNTIF(E145:AI145,"ÇRT.")/2)</f>
      </c>
      <c r="AO145" s="1">
        <f>=COUNTIF(E145:AI145,"O")</f>
      </c>
      <c r="AP145" s="1">
        <f>=COUNTIF(E145:AI145,"RT")+(COUNTIF(E145:AI145,"RT.")/2)</f>
      </c>
      <c r="AQ145" s="1">
        <f>=COUNTIF(E145:AI145,"ÇRT")+(COUNTIF(E145:AI145,"ÇRT.")/2)</f>
      </c>
      <c r="AR145" s="1">
        <f>=COUNTIF(E145:AI145,"ÇHT")</f>
      </c>
      <c r="AS145" s="1">
        <f>=COUNTIF(E145:AI145,"Ö")+COUNTIF(E145:AI145,"T")</f>
      </c>
      <c r="AT145" s="1">
        <f>=COUNTIF(E145:AI145,"Y")</f>
      </c>
      <c r="AU145" s="1">
        <f>=COUNTIF(E145:AI145,"R.")</f>
      </c>
      <c r="AV145" s="1">
        <f>=COUNTIF(E145:AI145,"Ü")</f>
      </c>
      <c r="AW145" s="1">
        <f>=COUNTIF(E145:AI145,"R")</f>
      </c>
      <c r="AX145" s="1">
        <f>=COUNTIF(E145:AI145,"DV")</f>
      </c>
      <c r="AY145" s="1">
        <f>=+AN145+AO145+AP145+AQ145+AR145+AS145+AT145+AU145</f>
      </c>
    </row>
    <row r="146" ht="16" customHeight="1" spans="1:51" x14ac:dyDescent="0.25">
      <c r="A146" s="46"/>
      <c r="B146" s="46"/>
      <c r="C146" s="46"/>
      <c r="D146" s="46" t="s">
        <v>32</v>
      </c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>
        <v>2</v>
      </c>
      <c r="AG146" s="46">
        <v>3</v>
      </c>
      <c r="AH146" s="46">
        <v>2</v>
      </c>
      <c r="AI146" s="46"/>
      <c r="AJ146" s="46"/>
      <c r="AK146" s="46"/>
      <c r="AL146" s="46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ht="16" customHeight="1" spans="1:51" x14ac:dyDescent="0.25">
      <c r="A147" s="46">
        <v>70</v>
      </c>
      <c r="B147" s="46" t="s">
        <v>180</v>
      </c>
      <c r="C147" s="46" t="s">
        <v>181</v>
      </c>
      <c r="D147" s="46" t="s">
        <v>28</v>
      </c>
      <c r="E147" s="46" t="s">
        <v>29</v>
      </c>
      <c r="F147" s="46" t="s">
        <v>30</v>
      </c>
      <c r="G147" s="46" t="s">
        <v>29</v>
      </c>
      <c r="H147" s="46" t="s">
        <v>29</v>
      </c>
      <c r="I147" s="46" t="s">
        <v>29</v>
      </c>
      <c r="J147" s="46" t="s">
        <v>29</v>
      </c>
      <c r="K147" s="46" t="s">
        <v>29</v>
      </c>
      <c r="L147" s="46" t="s">
        <v>29</v>
      </c>
      <c r="M147" s="46" t="s">
        <v>30</v>
      </c>
      <c r="N147" s="46" t="s">
        <v>29</v>
      </c>
      <c r="O147" s="46" t="s">
        <v>29</v>
      </c>
      <c r="P147" s="46" t="s">
        <v>29</v>
      </c>
      <c r="Q147" s="46" t="s">
        <v>29</v>
      </c>
      <c r="R147" s="46" t="s">
        <v>29</v>
      </c>
      <c r="S147" s="46" t="s">
        <v>29</v>
      </c>
      <c r="T147" s="46" t="s">
        <v>30</v>
      </c>
      <c r="U147" s="46" t="s">
        <v>29</v>
      </c>
      <c r="V147" s="46" t="s">
        <v>29</v>
      </c>
      <c r="W147" s="46" t="s">
        <v>29</v>
      </c>
      <c r="X147" s="46" t="s">
        <v>29</v>
      </c>
      <c r="Y147" s="46" t="s">
        <v>47</v>
      </c>
      <c r="Z147" s="46" t="s">
        <v>29</v>
      </c>
      <c r="AA147" s="46" t="s">
        <v>30</v>
      </c>
      <c r="AB147" s="46" t="s">
        <v>29</v>
      </c>
      <c r="AC147" s="46" t="s">
        <v>29</v>
      </c>
      <c r="AD147" s="46" t="s">
        <v>29</v>
      </c>
      <c r="AE147" s="46" t="s">
        <v>29</v>
      </c>
      <c r="AF147" s="46" t="s">
        <v>29</v>
      </c>
      <c r="AG147" s="46" t="s">
        <v>29</v>
      </c>
      <c r="AH147" s="46" t="s">
        <v>44</v>
      </c>
      <c r="AI147" s="46" t="s">
        <v>29</v>
      </c>
      <c r="AJ147" s="46">
        <f>=SUM(E148:AI148)</f>
      </c>
      <c r="AK147" s="46">
        <f>=+AY147</f>
      </c>
      <c r="AL147" s="46"/>
      <c r="AM147" s="1"/>
      <c r="AN147" s="1">
        <f>=COUNTIF(E147:AI147,"A")+COUNTIF(E147:AI147,"B")+COUNTIF(E147:AI147,"C")+COUNTIF(E147:AI147,"D")+COUNTIF(E147:AI147,"E")+COUNTIF(E147:AI147,"F")+COUNTIF(E147:AI147,"M")+COUNTIF(E147:AI147,"AB")+COUNTIF(E147:AI147,"UZ")+COUNTIF(E147:AI147,"G")+(COUNTIF(E147:AI147,"RT.")/2)+(COUNTIF(E147:AI147,"ÇRT.")/2)</f>
      </c>
      <c r="AO147" s="1">
        <f>=COUNTIF(E147:AI147,"O")</f>
      </c>
      <c r="AP147" s="1">
        <f>=COUNTIF(E147:AI147,"RT")+(COUNTIF(E147:AI147,"RT.")/2)</f>
      </c>
      <c r="AQ147" s="1">
        <f>=COUNTIF(E147:AI147,"ÇRT")+(COUNTIF(E147:AI147,"ÇRT.")/2)</f>
      </c>
      <c r="AR147" s="1">
        <f>=COUNTIF(E147:AI147,"ÇHT")</f>
      </c>
      <c r="AS147" s="1">
        <f>=COUNTIF(E147:AI147,"Ö")+COUNTIF(E147:AI147,"T")</f>
      </c>
      <c r="AT147" s="1">
        <f>=COUNTIF(E147:AI147,"Y")</f>
      </c>
      <c r="AU147" s="1">
        <f>=COUNTIF(E147:AI147,"R.")</f>
      </c>
      <c r="AV147" s="1">
        <f>=COUNTIF(E147:AI147,"Ü")</f>
      </c>
      <c r="AW147" s="1">
        <f>=COUNTIF(E147:AI147,"R")</f>
      </c>
      <c r="AX147" s="1">
        <f>=COUNTIF(E147:AI147,"DV")</f>
      </c>
      <c r="AY147" s="1">
        <f>=+AN147+AO147+AP147+AQ147+AR147+AS147+AT147+AU147</f>
      </c>
    </row>
    <row r="148" ht="16" customHeight="1" spans="1:51" x14ac:dyDescent="0.25">
      <c r="A148" s="46"/>
      <c r="B148" s="46"/>
      <c r="C148" s="46"/>
      <c r="D148" s="46" t="s">
        <v>32</v>
      </c>
      <c r="E148" s="46"/>
      <c r="F148" s="46"/>
      <c r="G148" s="46">
        <v>2</v>
      </c>
      <c r="H148" s="46"/>
      <c r="I148" s="46"/>
      <c r="J148" s="46"/>
      <c r="K148" s="46"/>
      <c r="L148" s="46">
        <v>1</v>
      </c>
      <c r="M148" s="46"/>
      <c r="N148" s="46">
        <v>1</v>
      </c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>
        <v>3</v>
      </c>
      <c r="AH148" s="46">
        <v>2</v>
      </c>
      <c r="AI148" s="46"/>
      <c r="AJ148" s="46"/>
      <c r="AK148" s="46"/>
      <c r="AL148" s="46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ht="16" customHeight="1" spans="1:51" x14ac:dyDescent="0.25">
      <c r="A149" s="46">
        <v>71</v>
      </c>
      <c r="B149" s="46" t="s">
        <v>182</v>
      </c>
      <c r="C149" s="46" t="s">
        <v>183</v>
      </c>
      <c r="D149" s="46" t="s">
        <v>28</v>
      </c>
      <c r="E149" s="46" t="s">
        <v>47</v>
      </c>
      <c r="F149" s="46" t="s">
        <v>29</v>
      </c>
      <c r="G149" s="46" t="s">
        <v>29</v>
      </c>
      <c r="H149" s="46" t="s">
        <v>29</v>
      </c>
      <c r="I149" s="46" t="s">
        <v>29</v>
      </c>
      <c r="J149" s="46" t="s">
        <v>30</v>
      </c>
      <c r="K149" s="46" t="s">
        <v>29</v>
      </c>
      <c r="L149" s="46" t="s">
        <v>29</v>
      </c>
      <c r="M149" s="46" t="s">
        <v>29</v>
      </c>
      <c r="N149" s="46" t="s">
        <v>29</v>
      </c>
      <c r="O149" s="46" t="s">
        <v>29</v>
      </c>
      <c r="P149" s="46" t="s">
        <v>29</v>
      </c>
      <c r="Q149" s="46" t="s">
        <v>29</v>
      </c>
      <c r="R149" s="46" t="s">
        <v>29</v>
      </c>
      <c r="S149" s="46" t="s">
        <v>30</v>
      </c>
      <c r="T149" s="46" t="s">
        <v>29</v>
      </c>
      <c r="U149" s="46" t="s">
        <v>29</v>
      </c>
      <c r="V149" s="46" t="s">
        <v>29</v>
      </c>
      <c r="W149" s="46" t="s">
        <v>29</v>
      </c>
      <c r="X149" s="46" t="s">
        <v>29</v>
      </c>
      <c r="Y149" s="46" t="s">
        <v>29</v>
      </c>
      <c r="Z149" s="46" t="s">
        <v>30</v>
      </c>
      <c r="AA149" s="46" t="s">
        <v>29</v>
      </c>
      <c r="AB149" s="46" t="s">
        <v>29</v>
      </c>
      <c r="AC149" s="46" t="s">
        <v>29</v>
      </c>
      <c r="AD149" s="46" t="s">
        <v>29</v>
      </c>
      <c r="AE149" s="46" t="s">
        <v>29</v>
      </c>
      <c r="AF149" s="46" t="s">
        <v>29</v>
      </c>
      <c r="AG149" s="46" t="s">
        <v>30</v>
      </c>
      <c r="AH149" s="46" t="s">
        <v>31</v>
      </c>
      <c r="AI149" s="46" t="s">
        <v>29</v>
      </c>
      <c r="AJ149" s="46">
        <f>=SUM(E150:AI150)</f>
      </c>
      <c r="AK149" s="46">
        <f>=+AY149</f>
      </c>
      <c r="AL149" s="46"/>
      <c r="AM149" s="1"/>
      <c r="AN149" s="1">
        <f>=COUNTIF(E149:AI149,"A")+COUNTIF(E149:AI149,"B")+COUNTIF(E149:AI149,"C")+COUNTIF(E149:AI149,"D")+COUNTIF(E149:AI149,"E")+COUNTIF(E149:AI149,"F")+COUNTIF(E149:AI149,"M")+COUNTIF(E149:AI149,"AB")+COUNTIF(E149:AI149,"UZ")+COUNTIF(E149:AI149,"G")+(COUNTIF(E149:AI149,"RT.")/2)+(COUNTIF(E149:AI149,"ÇRT.")/2)</f>
      </c>
      <c r="AO149" s="1">
        <f>=COUNTIF(E149:AI149,"O")</f>
      </c>
      <c r="AP149" s="1">
        <f>=COUNTIF(E149:AI149,"RT")+(COUNTIF(E149:AI149,"RT.")/2)</f>
      </c>
      <c r="AQ149" s="1">
        <f>=COUNTIF(E149:AI149,"ÇRT")+(COUNTIF(E149:AI149,"ÇRT.")/2)</f>
      </c>
      <c r="AR149" s="1">
        <f>=COUNTIF(E149:AI149,"ÇHT")</f>
      </c>
      <c r="AS149" s="1">
        <f>=COUNTIF(E149:AI149,"Ö")+COUNTIF(E149:AI149,"T")</f>
      </c>
      <c r="AT149" s="1">
        <f>=COUNTIF(E149:AI149,"Y")</f>
      </c>
      <c r="AU149" s="1">
        <f>=COUNTIF(E149:AI149,"R.")</f>
      </c>
      <c r="AV149" s="1">
        <f>=COUNTIF(E149:AI149,"Ü")</f>
      </c>
      <c r="AW149" s="1">
        <f>=COUNTIF(E149:AI149,"R")</f>
      </c>
      <c r="AX149" s="1">
        <f>=COUNTIF(E149:AI149,"DV")</f>
      </c>
      <c r="AY149" s="1">
        <f>=+AN149+AO149+AP149+AQ149+AR149+AS149+AT149+AU149</f>
      </c>
    </row>
    <row r="150" ht="16" customHeight="1" spans="1:51" x14ac:dyDescent="0.25">
      <c r="A150" s="46"/>
      <c r="B150" s="46"/>
      <c r="C150" s="46"/>
      <c r="D150" s="46" t="s">
        <v>32</v>
      </c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ht="16" customHeight="1" spans="1:51" x14ac:dyDescent="0.25">
      <c r="A151" s="46">
        <v>72</v>
      </c>
      <c r="B151" s="46" t="s">
        <v>184</v>
      </c>
      <c r="C151" s="46" t="s">
        <v>185</v>
      </c>
      <c r="D151" s="46" t="s">
        <v>28</v>
      </c>
      <c r="E151" s="46" t="s">
        <v>29</v>
      </c>
      <c r="F151" s="46" t="s">
        <v>29</v>
      </c>
      <c r="G151" s="46" t="s">
        <v>29</v>
      </c>
      <c r="H151" s="46" t="s">
        <v>29</v>
      </c>
      <c r="I151" s="46" t="s">
        <v>29</v>
      </c>
      <c r="J151" s="46" t="s">
        <v>29</v>
      </c>
      <c r="K151" s="46" t="s">
        <v>30</v>
      </c>
      <c r="L151" s="46" t="s">
        <v>29</v>
      </c>
      <c r="M151" s="46" t="s">
        <v>29</v>
      </c>
      <c r="N151" s="46" t="s">
        <v>29</v>
      </c>
      <c r="O151" s="46" t="s">
        <v>29</v>
      </c>
      <c r="P151" s="46" t="s">
        <v>29</v>
      </c>
      <c r="Q151" s="46" t="s">
        <v>30</v>
      </c>
      <c r="R151" s="46" t="s">
        <v>29</v>
      </c>
      <c r="S151" s="46" t="s">
        <v>29</v>
      </c>
      <c r="T151" s="46" t="s">
        <v>29</v>
      </c>
      <c r="U151" s="46" t="s">
        <v>29</v>
      </c>
      <c r="V151" s="46" t="s">
        <v>29</v>
      </c>
      <c r="W151" s="46" t="s">
        <v>29</v>
      </c>
      <c r="X151" s="46" t="s">
        <v>29</v>
      </c>
      <c r="Y151" s="46" t="s">
        <v>44</v>
      </c>
      <c r="Z151" s="46" t="s">
        <v>29</v>
      </c>
      <c r="AA151" s="46" t="s">
        <v>29</v>
      </c>
      <c r="AB151" s="46" t="s">
        <v>29</v>
      </c>
      <c r="AC151" s="46" t="s">
        <v>29</v>
      </c>
      <c r="AD151" s="46" t="s">
        <v>29</v>
      </c>
      <c r="AE151" s="46" t="s">
        <v>29</v>
      </c>
      <c r="AF151" s="46" t="s">
        <v>30</v>
      </c>
      <c r="AG151" s="46" t="s">
        <v>29</v>
      </c>
      <c r="AH151" s="46" t="s">
        <v>31</v>
      </c>
      <c r="AI151" s="46" t="s">
        <v>29</v>
      </c>
      <c r="AJ151" s="46">
        <f>=SUM(E152:AI152)</f>
      </c>
      <c r="AK151" s="46">
        <f>=+AY151</f>
      </c>
      <c r="AL151" s="46"/>
      <c r="AM151" s="1"/>
      <c r="AN151" s="1">
        <f>=COUNTIF(E151:AI151,"A")+COUNTIF(E151:AI151,"B")+COUNTIF(E151:AI151,"C")+COUNTIF(E151:AI151,"D")+COUNTIF(E151:AI151,"E")+COUNTIF(E151:AI151,"F")+COUNTIF(E151:AI151,"M")+COUNTIF(E151:AI151,"AB")+COUNTIF(E151:AI151,"UZ")+COUNTIF(E151:AI151,"G")+(COUNTIF(E151:AI151,"RT.")/2)+(COUNTIF(E151:AI151,"ÇRT.")/2)</f>
      </c>
      <c r="AO151" s="1">
        <f>=COUNTIF(E151:AI151,"O")</f>
      </c>
      <c r="AP151" s="1">
        <f>=COUNTIF(E151:AI151,"RT")+(COUNTIF(E151:AI151,"RT.")/2)</f>
      </c>
      <c r="AQ151" s="1">
        <f>=COUNTIF(E151:AI151,"ÇRT")+(COUNTIF(E151:AI151,"ÇRT.")/2)</f>
      </c>
      <c r="AR151" s="1">
        <f>=COUNTIF(E151:AI151,"ÇHT")</f>
      </c>
      <c r="AS151" s="1">
        <f>=COUNTIF(E151:AI151,"Ö")+COUNTIF(E151:AI151,"T")</f>
      </c>
      <c r="AT151" s="1">
        <f>=COUNTIF(E151:AI151,"Y")</f>
      </c>
      <c r="AU151" s="1">
        <f>=COUNTIF(E151:AI151,"R.")</f>
      </c>
      <c r="AV151" s="1">
        <f>=COUNTIF(E151:AI151,"Ü")</f>
      </c>
      <c r="AW151" s="1">
        <f>=COUNTIF(E151:AI151,"R")</f>
      </c>
      <c r="AX151" s="1">
        <f>=COUNTIF(E151:AI151,"DV")</f>
      </c>
      <c r="AY151" s="1">
        <f>=+AN151+AO151+AP151+AQ151+AR151+AS151+AT151+AU151</f>
      </c>
    </row>
    <row r="152" ht="16" customHeight="1" spans="1:51" x14ac:dyDescent="0.25">
      <c r="A152" s="46"/>
      <c r="B152" s="46"/>
      <c r="C152" s="46"/>
      <c r="D152" s="46" t="s">
        <v>32</v>
      </c>
      <c r="E152" s="46"/>
      <c r="F152" s="46"/>
      <c r="G152" s="46"/>
      <c r="H152" s="46"/>
      <c r="I152" s="46"/>
      <c r="J152" s="46"/>
      <c r="K152" s="46"/>
      <c r="L152" s="46">
        <v>2</v>
      </c>
      <c r="M152" s="46">
        <v>1</v>
      </c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>
        <v>3</v>
      </c>
      <c r="AH152" s="46">
        <v>2</v>
      </c>
      <c r="AI152" s="46"/>
      <c r="AJ152" s="46"/>
      <c r="AK152" s="46"/>
      <c r="AL152" s="46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ht="16" customHeight="1" spans="1:51" x14ac:dyDescent="0.25">
      <c r="A153" s="46">
        <v>73</v>
      </c>
      <c r="B153" s="46" t="s">
        <v>186</v>
      </c>
      <c r="C153" s="46" t="s">
        <v>187</v>
      </c>
      <c r="D153" s="46" t="s">
        <v>28</v>
      </c>
      <c r="E153" s="46" t="s">
        <v>29</v>
      </c>
      <c r="F153" s="46" t="s">
        <v>30</v>
      </c>
      <c r="G153" s="46" t="s">
        <v>29</v>
      </c>
      <c r="H153" s="46" t="s">
        <v>29</v>
      </c>
      <c r="I153" s="46" t="s">
        <v>29</v>
      </c>
      <c r="J153" s="46" t="s">
        <v>29</v>
      </c>
      <c r="K153" s="46" t="s">
        <v>29</v>
      </c>
      <c r="L153" s="46" t="s">
        <v>29</v>
      </c>
      <c r="M153" s="46" t="s">
        <v>44</v>
      </c>
      <c r="N153" s="46" t="s">
        <v>29</v>
      </c>
      <c r="O153" s="46" t="s">
        <v>29</v>
      </c>
      <c r="P153" s="46" t="s">
        <v>29</v>
      </c>
      <c r="Q153" s="46" t="s">
        <v>29</v>
      </c>
      <c r="R153" s="46" t="s">
        <v>29</v>
      </c>
      <c r="S153" s="46" t="s">
        <v>29</v>
      </c>
      <c r="T153" s="46" t="s">
        <v>30</v>
      </c>
      <c r="U153" s="46" t="s">
        <v>29</v>
      </c>
      <c r="V153" s="46" t="s">
        <v>29</v>
      </c>
      <c r="W153" s="46" t="s">
        <v>29</v>
      </c>
      <c r="X153" s="46" t="s">
        <v>29</v>
      </c>
      <c r="Y153" s="46" t="s">
        <v>29</v>
      </c>
      <c r="Z153" s="46" t="s">
        <v>29</v>
      </c>
      <c r="AA153" s="46" t="s">
        <v>30</v>
      </c>
      <c r="AB153" s="46" t="s">
        <v>29</v>
      </c>
      <c r="AC153" s="46" t="s">
        <v>30</v>
      </c>
      <c r="AD153" s="46" t="s">
        <v>29</v>
      </c>
      <c r="AE153" s="46" t="s">
        <v>29</v>
      </c>
      <c r="AF153" s="46" t="s">
        <v>29</v>
      </c>
      <c r="AG153" s="46" t="s">
        <v>29</v>
      </c>
      <c r="AH153" s="46" t="s">
        <v>31</v>
      </c>
      <c r="AI153" s="46" t="s">
        <v>29</v>
      </c>
      <c r="AJ153" s="46">
        <f>=SUM(E154:AI154)</f>
      </c>
      <c r="AK153" s="46">
        <f>=+AY153</f>
      </c>
      <c r="AL153" s="46"/>
      <c r="AM153" s="1"/>
      <c r="AN153" s="1">
        <f>=COUNTIF(E153:AI153,"A")+COUNTIF(E153:AI153,"B")+COUNTIF(E153:AI153,"C")+COUNTIF(E153:AI153,"D")+COUNTIF(E153:AI153,"E")+COUNTIF(E153:AI153,"F")+COUNTIF(E153:AI153,"M")+COUNTIF(E153:AI153,"AB")+COUNTIF(E153:AI153,"UZ")+COUNTIF(E153:AI153,"G")+(COUNTIF(E153:AI153,"RT.")/2)+(COUNTIF(E153:AI153,"ÇRT.")/2)</f>
      </c>
      <c r="AO153" s="1">
        <f>=COUNTIF(E153:AI153,"O")</f>
      </c>
      <c r="AP153" s="1">
        <f>=COUNTIF(E153:AI153,"RT")+(COUNTIF(E153:AI153,"RT.")/2)</f>
      </c>
      <c r="AQ153" s="1">
        <f>=COUNTIF(E153:AI153,"ÇRT")+(COUNTIF(E153:AI153,"ÇRT.")/2)</f>
      </c>
      <c r="AR153" s="1">
        <f>=COUNTIF(E153:AI153,"ÇHT")</f>
      </c>
      <c r="AS153" s="1">
        <f>=COUNTIF(E153:AI153,"Ö")+COUNTIF(E153:AI153,"T")</f>
      </c>
      <c r="AT153" s="1">
        <f>=COUNTIF(E153:AI153,"Y")</f>
      </c>
      <c r="AU153" s="1">
        <f>=COUNTIF(E153:AI153,"R.")</f>
      </c>
      <c r="AV153" s="1">
        <f>=COUNTIF(E153:AI153,"Ü")</f>
      </c>
      <c r="AW153" s="1">
        <f>=COUNTIF(E153:AI153,"R")</f>
      </c>
      <c r="AX153" s="1">
        <f>=COUNTIF(E153:AI153,"DV")</f>
      </c>
      <c r="AY153" s="1">
        <f>=+AN153+AO153+AP153+AQ153+AR153+AS153+AT153+AU153</f>
      </c>
    </row>
    <row r="154" ht="16" customHeight="1" spans="1:51" x14ac:dyDescent="0.25">
      <c r="A154" s="46"/>
      <c r="B154" s="46"/>
      <c r="C154" s="46"/>
      <c r="D154" s="46" t="s">
        <v>32</v>
      </c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>
        <v>3</v>
      </c>
      <c r="AH154" s="46">
        <v>2</v>
      </c>
      <c r="AI154" s="46"/>
      <c r="AJ154" s="46"/>
      <c r="AK154" s="46"/>
      <c r="AL154" s="46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ht="16" customHeight="1" spans="1:51" x14ac:dyDescent="0.25">
      <c r="A155" s="46">
        <v>74</v>
      </c>
      <c r="B155" s="46" t="s">
        <v>188</v>
      </c>
      <c r="C155" s="46" t="s">
        <v>189</v>
      </c>
      <c r="D155" s="46" t="s">
        <v>28</v>
      </c>
      <c r="E155" s="46" t="s">
        <v>29</v>
      </c>
      <c r="F155" s="46" t="s">
        <v>29</v>
      </c>
      <c r="G155" s="46" t="s">
        <v>29</v>
      </c>
      <c r="H155" s="46" t="s">
        <v>30</v>
      </c>
      <c r="I155" s="46" t="s">
        <v>29</v>
      </c>
      <c r="J155" s="46" t="s">
        <v>29</v>
      </c>
      <c r="K155" s="46" t="s">
        <v>29</v>
      </c>
      <c r="L155" s="46" t="s">
        <v>29</v>
      </c>
      <c r="M155" s="46" t="s">
        <v>29</v>
      </c>
      <c r="N155" s="46" t="s">
        <v>29</v>
      </c>
      <c r="O155" s="46" t="s">
        <v>30</v>
      </c>
      <c r="P155" s="46" t="s">
        <v>29</v>
      </c>
      <c r="Q155" s="46" t="s">
        <v>29</v>
      </c>
      <c r="R155" s="46" t="s">
        <v>29</v>
      </c>
      <c r="S155" s="46" t="s">
        <v>29</v>
      </c>
      <c r="T155" s="46" t="s">
        <v>29</v>
      </c>
      <c r="U155" s="46" t="s">
        <v>29</v>
      </c>
      <c r="V155" s="46" t="s">
        <v>30</v>
      </c>
      <c r="W155" s="46" t="s">
        <v>29</v>
      </c>
      <c r="X155" s="46" t="s">
        <v>29</v>
      </c>
      <c r="Y155" s="46" t="s">
        <v>29</v>
      </c>
      <c r="Z155" s="46" t="s">
        <v>29</v>
      </c>
      <c r="AA155" s="46" t="s">
        <v>29</v>
      </c>
      <c r="AB155" s="46" t="s">
        <v>29</v>
      </c>
      <c r="AC155" s="46" t="s">
        <v>30</v>
      </c>
      <c r="AD155" s="46" t="s">
        <v>29</v>
      </c>
      <c r="AE155" s="46" t="s">
        <v>29</v>
      </c>
      <c r="AF155" s="46" t="s">
        <v>29</v>
      </c>
      <c r="AG155" s="46" t="s">
        <v>29</v>
      </c>
      <c r="AH155" s="46" t="s">
        <v>31</v>
      </c>
      <c r="AI155" s="46" t="s">
        <v>29</v>
      </c>
      <c r="AJ155" s="46">
        <f>=SUM(E156:AI156)</f>
      </c>
      <c r="AK155" s="46">
        <f>=+AY155</f>
      </c>
      <c r="AL155" s="46"/>
      <c r="AM155" s="1"/>
      <c r="AN155" s="1">
        <f>=COUNTIF(E155:AI155,"A")+COUNTIF(E155:AI155,"B")+COUNTIF(E155:AI155,"C")+COUNTIF(E155:AI155,"D")+COUNTIF(E155:AI155,"E")+COUNTIF(E155:AI155,"F")+COUNTIF(E155:AI155,"M")+COUNTIF(E155:AI155,"AB")+COUNTIF(E155:AI155,"UZ")+COUNTIF(E155:AI155,"G")+(COUNTIF(E155:AI155,"RT.")/2)+(COUNTIF(E155:AI155,"ÇRT.")/2)</f>
      </c>
      <c r="AO155" s="1">
        <f>=COUNTIF(E155:AI155,"O")</f>
      </c>
      <c r="AP155" s="1">
        <f>=COUNTIF(E155:AI155,"RT")+(COUNTIF(E155:AI155,"RT.")/2)</f>
      </c>
      <c r="AQ155" s="1">
        <f>=COUNTIF(E155:AI155,"ÇRT")+(COUNTIF(E155:AI155,"ÇRT.")/2)</f>
      </c>
      <c r="AR155" s="1">
        <f>=COUNTIF(E155:AI155,"ÇHT")</f>
      </c>
      <c r="AS155" s="1">
        <f>=COUNTIF(E155:AI155,"Ö")+COUNTIF(E155:AI155,"T")</f>
      </c>
      <c r="AT155" s="1">
        <f>=COUNTIF(E155:AI155,"Y")</f>
      </c>
      <c r="AU155" s="1">
        <f>=COUNTIF(E155:AI155,"R.")</f>
      </c>
      <c r="AV155" s="1">
        <f>=COUNTIF(E155:AI155,"Ü")</f>
      </c>
      <c r="AW155" s="1">
        <f>=COUNTIF(E155:AI155,"R")</f>
      </c>
      <c r="AX155" s="1">
        <f>=COUNTIF(E155:AI155,"DV")</f>
      </c>
      <c r="AY155" s="1">
        <f>=+AN155+AO155+AP155+AQ155+AR155+AS155+AT155+AU155</f>
      </c>
    </row>
    <row r="156" ht="16" customHeight="1" spans="1:51" x14ac:dyDescent="0.25">
      <c r="A156" s="46"/>
      <c r="B156" s="46"/>
      <c r="C156" s="46"/>
      <c r="D156" s="46" t="s">
        <v>32</v>
      </c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>
        <v>2</v>
      </c>
      <c r="AG156" s="46"/>
      <c r="AH156" s="46"/>
      <c r="AI156" s="46"/>
      <c r="AJ156" s="46"/>
      <c r="AK156" s="46"/>
      <c r="AL156" s="46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ht="16" customHeight="1" spans="1:51" x14ac:dyDescent="0.25">
      <c r="A157" s="46">
        <v>75</v>
      </c>
      <c r="B157" s="46" t="s">
        <v>190</v>
      </c>
      <c r="C157" s="46" t="s">
        <v>191</v>
      </c>
      <c r="D157" s="46" t="s">
        <v>28</v>
      </c>
      <c r="E157" s="46" t="s">
        <v>36</v>
      </c>
      <c r="F157" s="46" t="s">
        <v>36</v>
      </c>
      <c r="G157" s="46" t="s">
        <v>30</v>
      </c>
      <c r="H157" s="46" t="s">
        <v>29</v>
      </c>
      <c r="I157" s="46" t="s">
        <v>29</v>
      </c>
      <c r="J157" s="46" t="s">
        <v>29</v>
      </c>
      <c r="K157" s="46" t="s">
        <v>29</v>
      </c>
      <c r="L157" s="46" t="s">
        <v>29</v>
      </c>
      <c r="M157" s="46" t="s">
        <v>29</v>
      </c>
      <c r="N157" s="46" t="s">
        <v>30</v>
      </c>
      <c r="O157" s="46" t="s">
        <v>29</v>
      </c>
      <c r="P157" s="46" t="s">
        <v>29</v>
      </c>
      <c r="Q157" s="46" t="s">
        <v>29</v>
      </c>
      <c r="R157" s="46" t="s">
        <v>29</v>
      </c>
      <c r="S157" s="46" t="s">
        <v>29</v>
      </c>
      <c r="T157" s="46" t="s">
        <v>29</v>
      </c>
      <c r="U157" s="46" t="s">
        <v>30</v>
      </c>
      <c r="V157" s="46" t="s">
        <v>29</v>
      </c>
      <c r="W157" s="46" t="s">
        <v>29</v>
      </c>
      <c r="X157" s="46" t="s">
        <v>29</v>
      </c>
      <c r="Y157" s="46" t="s">
        <v>29</v>
      </c>
      <c r="Z157" s="46" t="s">
        <v>29</v>
      </c>
      <c r="AA157" s="46" t="s">
        <v>29</v>
      </c>
      <c r="AB157" s="46" t="s">
        <v>44</v>
      </c>
      <c r="AC157" s="46" t="s">
        <v>29</v>
      </c>
      <c r="AD157" s="46" t="s">
        <v>29</v>
      </c>
      <c r="AE157" s="46" t="s">
        <v>29</v>
      </c>
      <c r="AF157" s="46" t="s">
        <v>29</v>
      </c>
      <c r="AG157" s="46" t="s">
        <v>29</v>
      </c>
      <c r="AH157" s="46" t="s">
        <v>31</v>
      </c>
      <c r="AI157" s="46" t="s">
        <v>29</v>
      </c>
      <c r="AJ157" s="46">
        <f>=SUM(E158:AI158)</f>
      </c>
      <c r="AK157" s="46">
        <f>=+AY157</f>
      </c>
      <c r="AL157" s="46"/>
      <c r="AM157" s="1"/>
      <c r="AN157" s="1">
        <f>=COUNTIF(E157:AI157,"A")+COUNTIF(E157:AI157,"B")+COUNTIF(E157:AI157,"C")+COUNTIF(E157:AI157,"D")+COUNTIF(E157:AI157,"E")+COUNTIF(E157:AI157,"F")+COUNTIF(E157:AI157,"M")+COUNTIF(E157:AI157,"AB")+COUNTIF(E157:AI157,"UZ")+COUNTIF(E157:AI157,"G")+(COUNTIF(E157:AI157,"RT.")/2)+(COUNTIF(E157:AI157,"ÇRT.")/2)</f>
      </c>
      <c r="AO157" s="1">
        <f>=COUNTIF(E157:AI157,"O")</f>
      </c>
      <c r="AP157" s="1">
        <f>=COUNTIF(E157:AI157,"RT")+(COUNTIF(E157:AI157,"RT.")/2)</f>
      </c>
      <c r="AQ157" s="1">
        <f>=COUNTIF(E157:AI157,"ÇRT")+(COUNTIF(E157:AI157,"ÇRT.")/2)</f>
      </c>
      <c r="AR157" s="1">
        <f>=COUNTIF(E157:AI157,"ÇHT")</f>
      </c>
      <c r="AS157" s="1">
        <f>=COUNTIF(E157:AI157,"Ö")+COUNTIF(E157:AI157,"T")</f>
      </c>
      <c r="AT157" s="1">
        <f>=COUNTIF(E157:AI157,"Y")</f>
      </c>
      <c r="AU157" s="1">
        <f>=COUNTIF(E157:AI157,"R.")</f>
      </c>
      <c r="AV157" s="1">
        <f>=COUNTIF(E157:AI157,"Ü")</f>
      </c>
      <c r="AW157" s="1">
        <f>=COUNTIF(E157:AI157,"R")</f>
      </c>
      <c r="AX157" s="1">
        <f>=COUNTIF(E157:AI157,"DV")</f>
      </c>
      <c r="AY157" s="1">
        <f>=+AN157+AO157+AP157+AQ157+AR157+AS157+AT157+AU157</f>
      </c>
    </row>
    <row r="158" ht="16" customHeight="1" spans="1:51" x14ac:dyDescent="0.25">
      <c r="A158" s="46"/>
      <c r="B158" s="46"/>
      <c r="C158" s="46"/>
      <c r="D158" s="46" t="s">
        <v>32</v>
      </c>
      <c r="E158" s="46"/>
      <c r="F158" s="46"/>
      <c r="G158" s="46"/>
      <c r="H158" s="46"/>
      <c r="I158" s="46"/>
      <c r="J158" s="46"/>
      <c r="K158" s="46"/>
      <c r="L158" s="46"/>
      <c r="M158" s="46">
        <v>3</v>
      </c>
      <c r="N158" s="46"/>
      <c r="O158" s="46"/>
      <c r="P158" s="46"/>
      <c r="Q158" s="46">
        <v>2</v>
      </c>
      <c r="R158" s="46"/>
      <c r="S158" s="46"/>
      <c r="T158" s="46"/>
      <c r="U158" s="46"/>
      <c r="V158" s="46"/>
      <c r="W158" s="46"/>
      <c r="X158" s="46"/>
      <c r="Y158" s="46">
        <v>1</v>
      </c>
      <c r="Z158" s="46"/>
      <c r="AA158" s="46"/>
      <c r="AB158" s="46"/>
      <c r="AC158" s="46"/>
      <c r="AD158" s="46"/>
      <c r="AE158" s="46"/>
      <c r="AF158" s="46">
        <v>3</v>
      </c>
      <c r="AG158" s="46">
        <v>3</v>
      </c>
      <c r="AH158" s="46">
        <v>3</v>
      </c>
      <c r="AI158" s="46"/>
      <c r="AJ158" s="46"/>
      <c r="AK158" s="46"/>
      <c r="AL158" s="46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ht="16" customHeight="1" spans="1:51" x14ac:dyDescent="0.25">
      <c r="A159" s="46">
        <v>76</v>
      </c>
      <c r="B159" s="46" t="s">
        <v>192</v>
      </c>
      <c r="C159" s="46" t="s">
        <v>193</v>
      </c>
      <c r="D159" s="46" t="s">
        <v>28</v>
      </c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 t="s">
        <v>35</v>
      </c>
      <c r="P159" s="46" t="s">
        <v>29</v>
      </c>
      <c r="Q159" s="46" t="s">
        <v>29</v>
      </c>
      <c r="R159" s="46" t="s">
        <v>29</v>
      </c>
      <c r="S159" s="46" t="s">
        <v>29</v>
      </c>
      <c r="T159" s="46" t="s">
        <v>53</v>
      </c>
      <c r="U159" s="46" t="s">
        <v>53</v>
      </c>
      <c r="V159" s="46" t="s">
        <v>53</v>
      </c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>
        <f>=SUM(E160:AI160)</f>
      </c>
      <c r="AK159" s="46">
        <f>=+AY159</f>
      </c>
      <c r="AL159" s="46"/>
      <c r="AM159" s="1"/>
      <c r="AN159" s="1">
        <f>=COUNTIF(E159:AI159,"A")+COUNTIF(E159:AI159,"B")+COUNTIF(E159:AI159,"C")+COUNTIF(E159:AI159,"D")+COUNTIF(E159:AI159,"E")+COUNTIF(E159:AI159,"F")+COUNTIF(E159:AI159,"M")+COUNTIF(E159:AI159,"AB")+COUNTIF(E159:AI159,"UZ")+COUNTIF(E159:AI159,"G")+(COUNTIF(E159:AI159,"RT.")/2)+(COUNTIF(E159:AI159,"ÇRT.")/2)</f>
      </c>
      <c r="AO159" s="1">
        <f>=COUNTIF(E159:AI159,"O")</f>
      </c>
      <c r="AP159" s="1">
        <f>=COUNTIF(E159:AI159,"RT")+(COUNTIF(E159:AI159,"RT.")/2)</f>
      </c>
      <c r="AQ159" s="1">
        <f>=COUNTIF(E159:AI159,"ÇRT")+(COUNTIF(E159:AI159,"ÇRT.")/2)</f>
      </c>
      <c r="AR159" s="1">
        <f>=COUNTIF(E159:AI159,"ÇHT")</f>
      </c>
      <c r="AS159" s="1">
        <f>=COUNTIF(E159:AI159,"Ö")+COUNTIF(E159:AI159,"T")</f>
      </c>
      <c r="AT159" s="1">
        <f>=COUNTIF(E159:AI159,"Y")</f>
      </c>
      <c r="AU159" s="1">
        <f>=COUNTIF(E159:AI159,"R.")</f>
      </c>
      <c r="AV159" s="1">
        <f>=COUNTIF(E159:AI159,"Ü")</f>
      </c>
      <c r="AW159" s="1">
        <f>=COUNTIF(E159:AI159,"R")</f>
      </c>
      <c r="AX159" s="1">
        <f>=COUNTIF(E159:AI159,"DV")</f>
      </c>
      <c r="AY159" s="1">
        <f>=+AN159+AO159+AP159+AQ159+AR159+AS159+AT159+AU159</f>
      </c>
    </row>
    <row r="160" ht="16" customHeight="1" spans="1:51" x14ac:dyDescent="0.25">
      <c r="A160" s="46"/>
      <c r="B160" s="46"/>
      <c r="C160" s="46"/>
      <c r="D160" s="46" t="s">
        <v>32</v>
      </c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ht="16" customHeight="1" spans="1:51" x14ac:dyDescent="0.25">
      <c r="A161" s="46">
        <v>77</v>
      </c>
      <c r="B161" s="46" t="s">
        <v>194</v>
      </c>
      <c r="C161" s="46" t="s">
        <v>195</v>
      </c>
      <c r="D161" s="46" t="s">
        <v>28</v>
      </c>
      <c r="E161" s="46" t="s">
        <v>30</v>
      </c>
      <c r="F161" s="46" t="s">
        <v>29</v>
      </c>
      <c r="G161" s="46" t="s">
        <v>29</v>
      </c>
      <c r="H161" s="46" t="s">
        <v>29</v>
      </c>
      <c r="I161" s="46" t="s">
        <v>29</v>
      </c>
      <c r="J161" s="46" t="s">
        <v>30</v>
      </c>
      <c r="K161" s="46" t="s">
        <v>29</v>
      </c>
      <c r="L161" s="46" t="s">
        <v>29</v>
      </c>
      <c r="M161" s="46" t="s">
        <v>29</v>
      </c>
      <c r="N161" s="46" t="s">
        <v>29</v>
      </c>
      <c r="O161" s="46" t="s">
        <v>29</v>
      </c>
      <c r="P161" s="46" t="s">
        <v>29</v>
      </c>
      <c r="Q161" s="46" t="s">
        <v>29</v>
      </c>
      <c r="R161" s="46" t="s">
        <v>30</v>
      </c>
      <c r="S161" s="46" t="s">
        <v>29</v>
      </c>
      <c r="T161" s="46" t="s">
        <v>29</v>
      </c>
      <c r="U161" s="46" t="s">
        <v>29</v>
      </c>
      <c r="V161" s="46" t="s">
        <v>29</v>
      </c>
      <c r="W161" s="46" t="s">
        <v>29</v>
      </c>
      <c r="X161" s="46" t="s">
        <v>30</v>
      </c>
      <c r="Y161" s="46" t="s">
        <v>47</v>
      </c>
      <c r="Z161" s="46" t="s">
        <v>29</v>
      </c>
      <c r="AA161" s="46" t="s">
        <v>29</v>
      </c>
      <c r="AB161" s="46" t="s">
        <v>29</v>
      </c>
      <c r="AC161" s="46" t="s">
        <v>29</v>
      </c>
      <c r="AD161" s="46" t="s">
        <v>29</v>
      </c>
      <c r="AE161" s="46" t="s">
        <v>30</v>
      </c>
      <c r="AF161" s="46" t="s">
        <v>29</v>
      </c>
      <c r="AG161" s="46" t="s">
        <v>29</v>
      </c>
      <c r="AH161" s="46" t="s">
        <v>31</v>
      </c>
      <c r="AI161" s="46" t="s">
        <v>29</v>
      </c>
      <c r="AJ161" s="46">
        <f>=SUM(E162:AI162)</f>
      </c>
      <c r="AK161" s="46">
        <f>=+AY161</f>
      </c>
      <c r="AL161" s="46"/>
      <c r="AM161" s="1"/>
      <c r="AN161" s="1">
        <f>=COUNTIF(E161:AI161,"A")+COUNTIF(E161:AI161,"B")+COUNTIF(E161:AI161,"C")+COUNTIF(E161:AI161,"D")+COUNTIF(E161:AI161,"E")+COUNTIF(E161:AI161,"F")+COUNTIF(E161:AI161,"M")+COUNTIF(E161:AI161,"AB")+COUNTIF(E161:AI161,"UZ")+COUNTIF(E161:AI161,"G")+(COUNTIF(E161:AI161,"RT.")/2)+(COUNTIF(E161:AI161,"ÇRT.")/2)</f>
      </c>
      <c r="AO161" s="1">
        <f>=COUNTIF(E161:AI161,"O")</f>
      </c>
      <c r="AP161" s="1">
        <f>=COUNTIF(E161:AI161,"RT")+(COUNTIF(E161:AI161,"RT.")/2)</f>
      </c>
      <c r="AQ161" s="1">
        <f>=COUNTIF(E161:AI161,"ÇRT")+(COUNTIF(E161:AI161,"ÇRT.")/2)</f>
      </c>
      <c r="AR161" s="1">
        <f>=COUNTIF(E161:AI161,"ÇHT")</f>
      </c>
      <c r="AS161" s="1">
        <f>=COUNTIF(E161:AI161,"Ö")+COUNTIF(E161:AI161,"T")</f>
      </c>
      <c r="AT161" s="1">
        <f>=COUNTIF(E161:AI161,"Y")</f>
      </c>
      <c r="AU161" s="1">
        <f>=COUNTIF(E161:AI161,"R.")</f>
      </c>
      <c r="AV161" s="1">
        <f>=COUNTIF(E161:AI161,"Ü")</f>
      </c>
      <c r="AW161" s="1">
        <f>=COUNTIF(E161:AI161,"R")</f>
      </c>
      <c r="AX161" s="1">
        <f>=COUNTIF(E161:AI161,"DV")</f>
      </c>
      <c r="AY161" s="1">
        <f>=+AN161+AO161+AP161+AQ161+AR161+AS161+AT161+AU161</f>
      </c>
    </row>
    <row r="162" ht="16" customHeight="1" spans="1:51" x14ac:dyDescent="0.25">
      <c r="A162" s="46"/>
      <c r="B162" s="46"/>
      <c r="C162" s="46"/>
      <c r="D162" s="46" t="s">
        <v>32</v>
      </c>
      <c r="E162" s="46"/>
      <c r="F162" s="46"/>
      <c r="G162" s="46"/>
      <c r="H162" s="46"/>
      <c r="I162" s="46"/>
      <c r="J162" s="46"/>
      <c r="K162" s="46"/>
      <c r="L162" s="46">
        <v>2</v>
      </c>
      <c r="M162" s="46"/>
      <c r="N162" s="46">
        <v>2</v>
      </c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>
        <v>3</v>
      </c>
      <c r="AH162" s="46">
        <v>2</v>
      </c>
      <c r="AI162" s="46"/>
      <c r="AJ162" s="46"/>
      <c r="AK162" s="46"/>
      <c r="AL162" s="46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ht="16" customHeight="1" spans="1:51" x14ac:dyDescent="0.25">
      <c r="A163" s="46">
        <v>78</v>
      </c>
      <c r="B163" s="46" t="s">
        <v>196</v>
      </c>
      <c r="C163" s="46" t="s">
        <v>197</v>
      </c>
      <c r="D163" s="46" t="s">
        <v>28</v>
      </c>
      <c r="E163" s="46" t="s">
        <v>50</v>
      </c>
      <c r="F163" s="46" t="s">
        <v>50</v>
      </c>
      <c r="G163" s="46" t="s">
        <v>50</v>
      </c>
      <c r="H163" s="46" t="s">
        <v>50</v>
      </c>
      <c r="I163" s="46" t="s">
        <v>50</v>
      </c>
      <c r="J163" s="46" t="s">
        <v>30</v>
      </c>
      <c r="K163" s="46" t="s">
        <v>50</v>
      </c>
      <c r="L163" s="46" t="s">
        <v>50</v>
      </c>
      <c r="M163" s="46" t="s">
        <v>50</v>
      </c>
      <c r="N163" s="46" t="s">
        <v>50</v>
      </c>
      <c r="O163" s="46" t="s">
        <v>50</v>
      </c>
      <c r="P163" s="46" t="s">
        <v>50</v>
      </c>
      <c r="Q163" s="46" t="s">
        <v>30</v>
      </c>
      <c r="R163" s="46" t="s">
        <v>50</v>
      </c>
      <c r="S163" s="46" t="s">
        <v>50</v>
      </c>
      <c r="T163" s="46" t="s">
        <v>50</v>
      </c>
      <c r="U163" s="46" t="s">
        <v>50</v>
      </c>
      <c r="V163" s="46" t="s">
        <v>50</v>
      </c>
      <c r="W163" s="46" t="s">
        <v>50</v>
      </c>
      <c r="X163" s="46" t="s">
        <v>30</v>
      </c>
      <c r="Y163" s="46" t="s">
        <v>50</v>
      </c>
      <c r="Z163" s="46" t="s">
        <v>50</v>
      </c>
      <c r="AA163" s="46" t="s">
        <v>50</v>
      </c>
      <c r="AB163" s="46" t="s">
        <v>50</v>
      </c>
      <c r="AC163" s="46" t="s">
        <v>50</v>
      </c>
      <c r="AD163" s="46" t="s">
        <v>50</v>
      </c>
      <c r="AE163" s="46" t="s">
        <v>30</v>
      </c>
      <c r="AF163" s="46" t="s">
        <v>50</v>
      </c>
      <c r="AG163" s="46" t="s">
        <v>50</v>
      </c>
      <c r="AH163" s="46" t="s">
        <v>31</v>
      </c>
      <c r="AI163" s="46" t="s">
        <v>50</v>
      </c>
      <c r="AJ163" s="46">
        <f>=SUM(E164:AI164)</f>
      </c>
      <c r="AK163" s="46">
        <f>=+AY163</f>
      </c>
      <c r="AL163" s="46"/>
      <c r="AM163" s="1"/>
      <c r="AN163" s="1">
        <f>=COUNTIF(E163:AI163,"A")+COUNTIF(E163:AI163,"B")+COUNTIF(E163:AI163,"C")+COUNTIF(E163:AI163,"D")+COUNTIF(E163:AI163,"E")+COUNTIF(E163:AI163,"F")+COUNTIF(E163:AI163,"M")+COUNTIF(E163:AI163,"AB")+COUNTIF(E163:AI163,"UZ")+COUNTIF(E163:AI163,"G")+(COUNTIF(E163:AI163,"RT.")/2)+(COUNTIF(E163:AI163,"ÇRT.")/2)</f>
      </c>
      <c r="AO163" s="1">
        <f>=COUNTIF(E163:AI163,"O")</f>
      </c>
      <c r="AP163" s="1">
        <f>=COUNTIF(E163:AI163,"RT")+(COUNTIF(E163:AI163,"RT.")/2)</f>
      </c>
      <c r="AQ163" s="1">
        <f>=COUNTIF(E163:AI163,"ÇRT")+(COUNTIF(E163:AI163,"ÇRT.")/2)</f>
      </c>
      <c r="AR163" s="1">
        <f>=COUNTIF(E163:AI163,"ÇHT")</f>
      </c>
      <c r="AS163" s="1">
        <f>=COUNTIF(E163:AI163,"Ö")+COUNTIF(E163:AI163,"T")</f>
      </c>
      <c r="AT163" s="1">
        <f>=COUNTIF(E163:AI163,"Y")</f>
      </c>
      <c r="AU163" s="1">
        <f>=COUNTIF(E163:AI163,"R.")</f>
      </c>
      <c r="AV163" s="1">
        <f>=COUNTIF(E163:AI163,"Ü")</f>
      </c>
      <c r="AW163" s="1">
        <f>=COUNTIF(E163:AI163,"R")</f>
      </c>
      <c r="AX163" s="1">
        <f>=COUNTIF(E163:AI163,"DV")</f>
      </c>
      <c r="AY163" s="1">
        <f>=+AN163+AO163+AP163+AQ163+AR163+AS163+AT163+AU163</f>
      </c>
    </row>
    <row r="164" ht="16" customHeight="1" spans="1:51" x14ac:dyDescent="0.25">
      <c r="A164" s="46"/>
      <c r="B164" s="46"/>
      <c r="C164" s="46"/>
      <c r="D164" s="46" t="s">
        <v>32</v>
      </c>
      <c r="E164" s="46"/>
      <c r="F164" s="46"/>
      <c r="G164" s="46"/>
      <c r="H164" s="46"/>
      <c r="I164" s="46"/>
      <c r="J164" s="46"/>
      <c r="K164" s="46"/>
      <c r="L164" s="46"/>
      <c r="M164" s="46"/>
      <c r="N164" s="46">
        <v>0</v>
      </c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ht="16" customHeight="1" spans="1:51" x14ac:dyDescent="0.25">
      <c r="A165" s="46">
        <v>79</v>
      </c>
      <c r="B165" s="46" t="s">
        <v>198</v>
      </c>
      <c r="C165" s="46" t="s">
        <v>199</v>
      </c>
      <c r="D165" s="46" t="s">
        <v>28</v>
      </c>
      <c r="E165" s="46" t="s">
        <v>30</v>
      </c>
      <c r="F165" s="46" t="s">
        <v>29</v>
      </c>
      <c r="G165" s="46" t="s">
        <v>29</v>
      </c>
      <c r="H165" s="46" t="s">
        <v>29</v>
      </c>
      <c r="I165" s="46" t="s">
        <v>29</v>
      </c>
      <c r="J165" s="46" t="s">
        <v>30</v>
      </c>
      <c r="K165" s="46" t="s">
        <v>29</v>
      </c>
      <c r="L165" s="46" t="s">
        <v>29</v>
      </c>
      <c r="M165" s="46" t="s">
        <v>29</v>
      </c>
      <c r="N165" s="46" t="s">
        <v>29</v>
      </c>
      <c r="O165" s="46" t="s">
        <v>29</v>
      </c>
      <c r="P165" s="46" t="s">
        <v>29</v>
      </c>
      <c r="Q165" s="46" t="s">
        <v>30</v>
      </c>
      <c r="R165" s="46" t="s">
        <v>47</v>
      </c>
      <c r="S165" s="46" t="s">
        <v>47</v>
      </c>
      <c r="T165" s="46" t="s">
        <v>29</v>
      </c>
      <c r="U165" s="46" t="s">
        <v>29</v>
      </c>
      <c r="V165" s="46" t="s">
        <v>29</v>
      </c>
      <c r="W165" s="46" t="s">
        <v>29</v>
      </c>
      <c r="X165" s="46" t="s">
        <v>30</v>
      </c>
      <c r="Y165" s="46" t="s">
        <v>29</v>
      </c>
      <c r="Z165" s="46" t="s">
        <v>29</v>
      </c>
      <c r="AA165" s="46" t="s">
        <v>29</v>
      </c>
      <c r="AB165" s="46" t="s">
        <v>29</v>
      </c>
      <c r="AC165" s="46" t="s">
        <v>29</v>
      </c>
      <c r="AD165" s="46" t="s">
        <v>29</v>
      </c>
      <c r="AE165" s="46" t="s">
        <v>30</v>
      </c>
      <c r="AF165" s="46" t="s">
        <v>29</v>
      </c>
      <c r="AG165" s="46" t="s">
        <v>29</v>
      </c>
      <c r="AH165" s="46" t="s">
        <v>31</v>
      </c>
      <c r="AI165" s="46"/>
      <c r="AJ165" s="46">
        <f>=SUM(E166:AI166)</f>
      </c>
      <c r="AK165" s="46">
        <f>=+AY165</f>
      </c>
      <c r="AL165" s="46"/>
      <c r="AM165" s="1"/>
      <c r="AN165" s="1">
        <f>=COUNTIF(E165:AI165,"A")+COUNTIF(E165:AI165,"B")+COUNTIF(E165:AI165,"C")+COUNTIF(E165:AI165,"D")+COUNTIF(E165:AI165,"E")+COUNTIF(E165:AI165,"F")+COUNTIF(E165:AI165,"M")+COUNTIF(E165:AI165,"AB")+COUNTIF(E165:AI165,"UZ")+COUNTIF(E165:AI165,"G")+(COUNTIF(E165:AI165,"RT.")/2)+(COUNTIF(E165:AI165,"ÇRT.")/2)</f>
      </c>
      <c r="AO165" s="1">
        <f>=COUNTIF(E165:AI165,"O")</f>
      </c>
      <c r="AP165" s="1">
        <f>=COUNTIF(E165:AI165,"RT")+(COUNTIF(E165:AI165,"RT.")/2)</f>
      </c>
      <c r="AQ165" s="1">
        <f>=COUNTIF(E165:AI165,"ÇRT")+(COUNTIF(E165:AI165,"ÇRT.")/2)</f>
      </c>
      <c r="AR165" s="1">
        <f>=COUNTIF(E165:AI165,"ÇHT")</f>
      </c>
      <c r="AS165" s="1">
        <f>=COUNTIF(E165:AI165,"Ö")+COUNTIF(E165:AI165,"T")</f>
      </c>
      <c r="AT165" s="1">
        <f>=COUNTIF(E165:AI165,"Y")</f>
      </c>
      <c r="AU165" s="1">
        <f>=COUNTIF(E165:AI165,"R.")</f>
      </c>
      <c r="AV165" s="1">
        <f>=COUNTIF(E165:AI165,"Ü")</f>
      </c>
      <c r="AW165" s="1">
        <f>=COUNTIF(E165:AI165,"R")</f>
      </c>
      <c r="AX165" s="1">
        <f>=COUNTIF(E165:AI165,"DV")</f>
      </c>
      <c r="AY165" s="1">
        <f>=+AN165+AO165+AP165+AQ165+AR165+AS165+AT165+AU165</f>
      </c>
    </row>
    <row r="166" ht="16" customHeight="1" spans="1:51" x14ac:dyDescent="0.25">
      <c r="A166" s="46"/>
      <c r="B166" s="46"/>
      <c r="C166" s="46"/>
      <c r="D166" s="46" t="s">
        <v>32</v>
      </c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>
        <v>2</v>
      </c>
      <c r="AG166" s="46"/>
      <c r="AH166" s="46"/>
      <c r="AI166" s="46"/>
      <c r="AJ166" s="46"/>
      <c r="AK166" s="46"/>
      <c r="AL166" s="46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ht="16" customHeight="1" spans="1:51" x14ac:dyDescent="0.25">
      <c r="A167" s="46">
        <v>80</v>
      </c>
      <c r="B167" s="46" t="s">
        <v>200</v>
      </c>
      <c r="C167" s="46" t="s">
        <v>201</v>
      </c>
      <c r="D167" s="46" t="s">
        <v>28</v>
      </c>
      <c r="E167" s="46" t="s">
        <v>29</v>
      </c>
      <c r="F167" s="46" t="s">
        <v>29</v>
      </c>
      <c r="G167" s="46" t="s">
        <v>29</v>
      </c>
      <c r="H167" s="46" t="s">
        <v>29</v>
      </c>
      <c r="I167" s="46" t="s">
        <v>30</v>
      </c>
      <c r="J167" s="46" t="s">
        <v>29</v>
      </c>
      <c r="K167" s="46" t="s">
        <v>29</v>
      </c>
      <c r="L167" s="46" t="s">
        <v>29</v>
      </c>
      <c r="M167" s="46" t="s">
        <v>29</v>
      </c>
      <c r="N167" s="46" t="s">
        <v>30</v>
      </c>
      <c r="O167" s="46" t="s">
        <v>29</v>
      </c>
      <c r="P167" s="46" t="s">
        <v>29</v>
      </c>
      <c r="Q167" s="46" t="s">
        <v>29</v>
      </c>
      <c r="R167" s="46" t="s">
        <v>29</v>
      </c>
      <c r="S167" s="46" t="s">
        <v>29</v>
      </c>
      <c r="T167" s="46" t="s">
        <v>29</v>
      </c>
      <c r="U167" s="46" t="s">
        <v>29</v>
      </c>
      <c r="V167" s="46" t="s">
        <v>29</v>
      </c>
      <c r="W167" s="46" t="s">
        <v>30</v>
      </c>
      <c r="X167" s="46" t="s">
        <v>29</v>
      </c>
      <c r="Y167" s="46" t="s">
        <v>29</v>
      </c>
      <c r="Z167" s="46" t="s">
        <v>29</v>
      </c>
      <c r="AA167" s="46" t="s">
        <v>29</v>
      </c>
      <c r="AB167" s="46" t="s">
        <v>29</v>
      </c>
      <c r="AC167" s="46" t="s">
        <v>29</v>
      </c>
      <c r="AD167" s="46" t="s">
        <v>30</v>
      </c>
      <c r="AE167" s="46" t="s">
        <v>29</v>
      </c>
      <c r="AF167" s="46" t="s">
        <v>29</v>
      </c>
      <c r="AG167" s="46" t="s">
        <v>29</v>
      </c>
      <c r="AH167" s="46" t="s">
        <v>31</v>
      </c>
      <c r="AI167" s="46" t="s">
        <v>29</v>
      </c>
      <c r="AJ167" s="46">
        <f>=SUM(E168:AI168)</f>
      </c>
      <c r="AK167" s="46">
        <f>=+AY167</f>
      </c>
      <c r="AL167" s="46"/>
      <c r="AM167" s="1"/>
      <c r="AN167" s="1">
        <f>=COUNTIF(E167:AI167,"A")+COUNTIF(E167:AI167,"B")+COUNTIF(E167:AI167,"C")+COUNTIF(E167:AI167,"D")+COUNTIF(E167:AI167,"E")+COUNTIF(E167:AI167,"F")+COUNTIF(E167:AI167,"M")+COUNTIF(E167:AI167,"AB")+COUNTIF(E167:AI167,"UZ")+COUNTIF(E167:AI167,"G")+(COUNTIF(E167:AI167,"RT.")/2)+(COUNTIF(E167:AI167,"ÇRT.")/2)</f>
      </c>
      <c r="AO167" s="1">
        <f>=COUNTIF(E167:AI167,"O")</f>
      </c>
      <c r="AP167" s="1">
        <f>=COUNTIF(E167:AI167,"RT")+(COUNTIF(E167:AI167,"RT.")/2)</f>
      </c>
      <c r="AQ167" s="1">
        <f>=COUNTIF(E167:AI167,"ÇRT")+(COUNTIF(E167:AI167,"ÇRT.")/2)</f>
      </c>
      <c r="AR167" s="1">
        <f>=COUNTIF(E167:AI167,"ÇHT")</f>
      </c>
      <c r="AS167" s="1">
        <f>=COUNTIF(E167:AI167,"Ö")+COUNTIF(E167:AI167,"T")</f>
      </c>
      <c r="AT167" s="1">
        <f>=COUNTIF(E167:AI167,"Y")</f>
      </c>
      <c r="AU167" s="1">
        <f>=COUNTIF(E167:AI167,"R.")</f>
      </c>
      <c r="AV167" s="1">
        <f>=COUNTIF(E167:AI167,"Ü")</f>
      </c>
      <c r="AW167" s="1">
        <f>=COUNTIF(E167:AI167,"R")</f>
      </c>
      <c r="AX167" s="1">
        <f>=COUNTIF(E167:AI167,"DV")</f>
      </c>
      <c r="AY167" s="1">
        <f>=+AN167+AO167+AP167+AQ167+AR167+AS167+AT167+AU167</f>
      </c>
    </row>
    <row r="168" ht="16" customHeight="1" spans="1:51" x14ac:dyDescent="0.25">
      <c r="A168" s="46"/>
      <c r="B168" s="46"/>
      <c r="C168" s="46"/>
      <c r="D168" s="46" t="s">
        <v>32</v>
      </c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>
        <v>2</v>
      </c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>
        <v>3</v>
      </c>
      <c r="AH168" s="46">
        <v>2</v>
      </c>
      <c r="AI168" s="46"/>
      <c r="AJ168" s="46"/>
      <c r="AK168" s="46"/>
      <c r="AL168" s="46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ht="16" customHeight="1" spans="1:51" x14ac:dyDescent="0.25">
      <c r="A169" s="46">
        <v>81</v>
      </c>
      <c r="B169" s="46" t="s">
        <v>202</v>
      </c>
      <c r="C169" s="46" t="s">
        <v>203</v>
      </c>
      <c r="D169" s="46" t="s">
        <v>28</v>
      </c>
      <c r="E169" s="46" t="s">
        <v>29</v>
      </c>
      <c r="F169" s="46" t="s">
        <v>30</v>
      </c>
      <c r="G169" s="46" t="s">
        <v>29</v>
      </c>
      <c r="H169" s="46" t="s">
        <v>29</v>
      </c>
      <c r="I169" s="46" t="s">
        <v>29</v>
      </c>
      <c r="J169" s="46" t="s">
        <v>29</v>
      </c>
      <c r="K169" s="46" t="s">
        <v>29</v>
      </c>
      <c r="L169" s="46" t="s">
        <v>29</v>
      </c>
      <c r="M169" s="46" t="s">
        <v>30</v>
      </c>
      <c r="N169" s="46" t="s">
        <v>29</v>
      </c>
      <c r="O169" s="46" t="s">
        <v>29</v>
      </c>
      <c r="P169" s="46" t="s">
        <v>29</v>
      </c>
      <c r="Q169" s="46" t="s">
        <v>29</v>
      </c>
      <c r="R169" s="46" t="s">
        <v>29</v>
      </c>
      <c r="S169" s="46" t="s">
        <v>29</v>
      </c>
      <c r="T169" s="46" t="s">
        <v>30</v>
      </c>
      <c r="U169" s="46" t="s">
        <v>29</v>
      </c>
      <c r="V169" s="46" t="s">
        <v>29</v>
      </c>
      <c r="W169" s="46" t="s">
        <v>29</v>
      </c>
      <c r="X169" s="46" t="s">
        <v>29</v>
      </c>
      <c r="Y169" s="46" t="s">
        <v>29</v>
      </c>
      <c r="Z169" s="46" t="s">
        <v>29</v>
      </c>
      <c r="AA169" s="46" t="s">
        <v>30</v>
      </c>
      <c r="AB169" s="46" t="s">
        <v>29</v>
      </c>
      <c r="AC169" s="46" t="s">
        <v>29</v>
      </c>
      <c r="AD169" s="46" t="s">
        <v>29</v>
      </c>
      <c r="AE169" s="46" t="s">
        <v>29</v>
      </c>
      <c r="AF169" s="46" t="s">
        <v>29</v>
      </c>
      <c r="AG169" s="46" t="s">
        <v>29</v>
      </c>
      <c r="AH169" s="46" t="s">
        <v>30</v>
      </c>
      <c r="AI169" s="46" t="s">
        <v>29</v>
      </c>
      <c r="AJ169" s="46">
        <f>=SUM(E170:AI170)</f>
      </c>
      <c r="AK169" s="46">
        <f>=+AY169</f>
      </c>
      <c r="AL169" s="46"/>
      <c r="AM169" s="1"/>
      <c r="AN169" s="1">
        <f>=COUNTIF(E169:AI169,"A")+COUNTIF(E169:AI169,"B")+COUNTIF(E169:AI169,"C")+COUNTIF(E169:AI169,"D")+COUNTIF(E169:AI169,"E")+COUNTIF(E169:AI169,"F")+COUNTIF(E169:AI169,"M")+COUNTIF(E169:AI169,"AB")+COUNTIF(E169:AI169,"UZ")+COUNTIF(E169:AI169,"G")+(COUNTIF(E169:AI169,"RT.")/2)+(COUNTIF(E169:AI169,"ÇRT.")/2)</f>
      </c>
      <c r="AO169" s="1">
        <f>=COUNTIF(E169:AI169,"O")</f>
      </c>
      <c r="AP169" s="1">
        <f>=COUNTIF(E169:AI169,"RT")+(COUNTIF(E169:AI169,"RT.")/2)</f>
      </c>
      <c r="AQ169" s="1">
        <f>=COUNTIF(E169:AI169,"ÇRT")+(COUNTIF(E169:AI169,"ÇRT.")/2)</f>
      </c>
      <c r="AR169" s="1">
        <f>=COUNTIF(E169:AI169,"ÇHT")</f>
      </c>
      <c r="AS169" s="1">
        <f>=COUNTIF(E169:AI169,"Ö")+COUNTIF(E169:AI169,"T")</f>
      </c>
      <c r="AT169" s="1">
        <f>=COUNTIF(E169:AI169,"Y")</f>
      </c>
      <c r="AU169" s="1">
        <f>=COUNTIF(E169:AI169,"R.")</f>
      </c>
      <c r="AV169" s="1">
        <f>=COUNTIF(E169:AI169,"Ü")</f>
      </c>
      <c r="AW169" s="1">
        <f>=COUNTIF(E169:AI169,"R")</f>
      </c>
      <c r="AX169" s="1">
        <f>=COUNTIF(E169:AI169,"DV")</f>
      </c>
      <c r="AY169" s="1">
        <f>=+AN169+AO169+AP169+AQ169+AR169+AS169+AT169+AU169</f>
      </c>
    </row>
    <row r="170" ht="16" customHeight="1" spans="1:51" x14ac:dyDescent="0.25">
      <c r="A170" s="46"/>
      <c r="B170" s="46"/>
      <c r="C170" s="46"/>
      <c r="D170" s="46" t="s">
        <v>32</v>
      </c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ht="16" customHeight="1" spans="1:51" x14ac:dyDescent="0.25">
      <c r="A171" s="46">
        <v>82</v>
      </c>
      <c r="B171" s="46" t="s">
        <v>204</v>
      </c>
      <c r="C171" s="46" t="s">
        <v>205</v>
      </c>
      <c r="D171" s="46" t="s">
        <v>28</v>
      </c>
      <c r="E171" s="46" t="s">
        <v>41</v>
      </c>
      <c r="F171" s="46" t="s">
        <v>41</v>
      </c>
      <c r="G171" s="46" t="s">
        <v>41</v>
      </c>
      <c r="H171" s="46" t="s">
        <v>30</v>
      </c>
      <c r="I171" s="46" t="s">
        <v>41</v>
      </c>
      <c r="J171" s="46" t="s">
        <v>41</v>
      </c>
      <c r="K171" s="46" t="s">
        <v>47</v>
      </c>
      <c r="L171" s="46" t="s">
        <v>47</v>
      </c>
      <c r="M171" s="46" t="s">
        <v>79</v>
      </c>
      <c r="N171" s="46" t="s">
        <v>41</v>
      </c>
      <c r="O171" s="46" t="s">
        <v>30</v>
      </c>
      <c r="P171" s="46" t="s">
        <v>41</v>
      </c>
      <c r="Q171" s="46" t="s">
        <v>41</v>
      </c>
      <c r="R171" s="46" t="s">
        <v>41</v>
      </c>
      <c r="S171" s="46" t="s">
        <v>41</v>
      </c>
      <c r="T171" s="46" t="s">
        <v>41</v>
      </c>
      <c r="U171" s="46" t="s">
        <v>41</v>
      </c>
      <c r="V171" s="46" t="s">
        <v>30</v>
      </c>
      <c r="W171" s="46" t="s">
        <v>41</v>
      </c>
      <c r="X171" s="46" t="s">
        <v>41</v>
      </c>
      <c r="Y171" s="46" t="s">
        <v>41</v>
      </c>
      <c r="Z171" s="46" t="s">
        <v>41</v>
      </c>
      <c r="AA171" s="46" t="s">
        <v>41</v>
      </c>
      <c r="AB171" s="46" t="s">
        <v>41</v>
      </c>
      <c r="AC171" s="46" t="s">
        <v>30</v>
      </c>
      <c r="AD171" s="46" t="s">
        <v>41</v>
      </c>
      <c r="AE171" s="46" t="s">
        <v>41</v>
      </c>
      <c r="AF171" s="46" t="s">
        <v>41</v>
      </c>
      <c r="AG171" s="46" t="s">
        <v>41</v>
      </c>
      <c r="AH171" s="46" t="s">
        <v>31</v>
      </c>
      <c r="AI171" s="46" t="s">
        <v>41</v>
      </c>
      <c r="AJ171" s="46">
        <f>=SUM(E172:AI172)</f>
      </c>
      <c r="AK171" s="46">
        <f>=+AY171</f>
      </c>
      <c r="AL171" s="46"/>
      <c r="AM171" s="1"/>
      <c r="AN171" s="1">
        <f>=COUNTIF(E171:AI171,"A")+COUNTIF(E171:AI171,"B")+COUNTIF(E171:AI171,"C")+COUNTIF(E171:AI171,"D")+COUNTIF(E171:AI171,"E")+COUNTIF(E171:AI171,"F")+COUNTIF(E171:AI171,"M")+COUNTIF(E171:AI171,"AB")+COUNTIF(E171:AI171,"UZ")+COUNTIF(E171:AI171,"G")+(COUNTIF(E171:AI171,"RT.")/2)+(COUNTIF(E171:AI171,"ÇRT.")/2)</f>
      </c>
      <c r="AO171" s="1">
        <f>=COUNTIF(E171:AI171,"O")</f>
      </c>
      <c r="AP171" s="1">
        <f>=COUNTIF(E171:AI171,"RT")+(COUNTIF(E171:AI171,"RT.")/2)</f>
      </c>
      <c r="AQ171" s="1">
        <f>=COUNTIF(E171:AI171,"ÇRT")+(COUNTIF(E171:AI171,"ÇRT.")/2)</f>
      </c>
      <c r="AR171" s="1">
        <f>=COUNTIF(E171:AI171,"ÇHT")</f>
      </c>
      <c r="AS171" s="1">
        <f>=COUNTIF(E171:AI171,"Ö")+COUNTIF(E171:AI171,"T")</f>
      </c>
      <c r="AT171" s="1">
        <f>=COUNTIF(E171:AI171,"Y")</f>
      </c>
      <c r="AU171" s="1">
        <f>=COUNTIF(E171:AI171,"R.")</f>
      </c>
      <c r="AV171" s="1">
        <f>=COUNTIF(E171:AI171,"Ü")</f>
      </c>
      <c r="AW171" s="1">
        <f>=COUNTIF(E171:AI171,"R")</f>
      </c>
      <c r="AX171" s="1">
        <f>=COUNTIF(E171:AI171,"DV")</f>
      </c>
      <c r="AY171" s="1">
        <f>=+AN171+AO171+AP171+AQ171+AR171+AS171+AT171+AU171</f>
      </c>
    </row>
    <row r="172" ht="16" customHeight="1" spans="1:51" x14ac:dyDescent="0.25">
      <c r="A172" s="46"/>
      <c r="B172" s="46"/>
      <c r="C172" s="46"/>
      <c r="D172" s="46" t="s">
        <v>32</v>
      </c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ht="16" customHeight="1" spans="1:51" x14ac:dyDescent="0.25">
      <c r="A173" s="46">
        <v>83</v>
      </c>
      <c r="B173" s="46" t="s">
        <v>206</v>
      </c>
      <c r="C173" s="46" t="s">
        <v>207</v>
      </c>
      <c r="D173" s="46" t="s">
        <v>28</v>
      </c>
      <c r="E173" s="46" t="s">
        <v>29</v>
      </c>
      <c r="F173" s="46" t="s">
        <v>29</v>
      </c>
      <c r="G173" s="46" t="s">
        <v>29</v>
      </c>
      <c r="H173" s="46" t="s">
        <v>29</v>
      </c>
      <c r="I173" s="46" t="s">
        <v>29</v>
      </c>
      <c r="J173" s="46" t="s">
        <v>30</v>
      </c>
      <c r="K173" s="46" t="s">
        <v>29</v>
      </c>
      <c r="L173" s="46" t="s">
        <v>29</v>
      </c>
      <c r="M173" s="46" t="s">
        <v>29</v>
      </c>
      <c r="N173" s="46" t="s">
        <v>29</v>
      </c>
      <c r="O173" s="46" t="s">
        <v>29</v>
      </c>
      <c r="P173" s="46" t="s">
        <v>29</v>
      </c>
      <c r="Q173" s="46" t="s">
        <v>30</v>
      </c>
      <c r="R173" s="46" t="s">
        <v>29</v>
      </c>
      <c r="S173" s="46" t="s">
        <v>29</v>
      </c>
      <c r="T173" s="46" t="s">
        <v>47</v>
      </c>
      <c r="U173" s="46" t="s">
        <v>29</v>
      </c>
      <c r="V173" s="46" t="s">
        <v>47</v>
      </c>
      <c r="W173" s="46" t="s">
        <v>47</v>
      </c>
      <c r="X173" s="46" t="s">
        <v>30</v>
      </c>
      <c r="Y173" s="46" t="s">
        <v>47</v>
      </c>
      <c r="Z173" s="46" t="s">
        <v>47</v>
      </c>
      <c r="AA173" s="46" t="s">
        <v>29</v>
      </c>
      <c r="AB173" s="46" t="s">
        <v>29</v>
      </c>
      <c r="AC173" s="46" t="s">
        <v>29</v>
      </c>
      <c r="AD173" s="46" t="s">
        <v>29</v>
      </c>
      <c r="AE173" s="46" t="s">
        <v>30</v>
      </c>
      <c r="AF173" s="46" t="s">
        <v>29</v>
      </c>
      <c r="AG173" s="46" t="s">
        <v>29</v>
      </c>
      <c r="AH173" s="46" t="s">
        <v>31</v>
      </c>
      <c r="AI173" s="46" t="s">
        <v>29</v>
      </c>
      <c r="AJ173" s="46">
        <f>=SUM(E174:AI174)</f>
      </c>
      <c r="AK173" s="46">
        <f>=+AY173</f>
      </c>
      <c r="AL173" s="46"/>
      <c r="AM173" s="1"/>
      <c r="AN173" s="1">
        <f>=COUNTIF(E173:AI173,"A")+COUNTIF(E173:AI173,"B")+COUNTIF(E173:AI173,"C")+COUNTIF(E173:AI173,"D")+COUNTIF(E173:AI173,"E")+COUNTIF(E173:AI173,"F")+COUNTIF(E173:AI173,"M")+COUNTIF(E173:AI173,"AB")+COUNTIF(E173:AI173,"UZ")+COUNTIF(E173:AI173,"G")+(COUNTIF(E173:AI173,"RT.")/2)+(COUNTIF(E173:AI173,"ÇRT.")/2)</f>
      </c>
      <c r="AO173" s="1">
        <f>=COUNTIF(E173:AI173,"O")</f>
      </c>
      <c r="AP173" s="1">
        <f>=COUNTIF(E173:AI173,"RT")+(COUNTIF(E173:AI173,"RT.")/2)</f>
      </c>
      <c r="AQ173" s="1">
        <f>=COUNTIF(E173:AI173,"ÇRT")+(COUNTIF(E173:AI173,"ÇRT.")/2)</f>
      </c>
      <c r="AR173" s="1">
        <f>=COUNTIF(E173:AI173,"ÇHT")</f>
      </c>
      <c r="AS173" s="1">
        <f>=COUNTIF(E173:AI173,"Ö")+COUNTIF(E173:AI173,"T")</f>
      </c>
      <c r="AT173" s="1">
        <f>=COUNTIF(E173:AI173,"Y")</f>
      </c>
      <c r="AU173" s="1">
        <f>=COUNTIF(E173:AI173,"R.")</f>
      </c>
      <c r="AV173" s="1">
        <f>=COUNTIF(E173:AI173,"Ü")</f>
      </c>
      <c r="AW173" s="1">
        <f>=COUNTIF(E173:AI173,"R")</f>
      </c>
      <c r="AX173" s="1">
        <f>=COUNTIF(E173:AI173,"DV")</f>
      </c>
      <c r="AY173" s="1">
        <f>=+AN173+AO173+AP173+AQ173+AR173+AS173+AT173+AU173</f>
      </c>
    </row>
    <row r="174" ht="16" customHeight="1" spans="1:51" x14ac:dyDescent="0.25">
      <c r="A174" s="46"/>
      <c r="B174" s="46"/>
      <c r="C174" s="46"/>
      <c r="D174" s="46" t="s">
        <v>32</v>
      </c>
      <c r="E174" s="46"/>
      <c r="F174" s="46"/>
      <c r="G174" s="46"/>
      <c r="H174" s="46"/>
      <c r="I174" s="46"/>
      <c r="J174" s="46"/>
      <c r="K174" s="46">
        <v>2</v>
      </c>
      <c r="L174" s="46">
        <v>3</v>
      </c>
      <c r="M174" s="46">
        <v>1</v>
      </c>
      <c r="N174" s="46"/>
      <c r="O174" s="46">
        <v>2</v>
      </c>
      <c r="P174" s="46"/>
      <c r="Q174" s="46"/>
      <c r="R174" s="46">
        <v>1</v>
      </c>
      <c r="S174" s="46">
        <v>1</v>
      </c>
      <c r="T174" s="46"/>
      <c r="U174" s="46">
        <v>2</v>
      </c>
      <c r="V174" s="46"/>
      <c r="W174" s="46"/>
      <c r="X174" s="46"/>
      <c r="Y174" s="46"/>
      <c r="Z174" s="46"/>
      <c r="AA174" s="46"/>
      <c r="AB174" s="46">
        <v>2.5</v>
      </c>
      <c r="AC174" s="46"/>
      <c r="AD174" s="46"/>
      <c r="AE174" s="46"/>
      <c r="AF174" s="46"/>
      <c r="AG174" s="46">
        <v>3</v>
      </c>
      <c r="AH174" s="46">
        <v>2</v>
      </c>
      <c r="AI174" s="46"/>
      <c r="AJ174" s="46"/>
      <c r="AK174" s="46"/>
      <c r="AL174" s="46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ht="16" customHeight="1" spans="1:51" x14ac:dyDescent="0.25">
      <c r="A175" s="46">
        <v>84</v>
      </c>
      <c r="B175" s="46" t="s">
        <v>208</v>
      </c>
      <c r="C175" s="46" t="s">
        <v>209</v>
      </c>
      <c r="D175" s="46" t="s">
        <v>28</v>
      </c>
      <c r="E175" s="46" t="s">
        <v>29</v>
      </c>
      <c r="F175" s="46" t="s">
        <v>29</v>
      </c>
      <c r="G175" s="46" t="s">
        <v>29</v>
      </c>
      <c r="H175" s="46" t="s">
        <v>29</v>
      </c>
      <c r="I175" s="46" t="s">
        <v>30</v>
      </c>
      <c r="J175" s="46" t="s">
        <v>29</v>
      </c>
      <c r="K175" s="46" t="s">
        <v>29</v>
      </c>
      <c r="L175" s="46" t="s">
        <v>29</v>
      </c>
      <c r="M175" s="46" t="s">
        <v>29</v>
      </c>
      <c r="N175" s="46" t="s">
        <v>29</v>
      </c>
      <c r="O175" s="46" t="s">
        <v>29</v>
      </c>
      <c r="P175" s="46" t="s">
        <v>30</v>
      </c>
      <c r="Q175" s="46" t="s">
        <v>29</v>
      </c>
      <c r="R175" s="46" t="s">
        <v>29</v>
      </c>
      <c r="S175" s="46" t="s">
        <v>29</v>
      </c>
      <c r="T175" s="46" t="s">
        <v>29</v>
      </c>
      <c r="U175" s="46" t="s">
        <v>29</v>
      </c>
      <c r="V175" s="46" t="s">
        <v>29</v>
      </c>
      <c r="W175" s="46" t="s">
        <v>30</v>
      </c>
      <c r="X175" s="46" t="s">
        <v>29</v>
      </c>
      <c r="Y175" s="46" t="s">
        <v>29</v>
      </c>
      <c r="Z175" s="46" t="s">
        <v>29</v>
      </c>
      <c r="AA175" s="46" t="s">
        <v>29</v>
      </c>
      <c r="AB175" s="46" t="s">
        <v>29</v>
      </c>
      <c r="AC175" s="46" t="s">
        <v>29</v>
      </c>
      <c r="AD175" s="46" t="s">
        <v>30</v>
      </c>
      <c r="AE175" s="46" t="s">
        <v>29</v>
      </c>
      <c r="AF175" s="46" t="s">
        <v>29</v>
      </c>
      <c r="AG175" s="46" t="s">
        <v>29</v>
      </c>
      <c r="AH175" s="46" t="s">
        <v>31</v>
      </c>
      <c r="AI175" s="46" t="s">
        <v>29</v>
      </c>
      <c r="AJ175" s="46">
        <f>=SUM(E176:AI176)</f>
      </c>
      <c r="AK175" s="46">
        <f>=+AY175</f>
      </c>
      <c r="AL175" s="46"/>
      <c r="AM175" s="1"/>
      <c r="AN175" s="1">
        <f>=COUNTIF(E175:AI175,"A")+COUNTIF(E175:AI175,"B")+COUNTIF(E175:AI175,"C")+COUNTIF(E175:AI175,"D")+COUNTIF(E175:AI175,"E")+COUNTIF(E175:AI175,"F")+COUNTIF(E175:AI175,"M")+COUNTIF(E175:AI175,"AB")+COUNTIF(E175:AI175,"UZ")+COUNTIF(E175:AI175,"G")+(COUNTIF(E175:AI175,"RT.")/2)+(COUNTIF(E175:AI175,"ÇRT.")/2)</f>
      </c>
      <c r="AO175" s="1">
        <f>=COUNTIF(E175:AI175,"O")</f>
      </c>
      <c r="AP175" s="1">
        <f>=COUNTIF(E175:AI175,"RT")+(COUNTIF(E175:AI175,"RT.")/2)</f>
      </c>
      <c r="AQ175" s="1">
        <f>=COUNTIF(E175:AI175,"ÇRT")+(COUNTIF(E175:AI175,"ÇRT.")/2)</f>
      </c>
      <c r="AR175" s="1">
        <f>=COUNTIF(E175:AI175,"ÇHT")</f>
      </c>
      <c r="AS175" s="1">
        <f>=COUNTIF(E175:AI175,"Ö")+COUNTIF(E175:AI175,"T")</f>
      </c>
      <c r="AT175" s="1">
        <f>=COUNTIF(E175:AI175,"Y")</f>
      </c>
      <c r="AU175" s="1">
        <f>=COUNTIF(E175:AI175,"R.")</f>
      </c>
      <c r="AV175" s="1">
        <f>=COUNTIF(E175:AI175,"Ü")</f>
      </c>
      <c r="AW175" s="1">
        <f>=COUNTIF(E175:AI175,"R")</f>
      </c>
      <c r="AX175" s="1">
        <f>=COUNTIF(E175:AI175,"DV")</f>
      </c>
      <c r="AY175" s="1">
        <f>=+AN175+AO175+AP175+AQ175+AR175+AS175+AT175+AU175</f>
      </c>
    </row>
    <row r="176" ht="16" customHeight="1" spans="1:51" x14ac:dyDescent="0.25">
      <c r="A176" s="46"/>
      <c r="B176" s="46"/>
      <c r="C176" s="46"/>
      <c r="D176" s="46" t="s">
        <v>32</v>
      </c>
      <c r="E176" s="46"/>
      <c r="F176" s="46"/>
      <c r="G176" s="46"/>
      <c r="H176" s="46"/>
      <c r="I176" s="46"/>
      <c r="J176" s="46"/>
      <c r="K176" s="46"/>
      <c r="L176" s="46"/>
      <c r="M176" s="46">
        <v>0</v>
      </c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>
        <v>2</v>
      </c>
      <c r="AG176" s="46">
        <v>3</v>
      </c>
      <c r="AH176" s="46">
        <v>2</v>
      </c>
      <c r="AI176" s="46"/>
      <c r="AJ176" s="46"/>
      <c r="AK176" s="46"/>
      <c r="AL176" s="46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ht="16" customHeight="1" spans="1:51" x14ac:dyDescent="0.25">
      <c r="A177" s="46">
        <v>85</v>
      </c>
      <c r="B177" s="46" t="s">
        <v>210</v>
      </c>
      <c r="C177" s="46" t="s">
        <v>211</v>
      </c>
      <c r="D177" s="46" t="s">
        <v>28</v>
      </c>
      <c r="E177" s="46" t="s">
        <v>29</v>
      </c>
      <c r="F177" s="46" t="s">
        <v>29</v>
      </c>
      <c r="G177" s="46" t="s">
        <v>29</v>
      </c>
      <c r="H177" s="46" t="s">
        <v>29</v>
      </c>
      <c r="I177" s="46" t="s">
        <v>30</v>
      </c>
      <c r="J177" s="46" t="s">
        <v>29</v>
      </c>
      <c r="K177" s="46" t="s">
        <v>29</v>
      </c>
      <c r="L177" s="46" t="s">
        <v>29</v>
      </c>
      <c r="M177" s="46" t="s">
        <v>29</v>
      </c>
      <c r="N177" s="46" t="s">
        <v>29</v>
      </c>
      <c r="O177" s="46" t="s">
        <v>29</v>
      </c>
      <c r="P177" s="46" t="s">
        <v>29</v>
      </c>
      <c r="Q177" s="46" t="s">
        <v>30</v>
      </c>
      <c r="R177" s="46" t="s">
        <v>29</v>
      </c>
      <c r="S177" s="46" t="s">
        <v>29</v>
      </c>
      <c r="T177" s="46" t="s">
        <v>29</v>
      </c>
      <c r="U177" s="46" t="s">
        <v>29</v>
      </c>
      <c r="V177" s="46" t="s">
        <v>29</v>
      </c>
      <c r="W177" s="46" t="s">
        <v>29</v>
      </c>
      <c r="X177" s="46" t="s">
        <v>30</v>
      </c>
      <c r="Y177" s="46" t="s">
        <v>29</v>
      </c>
      <c r="Z177" s="46" t="s">
        <v>29</v>
      </c>
      <c r="AA177" s="46" t="s">
        <v>29</v>
      </c>
      <c r="AB177" s="46" t="s">
        <v>29</v>
      </c>
      <c r="AC177" s="46" t="s">
        <v>29</v>
      </c>
      <c r="AD177" s="46" t="s">
        <v>29</v>
      </c>
      <c r="AE177" s="46" t="s">
        <v>30</v>
      </c>
      <c r="AF177" s="46" t="s">
        <v>29</v>
      </c>
      <c r="AG177" s="46" t="s">
        <v>29</v>
      </c>
      <c r="AH177" s="46" t="s">
        <v>31</v>
      </c>
      <c r="AI177" s="46" t="s">
        <v>29</v>
      </c>
      <c r="AJ177" s="46">
        <f>=SUM(E178:AI178)</f>
      </c>
      <c r="AK177" s="46">
        <f>=+AY177</f>
      </c>
      <c r="AL177" s="46"/>
      <c r="AM177" s="1"/>
      <c r="AN177" s="1">
        <f>=COUNTIF(E177:AI177,"A")+COUNTIF(E177:AI177,"B")+COUNTIF(E177:AI177,"C")+COUNTIF(E177:AI177,"D")+COUNTIF(E177:AI177,"E")+COUNTIF(E177:AI177,"F")+COUNTIF(E177:AI177,"M")+COUNTIF(E177:AI177,"AB")+COUNTIF(E177:AI177,"UZ")+COUNTIF(E177:AI177,"G")+(COUNTIF(E177:AI177,"RT.")/2)+(COUNTIF(E177:AI177,"ÇRT.")/2)</f>
      </c>
      <c r="AO177" s="1">
        <f>=COUNTIF(E177:AI177,"O")</f>
      </c>
      <c r="AP177" s="1">
        <f>=COUNTIF(E177:AI177,"RT")+(COUNTIF(E177:AI177,"RT.")/2)</f>
      </c>
      <c r="AQ177" s="1">
        <f>=COUNTIF(E177:AI177,"ÇRT")+(COUNTIF(E177:AI177,"ÇRT.")/2)</f>
      </c>
      <c r="AR177" s="1">
        <f>=COUNTIF(E177:AI177,"ÇHT")</f>
      </c>
      <c r="AS177" s="1">
        <f>=COUNTIF(E177:AI177,"Ö")+COUNTIF(E177:AI177,"T")</f>
      </c>
      <c r="AT177" s="1">
        <f>=COUNTIF(E177:AI177,"Y")</f>
      </c>
      <c r="AU177" s="1">
        <f>=COUNTIF(E177:AI177,"R.")</f>
      </c>
      <c r="AV177" s="1">
        <f>=COUNTIF(E177:AI177,"Ü")</f>
      </c>
      <c r="AW177" s="1">
        <f>=COUNTIF(E177:AI177,"R")</f>
      </c>
      <c r="AX177" s="1">
        <f>=COUNTIF(E177:AI177,"DV")</f>
      </c>
      <c r="AY177" s="1">
        <f>=+AN177+AO177+AP177+AQ177+AR177+AS177+AT177+AU177</f>
      </c>
    </row>
    <row r="178" ht="16" customHeight="1" spans="1:51" x14ac:dyDescent="0.25">
      <c r="A178" s="46"/>
      <c r="B178" s="46"/>
      <c r="C178" s="46"/>
      <c r="D178" s="46" t="s">
        <v>32</v>
      </c>
      <c r="E178" s="46"/>
      <c r="F178" s="46"/>
      <c r="G178" s="46">
        <v>2</v>
      </c>
      <c r="H178" s="46"/>
      <c r="I178" s="46"/>
      <c r="J178" s="46"/>
      <c r="K178" s="46"/>
      <c r="L178" s="46">
        <v>1</v>
      </c>
      <c r="M178" s="46">
        <v>1</v>
      </c>
      <c r="N178" s="46">
        <v>2.5</v>
      </c>
      <c r="O178" s="46"/>
      <c r="P178" s="46"/>
      <c r="Q178" s="46"/>
      <c r="R178" s="46">
        <v>3</v>
      </c>
      <c r="S178" s="46"/>
      <c r="T178" s="46"/>
      <c r="U178" s="46">
        <v>2</v>
      </c>
      <c r="V178" s="46"/>
      <c r="W178" s="46"/>
      <c r="X178" s="46"/>
      <c r="Y178" s="46">
        <v>1</v>
      </c>
      <c r="Z178" s="46"/>
      <c r="AA178" s="46"/>
      <c r="AB178" s="46"/>
      <c r="AC178" s="46"/>
      <c r="AD178" s="46"/>
      <c r="AE178" s="46"/>
      <c r="AF178" s="46">
        <v>1</v>
      </c>
      <c r="AG178" s="46"/>
      <c r="AH178" s="46"/>
      <c r="AI178" s="46"/>
      <c r="AJ178" s="46"/>
      <c r="AK178" s="46"/>
      <c r="AL178" s="46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ht="16" customHeight="1" spans="1:51" x14ac:dyDescent="0.25">
      <c r="A179" s="46">
        <v>86</v>
      </c>
      <c r="B179" s="46" t="s">
        <v>212</v>
      </c>
      <c r="C179" s="46" t="s">
        <v>213</v>
      </c>
      <c r="D179" s="46" t="s">
        <v>28</v>
      </c>
      <c r="E179" s="46" t="s">
        <v>30</v>
      </c>
      <c r="F179" s="46" t="s">
        <v>50</v>
      </c>
      <c r="G179" s="46" t="s">
        <v>50</v>
      </c>
      <c r="H179" s="46" t="s">
        <v>50</v>
      </c>
      <c r="I179" s="46" t="s">
        <v>50</v>
      </c>
      <c r="J179" s="46" t="s">
        <v>50</v>
      </c>
      <c r="K179" s="46" t="s">
        <v>50</v>
      </c>
      <c r="L179" s="46" t="s">
        <v>30</v>
      </c>
      <c r="M179" s="46" t="s">
        <v>50</v>
      </c>
      <c r="N179" s="46" t="s">
        <v>50</v>
      </c>
      <c r="O179" s="46" t="s">
        <v>50</v>
      </c>
      <c r="P179" s="46" t="s">
        <v>50</v>
      </c>
      <c r="Q179" s="46" t="s">
        <v>50</v>
      </c>
      <c r="R179" s="46" t="s">
        <v>50</v>
      </c>
      <c r="S179" s="46" t="s">
        <v>30</v>
      </c>
      <c r="T179" s="46" t="s">
        <v>50</v>
      </c>
      <c r="U179" s="46" t="s">
        <v>50</v>
      </c>
      <c r="V179" s="46" t="s">
        <v>50</v>
      </c>
      <c r="W179" s="46" t="s">
        <v>50</v>
      </c>
      <c r="X179" s="46" t="s">
        <v>50</v>
      </c>
      <c r="Y179" s="46" t="s">
        <v>50</v>
      </c>
      <c r="Z179" s="46" t="s">
        <v>30</v>
      </c>
      <c r="AA179" s="46" t="s">
        <v>50</v>
      </c>
      <c r="AB179" s="46" t="s">
        <v>50</v>
      </c>
      <c r="AC179" s="46" t="s">
        <v>50</v>
      </c>
      <c r="AD179" s="46" t="s">
        <v>50</v>
      </c>
      <c r="AE179" s="46" t="s">
        <v>50</v>
      </c>
      <c r="AF179" s="46" t="s">
        <v>50</v>
      </c>
      <c r="AG179" s="46" t="s">
        <v>44</v>
      </c>
      <c r="AH179" s="46" t="s">
        <v>31</v>
      </c>
      <c r="AI179" s="46" t="s">
        <v>50</v>
      </c>
      <c r="AJ179" s="46">
        <f>=SUM(E180:AI180)</f>
      </c>
      <c r="AK179" s="46">
        <f>=+AY179</f>
      </c>
      <c r="AL179" s="46"/>
      <c r="AM179" s="1"/>
      <c r="AN179" s="1">
        <f>=COUNTIF(E179:AI179,"A")+COUNTIF(E179:AI179,"B")+COUNTIF(E179:AI179,"C")+COUNTIF(E179:AI179,"D")+COUNTIF(E179:AI179,"E")+COUNTIF(E179:AI179,"F")+COUNTIF(E179:AI179,"M")+COUNTIF(E179:AI179,"AB")+COUNTIF(E179:AI179,"UZ")+COUNTIF(E179:AI179,"G")+(COUNTIF(E179:AI179,"RT.")/2)+(COUNTIF(E179:AI179,"ÇRT.")/2)</f>
      </c>
      <c r="AO179" s="1">
        <f>=COUNTIF(E179:AI179,"O")</f>
      </c>
      <c r="AP179" s="1">
        <f>=COUNTIF(E179:AI179,"RT")+(COUNTIF(E179:AI179,"RT.")/2)</f>
      </c>
      <c r="AQ179" s="1">
        <f>=COUNTIF(E179:AI179,"ÇRT")+(COUNTIF(E179:AI179,"ÇRT.")/2)</f>
      </c>
      <c r="AR179" s="1">
        <f>=COUNTIF(E179:AI179,"ÇHT")</f>
      </c>
      <c r="AS179" s="1">
        <f>=COUNTIF(E179:AI179,"Ö")+COUNTIF(E179:AI179,"T")</f>
      </c>
      <c r="AT179" s="1">
        <f>=COUNTIF(E179:AI179,"Y")</f>
      </c>
      <c r="AU179" s="1">
        <f>=COUNTIF(E179:AI179,"R.")</f>
      </c>
      <c r="AV179" s="1">
        <f>=COUNTIF(E179:AI179,"Ü")</f>
      </c>
      <c r="AW179" s="1">
        <f>=COUNTIF(E179:AI179,"R")</f>
      </c>
      <c r="AX179" s="1">
        <f>=COUNTIF(E179:AI179,"DV")</f>
      </c>
      <c r="AY179" s="1">
        <f>=+AN179+AO179+AP179+AQ179+AR179+AS179+AT179+AU179</f>
      </c>
    </row>
    <row r="180" ht="16" customHeight="1" spans="1:51" x14ac:dyDescent="0.25">
      <c r="A180" s="46"/>
      <c r="B180" s="46"/>
      <c r="C180" s="46"/>
      <c r="D180" s="46" t="s">
        <v>32</v>
      </c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>
        <v>3</v>
      </c>
      <c r="AH180" s="46">
        <v>2</v>
      </c>
      <c r="AI180" s="46"/>
      <c r="AJ180" s="46"/>
      <c r="AK180" s="46"/>
      <c r="AL180" s="46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ht="16" customHeight="1" spans="1:51" x14ac:dyDescent="0.25">
      <c r="A181" s="46">
        <v>87</v>
      </c>
      <c r="B181" s="46" t="s">
        <v>214</v>
      </c>
      <c r="C181" s="46" t="s">
        <v>215</v>
      </c>
      <c r="D181" s="46" t="s">
        <v>28</v>
      </c>
      <c r="E181" s="46" t="s">
        <v>41</v>
      </c>
      <c r="F181" s="46" t="s">
        <v>41</v>
      </c>
      <c r="G181" s="46" t="s">
        <v>41</v>
      </c>
      <c r="H181" s="46" t="s">
        <v>41</v>
      </c>
      <c r="I181" s="46" t="s">
        <v>41</v>
      </c>
      <c r="J181" s="46" t="s">
        <v>41</v>
      </c>
      <c r="K181" s="46" t="s">
        <v>30</v>
      </c>
      <c r="L181" s="46" t="s">
        <v>36</v>
      </c>
      <c r="M181" s="46" t="s">
        <v>36</v>
      </c>
      <c r="N181" s="46" t="s">
        <v>36</v>
      </c>
      <c r="O181" s="46" t="s">
        <v>36</v>
      </c>
      <c r="P181" s="46" t="s">
        <v>36</v>
      </c>
      <c r="Q181" s="46" t="s">
        <v>36</v>
      </c>
      <c r="R181" s="46" t="s">
        <v>30</v>
      </c>
      <c r="S181" s="46" t="s">
        <v>36</v>
      </c>
      <c r="T181" s="46" t="s">
        <v>36</v>
      </c>
      <c r="U181" s="46" t="s">
        <v>36</v>
      </c>
      <c r="V181" s="46" t="s">
        <v>36</v>
      </c>
      <c r="W181" s="46" t="s">
        <v>36</v>
      </c>
      <c r="X181" s="46" t="s">
        <v>36</v>
      </c>
      <c r="Y181" s="46" t="s">
        <v>30</v>
      </c>
      <c r="Z181" s="46" t="s">
        <v>29</v>
      </c>
      <c r="AA181" s="46" t="s">
        <v>29</v>
      </c>
      <c r="AB181" s="46" t="s">
        <v>29</v>
      </c>
      <c r="AC181" s="46" t="s">
        <v>29</v>
      </c>
      <c r="AD181" s="46" t="s">
        <v>29</v>
      </c>
      <c r="AE181" s="46" t="s">
        <v>29</v>
      </c>
      <c r="AF181" s="46" t="s">
        <v>44</v>
      </c>
      <c r="AG181" s="46" t="s">
        <v>29</v>
      </c>
      <c r="AH181" s="46" t="s">
        <v>31</v>
      </c>
      <c r="AI181" s="46" t="s">
        <v>29</v>
      </c>
      <c r="AJ181" s="46">
        <f>=SUM(E182:AI182)</f>
      </c>
      <c r="AK181" s="46">
        <f>=+AY181</f>
      </c>
      <c r="AL181" s="46"/>
      <c r="AM181" s="1"/>
      <c r="AN181" s="1">
        <f>=COUNTIF(E181:AI181,"A")+COUNTIF(E181:AI181,"B")+COUNTIF(E181:AI181,"C")+COUNTIF(E181:AI181,"D")+COUNTIF(E181:AI181,"E")+COUNTIF(E181:AI181,"F")+COUNTIF(E181:AI181,"M")+COUNTIF(E181:AI181,"AB")+COUNTIF(E181:AI181,"UZ")+COUNTIF(E181:AI181,"G")+(COUNTIF(E181:AI181,"RT.")/2)+(COUNTIF(E181:AI181,"ÇRT.")/2)</f>
      </c>
      <c r="AO181" s="1">
        <f>=COUNTIF(E181:AI181,"O")</f>
      </c>
      <c r="AP181" s="1">
        <f>=COUNTIF(E181:AI181,"RT")+(COUNTIF(E181:AI181,"RT.")/2)</f>
      </c>
      <c r="AQ181" s="1">
        <f>=COUNTIF(E181:AI181,"ÇRT")+(COUNTIF(E181:AI181,"ÇRT.")/2)</f>
      </c>
      <c r="AR181" s="1">
        <f>=COUNTIF(E181:AI181,"ÇHT")</f>
      </c>
      <c r="AS181" s="1">
        <f>=COUNTIF(E181:AI181,"Ö")+COUNTIF(E181:AI181,"T")</f>
      </c>
      <c r="AT181" s="1">
        <f>=COUNTIF(E181:AI181,"Y")</f>
      </c>
      <c r="AU181" s="1">
        <f>=COUNTIF(E181:AI181,"R.")</f>
      </c>
      <c r="AV181" s="1">
        <f>=COUNTIF(E181:AI181,"Ü")</f>
      </c>
      <c r="AW181" s="1">
        <f>=COUNTIF(E181:AI181,"R")</f>
      </c>
      <c r="AX181" s="1">
        <f>=COUNTIF(E181:AI181,"DV")</f>
      </c>
      <c r="AY181" s="1">
        <f>=+AN181+AO181+AP181+AQ181+AR181+AS181+AT181+AU181</f>
      </c>
    </row>
    <row r="182" ht="16" customHeight="1" spans="1:51" x14ac:dyDescent="0.25">
      <c r="A182" s="46"/>
      <c r="B182" s="46"/>
      <c r="C182" s="46"/>
      <c r="D182" s="46" t="s">
        <v>32</v>
      </c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ht="16" customHeight="1" spans="1:51" x14ac:dyDescent="0.25">
      <c r="A183" s="46">
        <v>88</v>
      </c>
      <c r="B183" s="46" t="s">
        <v>216</v>
      </c>
      <c r="C183" s="46" t="s">
        <v>217</v>
      </c>
      <c r="D183" s="46" t="s">
        <v>28</v>
      </c>
      <c r="E183" s="46" t="s">
        <v>30</v>
      </c>
      <c r="F183" s="46" t="s">
        <v>29</v>
      </c>
      <c r="G183" s="46" t="s">
        <v>29</v>
      </c>
      <c r="H183" s="46" t="s">
        <v>29</v>
      </c>
      <c r="I183" s="46" t="s">
        <v>29</v>
      </c>
      <c r="J183" s="46" t="s">
        <v>29</v>
      </c>
      <c r="K183" s="46" t="s">
        <v>29</v>
      </c>
      <c r="L183" s="46" t="s">
        <v>29</v>
      </c>
      <c r="M183" s="46" t="s">
        <v>30</v>
      </c>
      <c r="N183" s="46" t="s">
        <v>29</v>
      </c>
      <c r="O183" s="46" t="s">
        <v>29</v>
      </c>
      <c r="P183" s="46" t="s">
        <v>29</v>
      </c>
      <c r="Q183" s="46" t="s">
        <v>29</v>
      </c>
      <c r="R183" s="46" t="s">
        <v>29</v>
      </c>
      <c r="S183" s="46" t="s">
        <v>29</v>
      </c>
      <c r="T183" s="46" t="s">
        <v>30</v>
      </c>
      <c r="U183" s="46" t="s">
        <v>29</v>
      </c>
      <c r="V183" s="46" t="s">
        <v>29</v>
      </c>
      <c r="W183" s="46" t="s">
        <v>29</v>
      </c>
      <c r="X183" s="46" t="s">
        <v>29</v>
      </c>
      <c r="Y183" s="46" t="s">
        <v>29</v>
      </c>
      <c r="Z183" s="46" t="s">
        <v>29</v>
      </c>
      <c r="AA183" s="46" t="s">
        <v>30</v>
      </c>
      <c r="AB183" s="46" t="s">
        <v>29</v>
      </c>
      <c r="AC183" s="46" t="s">
        <v>29</v>
      </c>
      <c r="AD183" s="46" t="s">
        <v>29</v>
      </c>
      <c r="AE183" s="46" t="s">
        <v>29</v>
      </c>
      <c r="AF183" s="46" t="s">
        <v>29</v>
      </c>
      <c r="AG183" s="46" t="s">
        <v>44</v>
      </c>
      <c r="AH183" s="46" t="s">
        <v>31</v>
      </c>
      <c r="AI183" s="46" t="s">
        <v>29</v>
      </c>
      <c r="AJ183" s="46">
        <f>=SUM(E184:AI184)</f>
      </c>
      <c r="AK183" s="46">
        <f>=+AY183</f>
      </c>
      <c r="AL183" s="46"/>
      <c r="AM183" s="1"/>
      <c r="AN183" s="1">
        <f>=COUNTIF(E183:AI183,"A")+COUNTIF(E183:AI183,"B")+COUNTIF(E183:AI183,"C")+COUNTIF(E183:AI183,"D")+COUNTIF(E183:AI183,"E")+COUNTIF(E183:AI183,"F")+COUNTIF(E183:AI183,"M")+COUNTIF(E183:AI183,"AB")+COUNTIF(E183:AI183,"UZ")+COUNTIF(E183:AI183,"G")+(COUNTIF(E183:AI183,"RT.")/2)+(COUNTIF(E183:AI183,"ÇRT.")/2)</f>
      </c>
      <c r="AO183" s="1">
        <f>=COUNTIF(E183:AI183,"O")</f>
      </c>
      <c r="AP183" s="1">
        <f>=COUNTIF(E183:AI183,"RT")+(COUNTIF(E183:AI183,"RT.")/2)</f>
      </c>
      <c r="AQ183" s="1">
        <f>=COUNTIF(E183:AI183,"ÇRT")+(COUNTIF(E183:AI183,"ÇRT.")/2)</f>
      </c>
      <c r="AR183" s="1">
        <f>=COUNTIF(E183:AI183,"ÇHT")</f>
      </c>
      <c r="AS183" s="1">
        <f>=COUNTIF(E183:AI183,"Ö")+COUNTIF(E183:AI183,"T")</f>
      </c>
      <c r="AT183" s="1">
        <f>=COUNTIF(E183:AI183,"Y")</f>
      </c>
      <c r="AU183" s="1">
        <f>=COUNTIF(E183:AI183,"R.")</f>
      </c>
      <c r="AV183" s="1">
        <f>=COUNTIF(E183:AI183,"Ü")</f>
      </c>
      <c r="AW183" s="1">
        <f>=COUNTIF(E183:AI183,"R")</f>
      </c>
      <c r="AX183" s="1">
        <f>=COUNTIF(E183:AI183,"DV")</f>
      </c>
      <c r="AY183" s="1">
        <f>=+AN183+AO183+AP183+AQ183+AR183+AS183+AT183+AU183</f>
      </c>
    </row>
    <row r="184" ht="16" customHeight="1" spans="1:51" x14ac:dyDescent="0.25">
      <c r="A184" s="46"/>
      <c r="B184" s="46"/>
      <c r="C184" s="46"/>
      <c r="D184" s="46" t="s">
        <v>32</v>
      </c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>
        <v>2</v>
      </c>
      <c r="AG184" s="46"/>
      <c r="AH184" s="46"/>
      <c r="AI184" s="46"/>
      <c r="AJ184" s="46"/>
      <c r="AK184" s="46"/>
      <c r="AL184" s="46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ht="16" customHeight="1" spans="1:51" x14ac:dyDescent="0.25">
      <c r="A185" s="46">
        <v>89</v>
      </c>
      <c r="B185" s="46" t="s">
        <v>218</v>
      </c>
      <c r="C185" s="46" t="s">
        <v>219</v>
      </c>
      <c r="D185" s="46" t="s">
        <v>28</v>
      </c>
      <c r="E185" s="46" t="s">
        <v>30</v>
      </c>
      <c r="F185" s="46" t="s">
        <v>29</v>
      </c>
      <c r="G185" s="46" t="s">
        <v>29</v>
      </c>
      <c r="H185" s="46" t="s">
        <v>29</v>
      </c>
      <c r="I185" s="46" t="s">
        <v>29</v>
      </c>
      <c r="J185" s="46" t="s">
        <v>29</v>
      </c>
      <c r="K185" s="46" t="s">
        <v>30</v>
      </c>
      <c r="L185" s="46" t="s">
        <v>29</v>
      </c>
      <c r="M185" s="46" t="s">
        <v>29</v>
      </c>
      <c r="N185" s="46" t="s">
        <v>29</v>
      </c>
      <c r="O185" s="46" t="s">
        <v>29</v>
      </c>
      <c r="P185" s="46" t="s">
        <v>29</v>
      </c>
      <c r="Q185" s="46" t="s">
        <v>29</v>
      </c>
      <c r="R185" s="46" t="s">
        <v>30</v>
      </c>
      <c r="S185" s="46" t="s">
        <v>29</v>
      </c>
      <c r="T185" s="46" t="s">
        <v>29</v>
      </c>
      <c r="U185" s="46" t="s">
        <v>29</v>
      </c>
      <c r="V185" s="46" t="s">
        <v>29</v>
      </c>
      <c r="W185" s="46" t="s">
        <v>29</v>
      </c>
      <c r="X185" s="46" t="s">
        <v>29</v>
      </c>
      <c r="Y185" s="46" t="s">
        <v>30</v>
      </c>
      <c r="Z185" s="46" t="s">
        <v>29</v>
      </c>
      <c r="AA185" s="46" t="s">
        <v>29</v>
      </c>
      <c r="AB185" s="46" t="s">
        <v>29</v>
      </c>
      <c r="AC185" s="46" t="s">
        <v>29</v>
      </c>
      <c r="AD185" s="46" t="s">
        <v>29</v>
      </c>
      <c r="AE185" s="46" t="s">
        <v>29</v>
      </c>
      <c r="AF185" s="46" t="s">
        <v>30</v>
      </c>
      <c r="AG185" s="46" t="s">
        <v>29</v>
      </c>
      <c r="AH185" s="46" t="s">
        <v>31</v>
      </c>
      <c r="AI185" s="46" t="s">
        <v>29</v>
      </c>
      <c r="AJ185" s="46">
        <f>=SUM(E186:AI186)</f>
      </c>
      <c r="AK185" s="46">
        <f>=+AY185</f>
      </c>
      <c r="AL185" s="46"/>
      <c r="AM185" s="1"/>
      <c r="AN185" s="1">
        <f>=COUNTIF(E185:AI185,"A")+COUNTIF(E185:AI185,"B")+COUNTIF(E185:AI185,"C")+COUNTIF(E185:AI185,"D")+COUNTIF(E185:AI185,"E")+COUNTIF(E185:AI185,"F")+COUNTIF(E185:AI185,"M")+COUNTIF(E185:AI185,"AB")+COUNTIF(E185:AI185,"UZ")+COUNTIF(E185:AI185,"G")+(COUNTIF(E185:AI185,"RT.")/2)+(COUNTIF(E185:AI185,"ÇRT.")/2)</f>
      </c>
      <c r="AO185" s="1">
        <f>=COUNTIF(E185:AI185,"O")</f>
      </c>
      <c r="AP185" s="1">
        <f>=COUNTIF(E185:AI185,"RT")+(COUNTIF(E185:AI185,"RT.")/2)</f>
      </c>
      <c r="AQ185" s="1">
        <f>=COUNTIF(E185:AI185,"ÇRT")+(COUNTIF(E185:AI185,"ÇRT.")/2)</f>
      </c>
      <c r="AR185" s="1">
        <f>=COUNTIF(E185:AI185,"ÇHT")</f>
      </c>
      <c r="AS185" s="1">
        <f>=COUNTIF(E185:AI185,"Ö")+COUNTIF(E185:AI185,"T")</f>
      </c>
      <c r="AT185" s="1">
        <f>=COUNTIF(E185:AI185,"Y")</f>
      </c>
      <c r="AU185" s="1">
        <f>=COUNTIF(E185:AI185,"R.")</f>
      </c>
      <c r="AV185" s="1">
        <f>=COUNTIF(E185:AI185,"Ü")</f>
      </c>
      <c r="AW185" s="1">
        <f>=COUNTIF(E185:AI185,"R")</f>
      </c>
      <c r="AX185" s="1">
        <f>=COUNTIF(E185:AI185,"DV")</f>
      </c>
      <c r="AY185" s="1">
        <f>=+AN185+AO185+AP185+AQ185+AR185+AS185+AT185+AU185</f>
      </c>
    </row>
    <row r="186" ht="16" customHeight="1" spans="1:51" x14ac:dyDescent="0.25">
      <c r="A186" s="46"/>
      <c r="B186" s="46"/>
      <c r="C186" s="46"/>
      <c r="D186" s="46" t="s">
        <v>32</v>
      </c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ht="16" customHeight="1" spans="1:51" x14ac:dyDescent="0.25">
      <c r="A187" s="46">
        <v>90</v>
      </c>
      <c r="B187" s="46" t="s">
        <v>220</v>
      </c>
      <c r="C187" s="46" t="s">
        <v>221</v>
      </c>
      <c r="D187" s="46" t="s">
        <v>28</v>
      </c>
      <c r="E187" s="46" t="s">
        <v>29</v>
      </c>
      <c r="F187" s="46" t="s">
        <v>29</v>
      </c>
      <c r="G187" s="46" t="s">
        <v>29</v>
      </c>
      <c r="H187" s="46" t="s">
        <v>30</v>
      </c>
      <c r="I187" s="46" t="s">
        <v>29</v>
      </c>
      <c r="J187" s="46" t="s">
        <v>29</v>
      </c>
      <c r="K187" s="46" t="s">
        <v>29</v>
      </c>
      <c r="L187" s="46" t="s">
        <v>29</v>
      </c>
      <c r="M187" s="46" t="s">
        <v>29</v>
      </c>
      <c r="N187" s="46" t="s">
        <v>29</v>
      </c>
      <c r="O187" s="46" t="s">
        <v>30</v>
      </c>
      <c r="P187" s="46" t="s">
        <v>29</v>
      </c>
      <c r="Q187" s="46" t="s">
        <v>29</v>
      </c>
      <c r="R187" s="46" t="s">
        <v>29</v>
      </c>
      <c r="S187" s="46" t="s">
        <v>29</v>
      </c>
      <c r="T187" s="46" t="s">
        <v>29</v>
      </c>
      <c r="U187" s="46" t="s">
        <v>29</v>
      </c>
      <c r="V187" s="46" t="s">
        <v>30</v>
      </c>
      <c r="W187" s="46" t="s">
        <v>29</v>
      </c>
      <c r="X187" s="46" t="s">
        <v>29</v>
      </c>
      <c r="Y187" s="46" t="s">
        <v>29</v>
      </c>
      <c r="Z187" s="46" t="s">
        <v>29</v>
      </c>
      <c r="AA187" s="46" t="s">
        <v>29</v>
      </c>
      <c r="AB187" s="46" t="s">
        <v>29</v>
      </c>
      <c r="AC187" s="46" t="s">
        <v>29</v>
      </c>
      <c r="AD187" s="46" t="s">
        <v>30</v>
      </c>
      <c r="AE187" s="46" t="s">
        <v>29</v>
      </c>
      <c r="AF187" s="46" t="s">
        <v>29</v>
      </c>
      <c r="AG187" s="46" t="s">
        <v>29</v>
      </c>
      <c r="AH187" s="46" t="s">
        <v>31</v>
      </c>
      <c r="AI187" s="46" t="s">
        <v>29</v>
      </c>
      <c r="AJ187" s="46">
        <f>=SUM(E188:AI188)</f>
      </c>
      <c r="AK187" s="46">
        <f>=+AY187</f>
      </c>
      <c r="AL187" s="46"/>
      <c r="AM187" s="1"/>
      <c r="AN187" s="1">
        <f>=COUNTIF(E187:AI187,"A")+COUNTIF(E187:AI187,"B")+COUNTIF(E187:AI187,"C")+COUNTIF(E187:AI187,"D")+COUNTIF(E187:AI187,"E")+COUNTIF(E187:AI187,"F")+COUNTIF(E187:AI187,"M")+COUNTIF(E187:AI187,"AB")+COUNTIF(E187:AI187,"UZ")+COUNTIF(E187:AI187,"G")+(COUNTIF(E187:AI187,"RT.")/2)+(COUNTIF(E187:AI187,"ÇRT.")/2)</f>
      </c>
      <c r="AO187" s="1">
        <f>=COUNTIF(E187:AI187,"O")</f>
      </c>
      <c r="AP187" s="1">
        <f>=COUNTIF(E187:AI187,"RT")+(COUNTIF(E187:AI187,"RT.")/2)</f>
      </c>
      <c r="AQ187" s="1">
        <f>=COUNTIF(E187:AI187,"ÇRT")+(COUNTIF(E187:AI187,"ÇRT.")/2)</f>
      </c>
      <c r="AR187" s="1">
        <f>=COUNTIF(E187:AI187,"ÇHT")</f>
      </c>
      <c r="AS187" s="1">
        <f>=COUNTIF(E187:AI187,"Ö")+COUNTIF(E187:AI187,"T")</f>
      </c>
      <c r="AT187" s="1">
        <f>=COUNTIF(E187:AI187,"Y")</f>
      </c>
      <c r="AU187" s="1">
        <f>=COUNTIF(E187:AI187,"R.")</f>
      </c>
      <c r="AV187" s="1">
        <f>=COUNTIF(E187:AI187,"Ü")</f>
      </c>
      <c r="AW187" s="1">
        <f>=COUNTIF(E187:AI187,"R")</f>
      </c>
      <c r="AX187" s="1">
        <f>=COUNTIF(E187:AI187,"DV")</f>
      </c>
      <c r="AY187" s="1">
        <f>=+AN187+AO187+AP187+AQ187+AR187+AS187+AT187+AU187</f>
      </c>
    </row>
    <row r="188" ht="16" customHeight="1" spans="1:51" x14ac:dyDescent="0.25">
      <c r="A188" s="46"/>
      <c r="B188" s="46"/>
      <c r="C188" s="46"/>
      <c r="D188" s="46" t="s">
        <v>32</v>
      </c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ht="16" customHeight="1" spans="1:51" x14ac:dyDescent="0.25">
      <c r="A189" s="46">
        <v>91</v>
      </c>
      <c r="B189" s="46" t="s">
        <v>222</v>
      </c>
      <c r="C189" s="46" t="s">
        <v>223</v>
      </c>
      <c r="D189" s="46" t="s">
        <v>28</v>
      </c>
      <c r="E189" s="46" t="s">
        <v>29</v>
      </c>
      <c r="F189" s="46" t="s">
        <v>29</v>
      </c>
      <c r="G189" s="46" t="s">
        <v>29</v>
      </c>
      <c r="H189" s="46" t="s">
        <v>29</v>
      </c>
      <c r="I189" s="46" t="s">
        <v>30</v>
      </c>
      <c r="J189" s="46" t="s">
        <v>29</v>
      </c>
      <c r="K189" s="46" t="s">
        <v>29</v>
      </c>
      <c r="L189" s="46" t="s">
        <v>29</v>
      </c>
      <c r="M189" s="46" t="s">
        <v>29</v>
      </c>
      <c r="N189" s="46" t="s">
        <v>29</v>
      </c>
      <c r="O189" s="46" t="s">
        <v>29</v>
      </c>
      <c r="P189" s="46" t="s">
        <v>29</v>
      </c>
      <c r="Q189" s="46" t="s">
        <v>30</v>
      </c>
      <c r="R189" s="46" t="s">
        <v>29</v>
      </c>
      <c r="S189" s="46" t="s">
        <v>29</v>
      </c>
      <c r="T189" s="46" t="s">
        <v>29</v>
      </c>
      <c r="U189" s="46" t="s">
        <v>29</v>
      </c>
      <c r="V189" s="46" t="s">
        <v>29</v>
      </c>
      <c r="W189" s="46" t="s">
        <v>29</v>
      </c>
      <c r="X189" s="46" t="s">
        <v>30</v>
      </c>
      <c r="Y189" s="46" t="s">
        <v>29</v>
      </c>
      <c r="Z189" s="46" t="s">
        <v>29</v>
      </c>
      <c r="AA189" s="46" t="s">
        <v>29</v>
      </c>
      <c r="AB189" s="46" t="s">
        <v>29</v>
      </c>
      <c r="AC189" s="46" t="s">
        <v>29</v>
      </c>
      <c r="AD189" s="46" t="s">
        <v>29</v>
      </c>
      <c r="AE189" s="46" t="s">
        <v>29</v>
      </c>
      <c r="AF189" s="46" t="s">
        <v>29</v>
      </c>
      <c r="AG189" s="46" t="s">
        <v>30</v>
      </c>
      <c r="AH189" s="46" t="s">
        <v>31</v>
      </c>
      <c r="AI189" s="46" t="s">
        <v>29</v>
      </c>
      <c r="AJ189" s="46">
        <f>=SUM(E190:AI190)</f>
      </c>
      <c r="AK189" s="46">
        <f>=+AY189</f>
      </c>
      <c r="AL189" s="46"/>
      <c r="AM189" s="1"/>
      <c r="AN189" s="1">
        <f>=COUNTIF(E189:AI189,"A")+COUNTIF(E189:AI189,"B")+COUNTIF(E189:AI189,"C")+COUNTIF(E189:AI189,"D")+COUNTIF(E189:AI189,"E")+COUNTIF(E189:AI189,"F")+COUNTIF(E189:AI189,"M")+COUNTIF(E189:AI189,"AB")+COUNTIF(E189:AI189,"UZ")+COUNTIF(E189:AI189,"G")+(COUNTIF(E189:AI189,"RT.")/2)+(COUNTIF(E189:AI189,"ÇRT.")/2)</f>
      </c>
      <c r="AO189" s="1">
        <f>=COUNTIF(E189:AI189,"O")</f>
      </c>
      <c r="AP189" s="1">
        <f>=COUNTIF(E189:AI189,"RT")+(COUNTIF(E189:AI189,"RT.")/2)</f>
      </c>
      <c r="AQ189" s="1">
        <f>=COUNTIF(E189:AI189,"ÇRT")+(COUNTIF(E189:AI189,"ÇRT.")/2)</f>
      </c>
      <c r="AR189" s="1">
        <f>=COUNTIF(E189:AI189,"ÇHT")</f>
      </c>
      <c r="AS189" s="1">
        <f>=COUNTIF(E189:AI189,"Ö")+COUNTIF(E189:AI189,"T")</f>
      </c>
      <c r="AT189" s="1">
        <f>=COUNTIF(E189:AI189,"Y")</f>
      </c>
      <c r="AU189" s="1">
        <f>=COUNTIF(E189:AI189,"R.")</f>
      </c>
      <c r="AV189" s="1">
        <f>=COUNTIF(E189:AI189,"Ü")</f>
      </c>
      <c r="AW189" s="1">
        <f>=COUNTIF(E189:AI189,"R")</f>
      </c>
      <c r="AX189" s="1">
        <f>=COUNTIF(E189:AI189,"DV")</f>
      </c>
      <c r="AY189" s="1">
        <f>=+AN189+AO189+AP189+AQ189+AR189+AS189+AT189+AU189</f>
      </c>
    </row>
    <row r="190" ht="16" customHeight="1" spans="1:51" x14ac:dyDescent="0.25">
      <c r="A190" s="46"/>
      <c r="B190" s="46"/>
      <c r="C190" s="46"/>
      <c r="D190" s="46" t="s">
        <v>32</v>
      </c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ht="16" customHeight="1" spans="1:51" x14ac:dyDescent="0.25">
      <c r="A191" s="46">
        <v>92</v>
      </c>
      <c r="B191" s="46" t="s">
        <v>224</v>
      </c>
      <c r="C191" s="46" t="s">
        <v>225</v>
      </c>
      <c r="D191" s="46" t="s">
        <v>28</v>
      </c>
      <c r="E191" s="46" t="s">
        <v>29</v>
      </c>
      <c r="F191" s="46" t="s">
        <v>29</v>
      </c>
      <c r="G191" s="46" t="s">
        <v>29</v>
      </c>
      <c r="H191" s="46" t="s">
        <v>29</v>
      </c>
      <c r="I191" s="46" t="s">
        <v>29</v>
      </c>
      <c r="J191" s="46" t="s">
        <v>30</v>
      </c>
      <c r="K191" s="46" t="s">
        <v>29</v>
      </c>
      <c r="L191" s="46" t="s">
        <v>29</v>
      </c>
      <c r="M191" s="46" t="s">
        <v>29</v>
      </c>
      <c r="N191" s="46" t="s">
        <v>29</v>
      </c>
      <c r="O191" s="46" t="s">
        <v>29</v>
      </c>
      <c r="P191" s="46" t="s">
        <v>29</v>
      </c>
      <c r="Q191" s="46" t="s">
        <v>29</v>
      </c>
      <c r="R191" s="46" t="s">
        <v>30</v>
      </c>
      <c r="S191" s="46" t="s">
        <v>29</v>
      </c>
      <c r="T191" s="46" t="s">
        <v>29</v>
      </c>
      <c r="U191" s="46" t="s">
        <v>29</v>
      </c>
      <c r="V191" s="46" t="s">
        <v>29</v>
      </c>
      <c r="W191" s="46" t="s">
        <v>29</v>
      </c>
      <c r="X191" s="46" t="s">
        <v>30</v>
      </c>
      <c r="Y191" s="46" t="s">
        <v>29</v>
      </c>
      <c r="Z191" s="46" t="s">
        <v>29</v>
      </c>
      <c r="AA191" s="46" t="s">
        <v>29</v>
      </c>
      <c r="AB191" s="46" t="s">
        <v>29</v>
      </c>
      <c r="AC191" s="46" t="s">
        <v>29</v>
      </c>
      <c r="AD191" s="46" t="s">
        <v>29</v>
      </c>
      <c r="AE191" s="46" t="s">
        <v>30</v>
      </c>
      <c r="AF191" s="46" t="s">
        <v>29</v>
      </c>
      <c r="AG191" s="46" t="s">
        <v>29</v>
      </c>
      <c r="AH191" s="46" t="s">
        <v>31</v>
      </c>
      <c r="AI191" s="46" t="s">
        <v>29</v>
      </c>
      <c r="AJ191" s="46">
        <f>=SUM(E192:AI192)</f>
      </c>
      <c r="AK191" s="46">
        <f>=+AY191</f>
      </c>
      <c r="AL191" s="46"/>
      <c r="AM191" s="1"/>
      <c r="AN191" s="1">
        <f>=COUNTIF(E191:AI191,"A")+COUNTIF(E191:AI191,"B")+COUNTIF(E191:AI191,"C")+COUNTIF(E191:AI191,"D")+COUNTIF(E191:AI191,"E")+COUNTIF(E191:AI191,"F")+COUNTIF(E191:AI191,"M")+COUNTIF(E191:AI191,"AB")+COUNTIF(E191:AI191,"UZ")+COUNTIF(E191:AI191,"G")+(COUNTIF(E191:AI191,"RT.")/2)+(COUNTIF(E191:AI191,"ÇRT.")/2)</f>
      </c>
      <c r="AO191" s="1">
        <f>=COUNTIF(E191:AI191,"O")</f>
      </c>
      <c r="AP191" s="1">
        <f>=COUNTIF(E191:AI191,"RT")+(COUNTIF(E191:AI191,"RT.")/2)</f>
      </c>
      <c r="AQ191" s="1">
        <f>=COUNTIF(E191:AI191,"ÇRT")+(COUNTIF(E191:AI191,"ÇRT.")/2)</f>
      </c>
      <c r="AR191" s="1">
        <f>=COUNTIF(E191:AI191,"ÇHT")</f>
      </c>
      <c r="AS191" s="1">
        <f>=COUNTIF(E191:AI191,"Ö")+COUNTIF(E191:AI191,"T")</f>
      </c>
      <c r="AT191" s="1">
        <f>=COUNTIF(E191:AI191,"Y")</f>
      </c>
      <c r="AU191" s="1">
        <f>=COUNTIF(E191:AI191,"R.")</f>
      </c>
      <c r="AV191" s="1">
        <f>=COUNTIF(E191:AI191,"Ü")</f>
      </c>
      <c r="AW191" s="1">
        <f>=COUNTIF(E191:AI191,"R")</f>
      </c>
      <c r="AX191" s="1">
        <f>=COUNTIF(E191:AI191,"DV")</f>
      </c>
      <c r="AY191" s="1">
        <f>=+AN191+AO191+AP191+AQ191+AR191+AS191+AT191+AU191</f>
      </c>
    </row>
    <row r="192" ht="16" customHeight="1" spans="1:51" x14ac:dyDescent="0.25">
      <c r="A192" s="46"/>
      <c r="B192" s="46"/>
      <c r="C192" s="46"/>
      <c r="D192" s="46" t="s">
        <v>32</v>
      </c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>
        <v>2</v>
      </c>
      <c r="AG192" s="46"/>
      <c r="AH192" s="46"/>
      <c r="AI192" s="46"/>
      <c r="AJ192" s="46"/>
      <c r="AK192" s="46"/>
      <c r="AL192" s="46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ht="16" customHeight="1" spans="1:51" x14ac:dyDescent="0.25">
      <c r="A193" s="46">
        <v>93</v>
      </c>
      <c r="B193" s="46" t="s">
        <v>226</v>
      </c>
      <c r="C193" s="46" t="s">
        <v>227</v>
      </c>
      <c r="D193" s="46" t="s">
        <v>28</v>
      </c>
      <c r="E193" s="46" t="s">
        <v>47</v>
      </c>
      <c r="F193" s="46" t="s">
        <v>47</v>
      </c>
      <c r="G193" s="46" t="s">
        <v>79</v>
      </c>
      <c r="H193" s="46" t="s">
        <v>79</v>
      </c>
      <c r="I193" s="46" t="s">
        <v>79</v>
      </c>
      <c r="J193" s="46" t="s">
        <v>79</v>
      </c>
      <c r="K193" s="46" t="s">
        <v>79</v>
      </c>
      <c r="L193" s="46" t="s">
        <v>79</v>
      </c>
      <c r="M193" s="46" t="s">
        <v>79</v>
      </c>
      <c r="N193" s="46" t="s">
        <v>79</v>
      </c>
      <c r="O193" s="46" t="s">
        <v>79</v>
      </c>
      <c r="P193" s="46" t="s">
        <v>79</v>
      </c>
      <c r="Q193" s="46" t="s">
        <v>79</v>
      </c>
      <c r="R193" s="46" t="s">
        <v>79</v>
      </c>
      <c r="S193" s="46" t="s">
        <v>79</v>
      </c>
      <c r="T193" s="46" t="s">
        <v>79</v>
      </c>
      <c r="U193" s="46" t="s">
        <v>79</v>
      </c>
      <c r="V193" s="46" t="s">
        <v>79</v>
      </c>
      <c r="W193" s="46" t="s">
        <v>79</v>
      </c>
      <c r="X193" s="46" t="s">
        <v>79</v>
      </c>
      <c r="Y193" s="46" t="s">
        <v>79</v>
      </c>
      <c r="Z193" s="46" t="s">
        <v>79</v>
      </c>
      <c r="AA193" s="46" t="s">
        <v>79</v>
      </c>
      <c r="AB193" s="46" t="s">
        <v>79</v>
      </c>
      <c r="AC193" s="46" t="s">
        <v>79</v>
      </c>
      <c r="AD193" s="46" t="s">
        <v>79</v>
      </c>
      <c r="AE193" s="46" t="s">
        <v>79</v>
      </c>
      <c r="AF193" s="46" t="s">
        <v>79</v>
      </c>
      <c r="AG193" s="46" t="s">
        <v>79</v>
      </c>
      <c r="AH193" s="46" t="s">
        <v>79</v>
      </c>
      <c r="AI193" s="46" t="s">
        <v>79</v>
      </c>
      <c r="AJ193" s="46">
        <f>=SUM(E194:AI194)</f>
      </c>
      <c r="AK193" s="46">
        <f>=+AY193</f>
      </c>
      <c r="AL193" s="46"/>
      <c r="AM193" s="1"/>
      <c r="AN193" s="1">
        <f>=COUNTIF(E193:AI193,"A")+COUNTIF(E193:AI193,"B")+COUNTIF(E193:AI193,"C")+COUNTIF(E193:AI193,"D")+COUNTIF(E193:AI193,"E")+COUNTIF(E193:AI193,"F")+COUNTIF(E193:AI193,"M")+COUNTIF(E193:AI193,"AB")+COUNTIF(E193:AI193,"UZ")+COUNTIF(E193:AI193,"G")+(COUNTIF(E193:AI193,"RT.")/2)+(COUNTIF(E193:AI193,"ÇRT.")/2)</f>
      </c>
      <c r="AO193" s="1">
        <f>=COUNTIF(E193:AI193,"O")</f>
      </c>
      <c r="AP193" s="1">
        <f>=COUNTIF(E193:AI193,"RT")+(COUNTIF(E193:AI193,"RT.")/2)</f>
      </c>
      <c r="AQ193" s="1">
        <f>=COUNTIF(E193:AI193,"ÇRT")+(COUNTIF(E193:AI193,"ÇRT.")/2)</f>
      </c>
      <c r="AR193" s="1">
        <f>=COUNTIF(E193:AI193,"ÇHT")</f>
      </c>
      <c r="AS193" s="1">
        <f>=COUNTIF(E193:AI193,"Ö")+COUNTIF(E193:AI193,"T")</f>
      </c>
      <c r="AT193" s="1">
        <f>=COUNTIF(E193:AI193,"Y")</f>
      </c>
      <c r="AU193" s="1">
        <f>=COUNTIF(E193:AI193,"R.")</f>
      </c>
      <c r="AV193" s="1">
        <f>=COUNTIF(E193:AI193,"Ü")</f>
      </c>
      <c r="AW193" s="1">
        <f>=COUNTIF(E193:AI193,"R")</f>
      </c>
      <c r="AX193" s="1">
        <f>=COUNTIF(E193:AI193,"DV")</f>
      </c>
      <c r="AY193" s="1">
        <f>=+AN193+AO193+AP193+AQ193+AR193+AS193+AT193+AU193</f>
      </c>
    </row>
    <row r="194" ht="16" customHeight="1" spans="1:51" x14ac:dyDescent="0.25">
      <c r="A194" s="46"/>
      <c r="B194" s="46"/>
      <c r="C194" s="46"/>
      <c r="D194" s="46" t="s">
        <v>32</v>
      </c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ht="16" customHeight="1" spans="1:51" x14ac:dyDescent="0.25">
      <c r="A195" s="46">
        <v>94</v>
      </c>
      <c r="B195" s="46" t="s">
        <v>228</v>
      </c>
      <c r="C195" s="46" t="s">
        <v>229</v>
      </c>
      <c r="D195" s="46" t="s">
        <v>28</v>
      </c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 t="s">
        <v>29</v>
      </c>
      <c r="W195" s="46" t="s">
        <v>29</v>
      </c>
      <c r="X195" s="46" t="s">
        <v>29</v>
      </c>
      <c r="Y195" s="46" t="s">
        <v>29</v>
      </c>
      <c r="Z195" s="46" t="s">
        <v>29</v>
      </c>
      <c r="AA195" s="46" t="s">
        <v>29</v>
      </c>
      <c r="AB195" s="46" t="s">
        <v>30</v>
      </c>
      <c r="AC195" s="46" t="s">
        <v>29</v>
      </c>
      <c r="AD195" s="46" t="s">
        <v>29</v>
      </c>
      <c r="AE195" s="46" t="s">
        <v>29</v>
      </c>
      <c r="AF195" s="46" t="s">
        <v>29</v>
      </c>
      <c r="AG195" s="46" t="s">
        <v>29</v>
      </c>
      <c r="AH195" s="46" t="s">
        <v>31</v>
      </c>
      <c r="AI195" s="46" t="s">
        <v>29</v>
      </c>
      <c r="AJ195" s="46">
        <f>=SUM(E196:AI196)</f>
      </c>
      <c r="AK195" s="46">
        <f>=+AY195</f>
      </c>
      <c r="AL195" s="46"/>
      <c r="AM195" s="1"/>
      <c r="AN195" s="1">
        <f>=COUNTIF(E195:AI195,"A")+COUNTIF(E195:AI195,"B")+COUNTIF(E195:AI195,"C")+COUNTIF(E195:AI195,"D")+COUNTIF(E195:AI195,"E")+COUNTIF(E195:AI195,"F")+COUNTIF(E195:AI195,"M")+COUNTIF(E195:AI195,"AB")+COUNTIF(E195:AI195,"UZ")+COUNTIF(E195:AI195,"G")+(COUNTIF(E195:AI195,"RT.")/2)+(COUNTIF(E195:AI195,"ÇRT.")/2)</f>
      </c>
      <c r="AO195" s="1">
        <f>=COUNTIF(E195:AI195,"O")</f>
      </c>
      <c r="AP195" s="1">
        <f>=COUNTIF(E195:AI195,"RT")+(COUNTIF(E195:AI195,"RT.")/2)</f>
      </c>
      <c r="AQ195" s="1">
        <f>=COUNTIF(E195:AI195,"ÇRT")+(COUNTIF(E195:AI195,"ÇRT.")/2)</f>
      </c>
      <c r="AR195" s="1">
        <f>=COUNTIF(E195:AI195,"ÇHT")</f>
      </c>
      <c r="AS195" s="1">
        <f>=COUNTIF(E195:AI195,"Ö")+COUNTIF(E195:AI195,"T")</f>
      </c>
      <c r="AT195" s="1">
        <f>=COUNTIF(E195:AI195,"Y")</f>
      </c>
      <c r="AU195" s="1">
        <f>=COUNTIF(E195:AI195,"R.")</f>
      </c>
      <c r="AV195" s="1">
        <f>=COUNTIF(E195:AI195,"Ü")</f>
      </c>
      <c r="AW195" s="1">
        <f>=COUNTIF(E195:AI195,"R")</f>
      </c>
      <c r="AX195" s="1">
        <f>=COUNTIF(E195:AI195,"DV")</f>
      </c>
      <c r="AY195" s="1">
        <f>=+AN195+AO195+AP195+AQ195+AR195+AS195+AT195+AU195</f>
      </c>
    </row>
    <row r="196" ht="16" customHeight="1" spans="1:51" x14ac:dyDescent="0.25">
      <c r="A196" s="46"/>
      <c r="B196" s="46"/>
      <c r="C196" s="46"/>
      <c r="D196" s="46" t="s">
        <v>32</v>
      </c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>
        <v>2</v>
      </c>
      <c r="AG196" s="46"/>
      <c r="AH196" s="46"/>
      <c r="AI196" s="46"/>
      <c r="AJ196" s="46"/>
      <c r="AK196" s="46"/>
      <c r="AL196" s="46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ht="16" customHeight="1" spans="1:51" x14ac:dyDescent="0.25">
      <c r="A197" s="46">
        <v>95</v>
      </c>
      <c r="B197" s="46" t="s">
        <v>230</v>
      </c>
      <c r="C197" s="46" t="s">
        <v>231</v>
      </c>
      <c r="D197" s="46" t="s">
        <v>28</v>
      </c>
      <c r="E197" s="46" t="s">
        <v>232</v>
      </c>
      <c r="F197" s="46" t="s">
        <v>30</v>
      </c>
      <c r="G197" s="46" t="s">
        <v>232</v>
      </c>
      <c r="H197" s="46" t="s">
        <v>232</v>
      </c>
      <c r="I197" s="46" t="s">
        <v>232</v>
      </c>
      <c r="J197" s="46" t="s">
        <v>232</v>
      </c>
      <c r="K197" s="46" t="s">
        <v>232</v>
      </c>
      <c r="L197" s="46" t="s">
        <v>232</v>
      </c>
      <c r="M197" s="46" t="s">
        <v>30</v>
      </c>
      <c r="N197" s="46" t="s">
        <v>232</v>
      </c>
      <c r="O197" s="46" t="s">
        <v>232</v>
      </c>
      <c r="P197" s="46" t="s">
        <v>232</v>
      </c>
      <c r="Q197" s="46" t="s">
        <v>232</v>
      </c>
      <c r="R197" s="46" t="s">
        <v>232</v>
      </c>
      <c r="S197" s="46" t="s">
        <v>232</v>
      </c>
      <c r="T197" s="46" t="s">
        <v>30</v>
      </c>
      <c r="U197" s="46" t="s">
        <v>232</v>
      </c>
      <c r="V197" s="46" t="s">
        <v>232</v>
      </c>
      <c r="W197" s="46" t="s">
        <v>232</v>
      </c>
      <c r="X197" s="46" t="s">
        <v>232</v>
      </c>
      <c r="Y197" s="46" t="s">
        <v>232</v>
      </c>
      <c r="Z197" s="46" t="s">
        <v>232</v>
      </c>
      <c r="AA197" s="46" t="s">
        <v>30</v>
      </c>
      <c r="AB197" s="46" t="s">
        <v>232</v>
      </c>
      <c r="AC197" s="46" t="s">
        <v>232</v>
      </c>
      <c r="AD197" s="46" t="s">
        <v>232</v>
      </c>
      <c r="AE197" s="46" t="s">
        <v>232</v>
      </c>
      <c r="AF197" s="46" t="s">
        <v>232</v>
      </c>
      <c r="AG197" s="46" t="s">
        <v>232</v>
      </c>
      <c r="AH197" s="46" t="s">
        <v>31</v>
      </c>
      <c r="AI197" s="46" t="s">
        <v>232</v>
      </c>
      <c r="AJ197" s="46">
        <f>=SUM(E198:AI198)</f>
      </c>
      <c r="AK197" s="46">
        <f>=+AY197</f>
      </c>
      <c r="AL197" s="46"/>
      <c r="AM197" s="1"/>
      <c r="AN197" s="1">
        <f>=COUNTIF(E197:AI197,"A")+COUNTIF(E197:AI197,"B")+COUNTIF(E197:AI197,"C")+COUNTIF(E197:AI197,"D")+COUNTIF(E197:AI197,"E")+COUNTIF(E197:AI197,"F")+COUNTIF(E197:AI197,"M")+COUNTIF(E197:AI197,"AB")+COUNTIF(E197:AI197,"UZ")+COUNTIF(E197:AI197,"G")+(COUNTIF(E197:AI197,"RT.")/2)+(COUNTIF(E197:AI197,"ÇRT.")/2)</f>
      </c>
      <c r="AO197" s="1">
        <f>=COUNTIF(E197:AI197,"O")</f>
      </c>
      <c r="AP197" s="1">
        <f>=COUNTIF(E197:AI197,"RT")+(COUNTIF(E197:AI197,"RT.")/2)</f>
      </c>
      <c r="AQ197" s="1">
        <f>=COUNTIF(E197:AI197,"ÇRT")+(COUNTIF(E197:AI197,"ÇRT.")/2)</f>
      </c>
      <c r="AR197" s="1">
        <f>=COUNTIF(E197:AI197,"ÇHT")</f>
      </c>
      <c r="AS197" s="1">
        <f>=COUNTIF(E197:AI197,"Ö")+COUNTIF(E197:AI197,"T")</f>
      </c>
      <c r="AT197" s="1">
        <f>=COUNTIF(E197:AI197,"Y")</f>
      </c>
      <c r="AU197" s="1">
        <f>=COUNTIF(E197:AI197,"R.")</f>
      </c>
      <c r="AV197" s="1">
        <f>=COUNTIF(E197:AI197,"Ü")</f>
      </c>
      <c r="AW197" s="1">
        <f>=COUNTIF(E197:AI197,"R")</f>
      </c>
      <c r="AX197" s="1">
        <f>=COUNTIF(E197:AI197,"DV")</f>
      </c>
      <c r="AY197" s="1">
        <f>=+AN197+AO197+AP197+AQ197+AR197+AS197+AT197+AU197</f>
      </c>
    </row>
    <row r="198" ht="16" customHeight="1" spans="1:51" x14ac:dyDescent="0.25">
      <c r="A198" s="46"/>
      <c r="B198" s="46"/>
      <c r="C198" s="46"/>
      <c r="D198" s="46" t="s">
        <v>32</v>
      </c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ht="16" customHeight="1" spans="1:51" x14ac:dyDescent="0.25">
      <c r="A199" s="46">
        <v>96</v>
      </c>
      <c r="B199" s="46" t="s">
        <v>233</v>
      </c>
      <c r="C199" s="46" t="s">
        <v>234</v>
      </c>
      <c r="D199" s="46" t="s">
        <v>28</v>
      </c>
      <c r="E199" s="46" t="s">
        <v>29</v>
      </c>
      <c r="F199" s="46" t="s">
        <v>30</v>
      </c>
      <c r="G199" s="46" t="s">
        <v>29</v>
      </c>
      <c r="H199" s="46" t="s">
        <v>29</v>
      </c>
      <c r="I199" s="46" t="s">
        <v>29</v>
      </c>
      <c r="J199" s="46" t="s">
        <v>29</v>
      </c>
      <c r="K199" s="46" t="s">
        <v>29</v>
      </c>
      <c r="L199" s="46" t="s">
        <v>29</v>
      </c>
      <c r="M199" s="46" t="s">
        <v>30</v>
      </c>
      <c r="N199" s="46" t="s">
        <v>29</v>
      </c>
      <c r="O199" s="46" t="s">
        <v>29</v>
      </c>
      <c r="P199" s="46" t="s">
        <v>29</v>
      </c>
      <c r="Q199" s="46" t="s">
        <v>29</v>
      </c>
      <c r="R199" s="46" t="s">
        <v>29</v>
      </c>
      <c r="S199" s="46" t="s">
        <v>29</v>
      </c>
      <c r="T199" s="46" t="s">
        <v>30</v>
      </c>
      <c r="U199" s="46" t="s">
        <v>29</v>
      </c>
      <c r="V199" s="46" t="s">
        <v>29</v>
      </c>
      <c r="W199" s="46" t="s">
        <v>29</v>
      </c>
      <c r="X199" s="46" t="s">
        <v>29</v>
      </c>
      <c r="Y199" s="46" t="s">
        <v>29</v>
      </c>
      <c r="Z199" s="46" t="s">
        <v>29</v>
      </c>
      <c r="AA199" s="46" t="s">
        <v>30</v>
      </c>
      <c r="AB199" s="46" t="s">
        <v>29</v>
      </c>
      <c r="AC199" s="46" t="s">
        <v>29</v>
      </c>
      <c r="AD199" s="46" t="s">
        <v>29</v>
      </c>
      <c r="AE199" s="46" t="s">
        <v>29</v>
      </c>
      <c r="AF199" s="46" t="s">
        <v>29</v>
      </c>
      <c r="AG199" s="46" t="s">
        <v>29</v>
      </c>
      <c r="AH199" s="46" t="s">
        <v>30</v>
      </c>
      <c r="AI199" s="46" t="s">
        <v>29</v>
      </c>
      <c r="AJ199" s="46">
        <f>=SUM(E200:AI200)</f>
      </c>
      <c r="AK199" s="46">
        <f>=+AY199</f>
      </c>
      <c r="AL199" s="46"/>
      <c r="AM199" s="1"/>
      <c r="AN199" s="1">
        <f>=COUNTIF(E199:AI199,"A")+COUNTIF(E199:AI199,"B")+COUNTIF(E199:AI199,"C")+COUNTIF(E199:AI199,"D")+COUNTIF(E199:AI199,"E")+COUNTIF(E199:AI199,"F")+COUNTIF(E199:AI199,"M")+COUNTIF(E199:AI199,"AB")+COUNTIF(E199:AI199,"UZ")+COUNTIF(E199:AI199,"G")+(COUNTIF(E199:AI199,"RT.")/2)+(COUNTIF(E199:AI199,"ÇRT.")/2)</f>
      </c>
      <c r="AO199" s="1">
        <f>=COUNTIF(E199:AI199,"O")</f>
      </c>
      <c r="AP199" s="1">
        <f>=COUNTIF(E199:AI199,"RT")+(COUNTIF(E199:AI199,"RT.")/2)</f>
      </c>
      <c r="AQ199" s="1">
        <f>=COUNTIF(E199:AI199,"ÇRT")+(COUNTIF(E199:AI199,"ÇRT.")/2)</f>
      </c>
      <c r="AR199" s="1">
        <f>=COUNTIF(E199:AI199,"ÇHT")</f>
      </c>
      <c r="AS199" s="1">
        <f>=COUNTIF(E199:AI199,"Ö")+COUNTIF(E199:AI199,"T")</f>
      </c>
      <c r="AT199" s="1">
        <f>=COUNTIF(E199:AI199,"Y")</f>
      </c>
      <c r="AU199" s="1">
        <f>=COUNTIF(E199:AI199,"R.")</f>
      </c>
      <c r="AV199" s="1">
        <f>=COUNTIF(E199:AI199,"Ü")</f>
      </c>
      <c r="AW199" s="1">
        <f>=COUNTIF(E199:AI199,"R")</f>
      </c>
      <c r="AX199" s="1">
        <f>=COUNTIF(E199:AI199,"DV")</f>
      </c>
      <c r="AY199" s="1">
        <f>=+AN199+AO199+AP199+AQ199+AR199+AS199+AT199+AU199</f>
      </c>
    </row>
    <row r="200" ht="16" customHeight="1" spans="1:51" x14ac:dyDescent="0.25">
      <c r="A200" s="46"/>
      <c r="B200" s="46"/>
      <c r="C200" s="46"/>
      <c r="D200" s="46" t="s">
        <v>32</v>
      </c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ht="16" customHeight="1" spans="1:51" x14ac:dyDescent="0.25">
      <c r="A201" s="46">
        <v>97</v>
      </c>
      <c r="B201" s="46" t="s">
        <v>235</v>
      </c>
      <c r="C201" s="46" t="s">
        <v>236</v>
      </c>
      <c r="D201" s="46" t="s">
        <v>28</v>
      </c>
      <c r="E201" s="46" t="s">
        <v>29</v>
      </c>
      <c r="F201" s="46" t="s">
        <v>29</v>
      </c>
      <c r="G201" s="46" t="s">
        <v>29</v>
      </c>
      <c r="H201" s="46" t="s">
        <v>29</v>
      </c>
      <c r="I201" s="46" t="s">
        <v>30</v>
      </c>
      <c r="J201" s="46" t="s">
        <v>29</v>
      </c>
      <c r="K201" s="46" t="s">
        <v>29</v>
      </c>
      <c r="L201" s="46" t="s">
        <v>29</v>
      </c>
      <c r="M201" s="46" t="s">
        <v>29</v>
      </c>
      <c r="N201" s="46" t="s">
        <v>29</v>
      </c>
      <c r="O201" s="46" t="s">
        <v>29</v>
      </c>
      <c r="P201" s="46" t="s">
        <v>30</v>
      </c>
      <c r="Q201" s="46" t="s">
        <v>29</v>
      </c>
      <c r="R201" s="46" t="s">
        <v>29</v>
      </c>
      <c r="S201" s="46" t="s">
        <v>29</v>
      </c>
      <c r="T201" s="46" t="s">
        <v>29</v>
      </c>
      <c r="U201" s="46" t="s">
        <v>29</v>
      </c>
      <c r="V201" s="46" t="s">
        <v>29</v>
      </c>
      <c r="W201" s="46" t="s">
        <v>30</v>
      </c>
      <c r="X201" s="46" t="s">
        <v>29</v>
      </c>
      <c r="Y201" s="46" t="s">
        <v>29</v>
      </c>
      <c r="Z201" s="46" t="s">
        <v>29</v>
      </c>
      <c r="AA201" s="46" t="s">
        <v>29</v>
      </c>
      <c r="AB201" s="46" t="s">
        <v>29</v>
      </c>
      <c r="AC201" s="46" t="s">
        <v>29</v>
      </c>
      <c r="AD201" s="46" t="s">
        <v>30</v>
      </c>
      <c r="AE201" s="46" t="s">
        <v>29</v>
      </c>
      <c r="AF201" s="46" t="s">
        <v>29</v>
      </c>
      <c r="AG201" s="46" t="s">
        <v>29</v>
      </c>
      <c r="AH201" s="46" t="s">
        <v>31</v>
      </c>
      <c r="AI201" s="46" t="s">
        <v>29</v>
      </c>
      <c r="AJ201" s="46">
        <f>=SUM(E202:AI202)</f>
      </c>
      <c r="AK201" s="46">
        <f>=+AY201</f>
      </c>
      <c r="AL201" s="46"/>
      <c r="AM201" s="1"/>
      <c r="AN201" s="1">
        <f>=COUNTIF(E201:AI201,"A")+COUNTIF(E201:AI201,"B")+COUNTIF(E201:AI201,"C")+COUNTIF(E201:AI201,"D")+COUNTIF(E201:AI201,"E")+COUNTIF(E201:AI201,"F")+COUNTIF(E201:AI201,"M")+COUNTIF(E201:AI201,"AB")+COUNTIF(E201:AI201,"UZ")+COUNTIF(E201:AI201,"G")+(COUNTIF(E201:AI201,"RT.")/2)+(COUNTIF(E201:AI201,"ÇRT.")/2)</f>
      </c>
      <c r="AO201" s="1">
        <f>=COUNTIF(E201:AI201,"O")</f>
      </c>
      <c r="AP201" s="1">
        <f>=COUNTIF(E201:AI201,"RT")+(COUNTIF(E201:AI201,"RT.")/2)</f>
      </c>
      <c r="AQ201" s="1">
        <f>=COUNTIF(E201:AI201,"ÇRT")+(COUNTIF(E201:AI201,"ÇRT.")/2)</f>
      </c>
      <c r="AR201" s="1">
        <f>=COUNTIF(E201:AI201,"ÇHT")</f>
      </c>
      <c r="AS201" s="1">
        <f>=COUNTIF(E201:AI201,"Ö")+COUNTIF(E201:AI201,"T")</f>
      </c>
      <c r="AT201" s="1">
        <f>=COUNTIF(E201:AI201,"Y")</f>
      </c>
      <c r="AU201" s="1">
        <f>=COUNTIF(E201:AI201,"R.")</f>
      </c>
      <c r="AV201" s="1">
        <f>=COUNTIF(E201:AI201,"Ü")</f>
      </c>
      <c r="AW201" s="1">
        <f>=COUNTIF(E201:AI201,"R")</f>
      </c>
      <c r="AX201" s="1">
        <f>=COUNTIF(E201:AI201,"DV")</f>
      </c>
      <c r="AY201" s="1">
        <f>=+AN201+AO201+AP201+AQ201+AR201+AS201+AT201+AU201</f>
      </c>
    </row>
    <row r="202" ht="16" customHeight="1" spans="1:51" x14ac:dyDescent="0.25">
      <c r="A202" s="46"/>
      <c r="B202" s="46"/>
      <c r="C202" s="46"/>
      <c r="D202" s="46" t="s">
        <v>32</v>
      </c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ht="16" customHeight="1" spans="1:51" x14ac:dyDescent="0.25">
      <c r="A203" s="46">
        <v>98</v>
      </c>
      <c r="B203" s="46" t="s">
        <v>237</v>
      </c>
      <c r="C203" s="46" t="s">
        <v>238</v>
      </c>
      <c r="D203" s="46" t="s">
        <v>28</v>
      </c>
      <c r="E203" s="46" t="s">
        <v>29</v>
      </c>
      <c r="F203" s="46" t="s">
        <v>29</v>
      </c>
      <c r="G203" s="46" t="s">
        <v>29</v>
      </c>
      <c r="H203" s="46" t="s">
        <v>29</v>
      </c>
      <c r="I203" s="46" t="s">
        <v>30</v>
      </c>
      <c r="J203" s="46" t="s">
        <v>29</v>
      </c>
      <c r="K203" s="46" t="s">
        <v>29</v>
      </c>
      <c r="L203" s="46" t="s">
        <v>29</v>
      </c>
      <c r="M203" s="46" t="s">
        <v>29</v>
      </c>
      <c r="N203" s="46" t="s">
        <v>30</v>
      </c>
      <c r="O203" s="46" t="s">
        <v>68</v>
      </c>
      <c r="P203" s="46" t="s">
        <v>29</v>
      </c>
      <c r="Q203" s="46" t="s">
        <v>29</v>
      </c>
      <c r="R203" s="46" t="s">
        <v>29</v>
      </c>
      <c r="S203" s="46" t="s">
        <v>29</v>
      </c>
      <c r="T203" s="46" t="s">
        <v>30</v>
      </c>
      <c r="U203" s="46" t="s">
        <v>29</v>
      </c>
      <c r="V203" s="46" t="s">
        <v>29</v>
      </c>
      <c r="W203" s="46" t="s">
        <v>29</v>
      </c>
      <c r="X203" s="46" t="s">
        <v>29</v>
      </c>
      <c r="Y203" s="46" t="s">
        <v>29</v>
      </c>
      <c r="Z203" s="46" t="s">
        <v>29</v>
      </c>
      <c r="AA203" s="46" t="s">
        <v>29</v>
      </c>
      <c r="AB203" s="46" t="s">
        <v>30</v>
      </c>
      <c r="AC203" s="46" t="s">
        <v>29</v>
      </c>
      <c r="AD203" s="46" t="s">
        <v>29</v>
      </c>
      <c r="AE203" s="46" t="s">
        <v>29</v>
      </c>
      <c r="AF203" s="46" t="s">
        <v>29</v>
      </c>
      <c r="AG203" s="46" t="s">
        <v>29</v>
      </c>
      <c r="AH203" s="46" t="s">
        <v>31</v>
      </c>
      <c r="AI203" s="46" t="s">
        <v>30</v>
      </c>
      <c r="AJ203" s="46">
        <f>=SUM(E204:AI204)</f>
      </c>
      <c r="AK203" s="46">
        <f>=+AY203</f>
      </c>
      <c r="AL203" s="46"/>
      <c r="AM203" s="1"/>
      <c r="AN203" s="1">
        <f>=COUNTIF(E203:AI203,"A")+COUNTIF(E203:AI203,"B")+COUNTIF(E203:AI203,"C")+COUNTIF(E203:AI203,"D")+COUNTIF(E203:AI203,"E")+COUNTIF(E203:AI203,"F")+COUNTIF(E203:AI203,"M")+COUNTIF(E203:AI203,"AB")+COUNTIF(E203:AI203,"UZ")+COUNTIF(E203:AI203,"G")+(COUNTIF(E203:AI203,"RT.")/2)+(COUNTIF(E203:AI203,"ÇRT.")/2)</f>
      </c>
      <c r="AO203" s="1">
        <f>=COUNTIF(E203:AI203,"O")</f>
      </c>
      <c r="AP203" s="1">
        <f>=COUNTIF(E203:AI203,"RT")+(COUNTIF(E203:AI203,"RT.")/2)</f>
      </c>
      <c r="AQ203" s="1">
        <f>=COUNTIF(E203:AI203,"ÇRT")+(COUNTIF(E203:AI203,"ÇRT.")/2)</f>
      </c>
      <c r="AR203" s="1">
        <f>=COUNTIF(E203:AI203,"ÇHT")</f>
      </c>
      <c r="AS203" s="1">
        <f>=COUNTIF(E203:AI203,"Ö")+COUNTIF(E203:AI203,"T")</f>
      </c>
      <c r="AT203" s="1">
        <f>=COUNTIF(E203:AI203,"Y")</f>
      </c>
      <c r="AU203" s="1">
        <f>=COUNTIF(E203:AI203,"R.")</f>
      </c>
      <c r="AV203" s="1">
        <f>=COUNTIF(E203:AI203,"Ü")</f>
      </c>
      <c r="AW203" s="1">
        <f>=COUNTIF(E203:AI203,"R")</f>
      </c>
      <c r="AX203" s="1">
        <f>=COUNTIF(E203:AI203,"DV")</f>
      </c>
      <c r="AY203" s="1">
        <f>=+AN203+AO203+AP203+AQ203+AR203+AS203+AT203+AU203</f>
      </c>
    </row>
    <row r="204" ht="16" customHeight="1" spans="1:51" x14ac:dyDescent="0.25">
      <c r="A204" s="46"/>
      <c r="B204" s="46"/>
      <c r="C204" s="46"/>
      <c r="D204" s="46" t="s">
        <v>32</v>
      </c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ht="16" customHeight="1" spans="1:51" x14ac:dyDescent="0.25">
      <c r="A205" s="46">
        <v>99</v>
      </c>
      <c r="B205" s="46" t="s">
        <v>239</v>
      </c>
      <c r="C205" s="46" t="s">
        <v>240</v>
      </c>
      <c r="D205" s="46" t="s">
        <v>28</v>
      </c>
      <c r="E205" s="46" t="s">
        <v>50</v>
      </c>
      <c r="F205" s="46" t="s">
        <v>50</v>
      </c>
      <c r="G205" s="46" t="s">
        <v>50</v>
      </c>
      <c r="H205" s="46" t="s">
        <v>50</v>
      </c>
      <c r="I205" s="46" t="s">
        <v>50</v>
      </c>
      <c r="J205" s="46" t="s">
        <v>50</v>
      </c>
      <c r="K205" s="46" t="s">
        <v>30</v>
      </c>
      <c r="L205" s="46" t="s">
        <v>50</v>
      </c>
      <c r="M205" s="46" t="s">
        <v>50</v>
      </c>
      <c r="N205" s="46" t="s">
        <v>50</v>
      </c>
      <c r="O205" s="46" t="s">
        <v>50</v>
      </c>
      <c r="P205" s="46" t="s">
        <v>50</v>
      </c>
      <c r="Q205" s="46" t="s">
        <v>50</v>
      </c>
      <c r="R205" s="46" t="s">
        <v>30</v>
      </c>
      <c r="S205" s="46" t="s">
        <v>50</v>
      </c>
      <c r="T205" s="46" t="s">
        <v>50</v>
      </c>
      <c r="U205" s="46" t="s">
        <v>50</v>
      </c>
      <c r="V205" s="46" t="s">
        <v>50</v>
      </c>
      <c r="W205" s="46" t="s">
        <v>50</v>
      </c>
      <c r="X205" s="46" t="s">
        <v>50</v>
      </c>
      <c r="Y205" s="46" t="s">
        <v>30</v>
      </c>
      <c r="Z205" s="46" t="s">
        <v>50</v>
      </c>
      <c r="AA205" s="46" t="s">
        <v>50</v>
      </c>
      <c r="AB205" s="46" t="s">
        <v>50</v>
      </c>
      <c r="AC205" s="46" t="s">
        <v>50</v>
      </c>
      <c r="AD205" s="46" t="s">
        <v>50</v>
      </c>
      <c r="AE205" s="46" t="s">
        <v>50</v>
      </c>
      <c r="AF205" s="46" t="s">
        <v>30</v>
      </c>
      <c r="AG205" s="46" t="s">
        <v>50</v>
      </c>
      <c r="AH205" s="46" t="s">
        <v>31</v>
      </c>
      <c r="AI205" s="46" t="s">
        <v>50</v>
      </c>
      <c r="AJ205" s="46">
        <f>=SUM(E206:AI206)</f>
      </c>
      <c r="AK205" s="46">
        <f>=+AY205</f>
      </c>
      <c r="AL205" s="46"/>
      <c r="AM205" s="1"/>
      <c r="AN205" s="1">
        <f>=COUNTIF(E205:AI205,"A")+COUNTIF(E205:AI205,"B")+COUNTIF(E205:AI205,"C")+COUNTIF(E205:AI205,"D")+COUNTIF(E205:AI205,"E")+COUNTIF(E205:AI205,"F")+COUNTIF(E205:AI205,"M")+COUNTIF(E205:AI205,"AB")+COUNTIF(E205:AI205,"UZ")+COUNTIF(E205:AI205,"G")+(COUNTIF(E205:AI205,"RT.")/2)+(COUNTIF(E205:AI205,"ÇRT.")/2)</f>
      </c>
      <c r="AO205" s="1">
        <f>=COUNTIF(E205:AI205,"O")</f>
      </c>
      <c r="AP205" s="1">
        <f>=COUNTIF(E205:AI205,"RT")+(COUNTIF(E205:AI205,"RT.")/2)</f>
      </c>
      <c r="AQ205" s="1">
        <f>=COUNTIF(E205:AI205,"ÇRT")+(COUNTIF(E205:AI205,"ÇRT.")/2)</f>
      </c>
      <c r="AR205" s="1">
        <f>=COUNTIF(E205:AI205,"ÇHT")</f>
      </c>
      <c r="AS205" s="1">
        <f>=COUNTIF(E205:AI205,"Ö")+COUNTIF(E205:AI205,"T")</f>
      </c>
      <c r="AT205" s="1">
        <f>=COUNTIF(E205:AI205,"Y")</f>
      </c>
      <c r="AU205" s="1">
        <f>=COUNTIF(E205:AI205,"R.")</f>
      </c>
      <c r="AV205" s="1">
        <f>=COUNTIF(E205:AI205,"Ü")</f>
      </c>
      <c r="AW205" s="1">
        <f>=COUNTIF(E205:AI205,"R")</f>
      </c>
      <c r="AX205" s="1">
        <f>=COUNTIF(E205:AI205,"DV")</f>
      </c>
      <c r="AY205" s="1">
        <f>=+AN205+AO205+AP205+AQ205+AR205+AS205+AT205+AU205</f>
      </c>
    </row>
    <row r="206" ht="16" customHeight="1" spans="1:51" x14ac:dyDescent="0.25">
      <c r="A206" s="46"/>
      <c r="B206" s="46"/>
      <c r="C206" s="46"/>
      <c r="D206" s="46" t="s">
        <v>32</v>
      </c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ht="16" customHeight="1" spans="1:51" x14ac:dyDescent="0.25">
      <c r="A207" s="46">
        <v>100</v>
      </c>
      <c r="B207" s="46" t="s">
        <v>241</v>
      </c>
      <c r="C207" s="46" t="s">
        <v>242</v>
      </c>
      <c r="D207" s="46" t="s">
        <v>28</v>
      </c>
      <c r="E207" s="46" t="s">
        <v>29</v>
      </c>
      <c r="F207" s="46" t="s">
        <v>29</v>
      </c>
      <c r="G207" s="46" t="s">
        <v>29</v>
      </c>
      <c r="H207" s="46" t="s">
        <v>29</v>
      </c>
      <c r="I207" s="46" t="s">
        <v>30</v>
      </c>
      <c r="J207" s="46" t="s">
        <v>29</v>
      </c>
      <c r="K207" s="46" t="s">
        <v>29</v>
      </c>
      <c r="L207" s="46" t="s">
        <v>29</v>
      </c>
      <c r="M207" s="46" t="s">
        <v>29</v>
      </c>
      <c r="N207" s="46" t="s">
        <v>29</v>
      </c>
      <c r="O207" s="46" t="s">
        <v>29</v>
      </c>
      <c r="P207" s="46" t="s">
        <v>44</v>
      </c>
      <c r="Q207" s="46" t="s">
        <v>29</v>
      </c>
      <c r="R207" s="46" t="s">
        <v>29</v>
      </c>
      <c r="S207" s="46" t="s">
        <v>29</v>
      </c>
      <c r="T207" s="46" t="s">
        <v>29</v>
      </c>
      <c r="U207" s="46" t="s">
        <v>29</v>
      </c>
      <c r="V207" s="46" t="s">
        <v>29</v>
      </c>
      <c r="W207" s="46" t="s">
        <v>30</v>
      </c>
      <c r="X207" s="46" t="s">
        <v>29</v>
      </c>
      <c r="Y207" s="46" t="s">
        <v>29</v>
      </c>
      <c r="Z207" s="46" t="s">
        <v>29</v>
      </c>
      <c r="AA207" s="46" t="s">
        <v>29</v>
      </c>
      <c r="AB207" s="46" t="s">
        <v>29</v>
      </c>
      <c r="AC207" s="46" t="s">
        <v>29</v>
      </c>
      <c r="AD207" s="46" t="s">
        <v>30</v>
      </c>
      <c r="AE207" s="46" t="s">
        <v>29</v>
      </c>
      <c r="AF207" s="46" t="s">
        <v>29</v>
      </c>
      <c r="AG207" s="46" t="s">
        <v>29</v>
      </c>
      <c r="AH207" s="46" t="s">
        <v>31</v>
      </c>
      <c r="AI207" s="46" t="s">
        <v>29</v>
      </c>
      <c r="AJ207" s="46">
        <f>=SUM(E208:AI208)</f>
      </c>
      <c r="AK207" s="46">
        <f>=+AY207</f>
      </c>
      <c r="AL207" s="46"/>
      <c r="AM207" s="1"/>
      <c r="AN207" s="1">
        <f>=COUNTIF(E207:AI207,"A")+COUNTIF(E207:AI207,"B")+COUNTIF(E207:AI207,"C")+COUNTIF(E207:AI207,"D")+COUNTIF(E207:AI207,"E")+COUNTIF(E207:AI207,"F")+COUNTIF(E207:AI207,"M")+COUNTIF(E207:AI207,"AB")+COUNTIF(E207:AI207,"UZ")+COUNTIF(E207:AI207,"G")+(COUNTIF(E207:AI207,"RT.")/2)+(COUNTIF(E207:AI207,"ÇRT.")/2)</f>
      </c>
      <c r="AO207" s="1">
        <f>=COUNTIF(E207:AI207,"O")</f>
      </c>
      <c r="AP207" s="1">
        <f>=COUNTIF(E207:AI207,"RT")+(COUNTIF(E207:AI207,"RT.")/2)</f>
      </c>
      <c r="AQ207" s="1">
        <f>=COUNTIF(E207:AI207,"ÇRT")+(COUNTIF(E207:AI207,"ÇRT.")/2)</f>
      </c>
      <c r="AR207" s="1">
        <f>=COUNTIF(E207:AI207,"ÇHT")</f>
      </c>
      <c r="AS207" s="1">
        <f>=COUNTIF(E207:AI207,"Ö")+COUNTIF(E207:AI207,"T")</f>
      </c>
      <c r="AT207" s="1">
        <f>=COUNTIF(E207:AI207,"Y")</f>
      </c>
      <c r="AU207" s="1">
        <f>=COUNTIF(E207:AI207,"R.")</f>
      </c>
      <c r="AV207" s="1">
        <f>=COUNTIF(E207:AI207,"Ü")</f>
      </c>
      <c r="AW207" s="1">
        <f>=COUNTIF(E207:AI207,"R")</f>
      </c>
      <c r="AX207" s="1">
        <f>=COUNTIF(E207:AI207,"DV")</f>
      </c>
      <c r="AY207" s="1">
        <f>=+AN207+AO207+AP207+AQ207+AR207+AS207+AT207+AU207</f>
      </c>
    </row>
    <row r="208" ht="16" customHeight="1" spans="1:51" x14ac:dyDescent="0.25">
      <c r="A208" s="46"/>
      <c r="B208" s="46"/>
      <c r="C208" s="46"/>
      <c r="D208" s="46" t="s">
        <v>32</v>
      </c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>
        <v>2</v>
      </c>
      <c r="AG208" s="46"/>
      <c r="AH208" s="46"/>
      <c r="AI208" s="46"/>
      <c r="AJ208" s="46"/>
      <c r="AK208" s="46"/>
      <c r="AL208" s="46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ht="16" customHeight="1" spans="1:51" x14ac:dyDescent="0.25">
      <c r="A209" s="46">
        <v>101</v>
      </c>
      <c r="B209" s="46" t="s">
        <v>243</v>
      </c>
      <c r="C209" s="46" t="s">
        <v>244</v>
      </c>
      <c r="D209" s="46" t="s">
        <v>28</v>
      </c>
      <c r="E209" s="46" t="s">
        <v>29</v>
      </c>
      <c r="F209" s="46" t="s">
        <v>29</v>
      </c>
      <c r="G209" s="46" t="s">
        <v>30</v>
      </c>
      <c r="H209" s="46" t="s">
        <v>29</v>
      </c>
      <c r="I209" s="46" t="s">
        <v>29</v>
      </c>
      <c r="J209" s="46" t="s">
        <v>29</v>
      </c>
      <c r="K209" s="46" t="s">
        <v>30</v>
      </c>
      <c r="L209" s="46" t="s">
        <v>29</v>
      </c>
      <c r="M209" s="46" t="s">
        <v>29</v>
      </c>
      <c r="N209" s="46" t="s">
        <v>29</v>
      </c>
      <c r="O209" s="46" t="s">
        <v>29</v>
      </c>
      <c r="P209" s="46" t="s">
        <v>29</v>
      </c>
      <c r="Q209" s="46" t="s">
        <v>29</v>
      </c>
      <c r="R209" s="46" t="s">
        <v>30</v>
      </c>
      <c r="S209" s="46" t="s">
        <v>29</v>
      </c>
      <c r="T209" s="46" t="s">
        <v>29</v>
      </c>
      <c r="U209" s="46" t="s">
        <v>29</v>
      </c>
      <c r="V209" s="46" t="s">
        <v>29</v>
      </c>
      <c r="W209" s="46" t="s">
        <v>29</v>
      </c>
      <c r="X209" s="46" t="s">
        <v>29</v>
      </c>
      <c r="Y209" s="46" t="s">
        <v>44</v>
      </c>
      <c r="Z209" s="46" t="s">
        <v>29</v>
      </c>
      <c r="AA209" s="46" t="s">
        <v>29</v>
      </c>
      <c r="AB209" s="46" t="s">
        <v>29</v>
      </c>
      <c r="AC209" s="46" t="s">
        <v>29</v>
      </c>
      <c r="AD209" s="46" t="s">
        <v>29</v>
      </c>
      <c r="AE209" s="46" t="s">
        <v>29</v>
      </c>
      <c r="AF209" s="46" t="s">
        <v>30</v>
      </c>
      <c r="AG209" s="46" t="s">
        <v>29</v>
      </c>
      <c r="AH209" s="46" t="s">
        <v>31</v>
      </c>
      <c r="AI209" s="46" t="s">
        <v>29</v>
      </c>
      <c r="AJ209" s="46">
        <f>=SUM(E210:AI210)</f>
      </c>
      <c r="AK209" s="46">
        <f>=+AY209</f>
      </c>
      <c r="AL209" s="46"/>
      <c r="AM209" s="1"/>
      <c r="AN209" s="1">
        <f>=COUNTIF(E209:AI209,"A")+COUNTIF(E209:AI209,"B")+COUNTIF(E209:AI209,"C")+COUNTIF(E209:AI209,"D")+COUNTIF(E209:AI209,"E")+COUNTIF(E209:AI209,"F")+COUNTIF(E209:AI209,"M")+COUNTIF(E209:AI209,"AB")+COUNTIF(E209:AI209,"UZ")+COUNTIF(E209:AI209,"G")+(COUNTIF(E209:AI209,"RT.")/2)+(COUNTIF(E209:AI209,"ÇRT.")/2)</f>
      </c>
      <c r="AO209" s="1">
        <f>=COUNTIF(E209:AI209,"O")</f>
      </c>
      <c r="AP209" s="1">
        <f>=COUNTIF(E209:AI209,"RT")+(COUNTIF(E209:AI209,"RT.")/2)</f>
      </c>
      <c r="AQ209" s="1">
        <f>=COUNTIF(E209:AI209,"ÇRT")+(COUNTIF(E209:AI209,"ÇRT.")/2)</f>
      </c>
      <c r="AR209" s="1">
        <f>=COUNTIF(E209:AI209,"ÇHT")</f>
      </c>
      <c r="AS209" s="1">
        <f>=COUNTIF(E209:AI209,"Ö")+COUNTIF(E209:AI209,"T")</f>
      </c>
      <c r="AT209" s="1">
        <f>=COUNTIF(E209:AI209,"Y")</f>
      </c>
      <c r="AU209" s="1">
        <f>=COUNTIF(E209:AI209,"R.")</f>
      </c>
      <c r="AV209" s="1">
        <f>=COUNTIF(E209:AI209,"Ü")</f>
      </c>
      <c r="AW209" s="1">
        <f>=COUNTIF(E209:AI209,"R")</f>
      </c>
      <c r="AX209" s="1">
        <f>=COUNTIF(E209:AI209,"DV")</f>
      </c>
      <c r="AY209" s="1">
        <f>=+AN209+AO209+AP209+AQ209+AR209+AS209+AT209+AU209</f>
      </c>
    </row>
    <row r="210" ht="16" customHeight="1" spans="1:51" x14ac:dyDescent="0.25">
      <c r="A210" s="46"/>
      <c r="B210" s="46"/>
      <c r="C210" s="46"/>
      <c r="D210" s="46" t="s">
        <v>32</v>
      </c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ht="16" customHeight="1" spans="1:51" x14ac:dyDescent="0.25">
      <c r="A211" s="46">
        <v>102</v>
      </c>
      <c r="B211" s="46" t="s">
        <v>245</v>
      </c>
      <c r="C211" s="46" t="s">
        <v>246</v>
      </c>
      <c r="D211" s="46" t="s">
        <v>28</v>
      </c>
      <c r="E211" s="46" t="s">
        <v>29</v>
      </c>
      <c r="F211" s="46" t="s">
        <v>29</v>
      </c>
      <c r="G211" s="46" t="s">
        <v>29</v>
      </c>
      <c r="H211" s="46" t="s">
        <v>30</v>
      </c>
      <c r="I211" s="46" t="s">
        <v>29</v>
      </c>
      <c r="J211" s="46" t="s">
        <v>29</v>
      </c>
      <c r="K211" s="46" t="s">
        <v>29</v>
      </c>
      <c r="L211" s="46" t="s">
        <v>29</v>
      </c>
      <c r="M211" s="46" t="s">
        <v>29</v>
      </c>
      <c r="N211" s="46" t="s">
        <v>29</v>
      </c>
      <c r="O211" s="46" t="s">
        <v>30</v>
      </c>
      <c r="P211" s="46" t="s">
        <v>29</v>
      </c>
      <c r="Q211" s="46" t="s">
        <v>29</v>
      </c>
      <c r="R211" s="46" t="s">
        <v>29</v>
      </c>
      <c r="S211" s="46" t="s">
        <v>29</v>
      </c>
      <c r="T211" s="46" t="s">
        <v>29</v>
      </c>
      <c r="U211" s="46" t="s">
        <v>29</v>
      </c>
      <c r="V211" s="46" t="s">
        <v>30</v>
      </c>
      <c r="W211" s="46" t="s">
        <v>29</v>
      </c>
      <c r="X211" s="46" t="s">
        <v>29</v>
      </c>
      <c r="Y211" s="46" t="s">
        <v>29</v>
      </c>
      <c r="Z211" s="46" t="s">
        <v>29</v>
      </c>
      <c r="AA211" s="46" t="s">
        <v>29</v>
      </c>
      <c r="AB211" s="46" t="s">
        <v>29</v>
      </c>
      <c r="AC211" s="46" t="s">
        <v>30</v>
      </c>
      <c r="AD211" s="46" t="s">
        <v>29</v>
      </c>
      <c r="AE211" s="46" t="s">
        <v>29</v>
      </c>
      <c r="AF211" s="46" t="s">
        <v>29</v>
      </c>
      <c r="AG211" s="46" t="s">
        <v>29</v>
      </c>
      <c r="AH211" s="46" t="s">
        <v>31</v>
      </c>
      <c r="AI211" s="46" t="s">
        <v>29</v>
      </c>
      <c r="AJ211" s="46">
        <f>=SUM(E212:AI212)</f>
      </c>
      <c r="AK211" s="46">
        <f>=+AY211</f>
      </c>
      <c r="AL211" s="46"/>
      <c r="AM211" s="1"/>
      <c r="AN211" s="1">
        <f>=COUNTIF(E211:AI211,"A")+COUNTIF(E211:AI211,"B")+COUNTIF(E211:AI211,"C")+COUNTIF(E211:AI211,"D")+COUNTIF(E211:AI211,"E")+COUNTIF(E211:AI211,"F")+COUNTIF(E211:AI211,"M")+COUNTIF(E211:AI211,"AB")+COUNTIF(E211:AI211,"UZ")+COUNTIF(E211:AI211,"G")+(COUNTIF(E211:AI211,"RT.")/2)+(COUNTIF(E211:AI211,"ÇRT.")/2)</f>
      </c>
      <c r="AO211" s="1">
        <f>=COUNTIF(E211:AI211,"O")</f>
      </c>
      <c r="AP211" s="1">
        <f>=COUNTIF(E211:AI211,"RT")+(COUNTIF(E211:AI211,"RT.")/2)</f>
      </c>
      <c r="AQ211" s="1">
        <f>=COUNTIF(E211:AI211,"ÇRT")+(COUNTIF(E211:AI211,"ÇRT.")/2)</f>
      </c>
      <c r="AR211" s="1">
        <f>=COUNTIF(E211:AI211,"ÇHT")</f>
      </c>
      <c r="AS211" s="1">
        <f>=COUNTIF(E211:AI211,"Ö")+COUNTIF(E211:AI211,"T")</f>
      </c>
      <c r="AT211" s="1">
        <f>=COUNTIF(E211:AI211,"Y")</f>
      </c>
      <c r="AU211" s="1">
        <f>=COUNTIF(E211:AI211,"R.")</f>
      </c>
      <c r="AV211" s="1">
        <f>=COUNTIF(E211:AI211,"Ü")</f>
      </c>
      <c r="AW211" s="1">
        <f>=COUNTIF(E211:AI211,"R")</f>
      </c>
      <c r="AX211" s="1">
        <f>=COUNTIF(E211:AI211,"DV")</f>
      </c>
      <c r="AY211" s="1">
        <f>=+AN211+AO211+AP211+AQ211+AR211+AS211+AT211+AU211</f>
      </c>
    </row>
    <row r="212" ht="16" customHeight="1" spans="1:51" x14ac:dyDescent="0.25">
      <c r="A212" s="46"/>
      <c r="B212" s="46"/>
      <c r="C212" s="46"/>
      <c r="D212" s="46" t="s">
        <v>32</v>
      </c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ht="16" customHeight="1" spans="1:51" x14ac:dyDescent="0.25">
      <c r="A213" s="46">
        <v>103</v>
      </c>
      <c r="B213" s="46" t="s">
        <v>247</v>
      </c>
      <c r="C213" s="46" t="s">
        <v>248</v>
      </c>
      <c r="D213" s="46" t="s">
        <v>28</v>
      </c>
      <c r="E213" s="46" t="s">
        <v>41</v>
      </c>
      <c r="F213" s="46" t="s">
        <v>41</v>
      </c>
      <c r="G213" s="46" t="s">
        <v>41</v>
      </c>
      <c r="H213" s="46" t="s">
        <v>41</v>
      </c>
      <c r="I213" s="46" t="s">
        <v>41</v>
      </c>
      <c r="J213" s="46" t="s">
        <v>30</v>
      </c>
      <c r="K213" s="46" t="s">
        <v>41</v>
      </c>
      <c r="L213" s="46" t="s">
        <v>29</v>
      </c>
      <c r="M213" s="46" t="s">
        <v>29</v>
      </c>
      <c r="N213" s="46" t="s">
        <v>29</v>
      </c>
      <c r="O213" s="46" t="s">
        <v>29</v>
      </c>
      <c r="P213" s="46" t="s">
        <v>29</v>
      </c>
      <c r="Q213" s="46" t="s">
        <v>30</v>
      </c>
      <c r="R213" s="46" t="s">
        <v>29</v>
      </c>
      <c r="S213" s="46" t="s">
        <v>41</v>
      </c>
      <c r="T213" s="46" t="s">
        <v>29</v>
      </c>
      <c r="U213" s="46" t="s">
        <v>29</v>
      </c>
      <c r="V213" s="46" t="s">
        <v>41</v>
      </c>
      <c r="W213" s="46" t="s">
        <v>29</v>
      </c>
      <c r="X213" s="46" t="s">
        <v>30</v>
      </c>
      <c r="Y213" s="46" t="s">
        <v>41</v>
      </c>
      <c r="Z213" s="46" t="s">
        <v>29</v>
      </c>
      <c r="AA213" s="46" t="s">
        <v>29</v>
      </c>
      <c r="AB213" s="46" t="s">
        <v>29</v>
      </c>
      <c r="AC213" s="46" t="s">
        <v>29</v>
      </c>
      <c r="AD213" s="46" t="s">
        <v>29</v>
      </c>
      <c r="AE213" s="46" t="s">
        <v>30</v>
      </c>
      <c r="AF213" s="46" t="s">
        <v>29</v>
      </c>
      <c r="AG213" s="46" t="s">
        <v>41</v>
      </c>
      <c r="AH213" s="46" t="s">
        <v>31</v>
      </c>
      <c r="AI213" s="46" t="s">
        <v>29</v>
      </c>
      <c r="AJ213" s="46">
        <f>=SUM(E214:AI214)</f>
      </c>
      <c r="AK213" s="46">
        <f>=+AY213</f>
      </c>
      <c r="AL213" s="46"/>
      <c r="AM213" s="1"/>
      <c r="AN213" s="1">
        <f>=COUNTIF(E213:AI213,"A")+COUNTIF(E213:AI213,"B")+COUNTIF(E213:AI213,"C")+COUNTIF(E213:AI213,"D")+COUNTIF(E213:AI213,"E")+COUNTIF(E213:AI213,"F")+COUNTIF(E213:AI213,"M")+COUNTIF(E213:AI213,"AB")+COUNTIF(E213:AI213,"UZ")+COUNTIF(E213:AI213,"G")+(COUNTIF(E213:AI213,"RT.")/2)+(COUNTIF(E213:AI213,"ÇRT.")/2)</f>
      </c>
      <c r="AO213" s="1">
        <f>=COUNTIF(E213:AI213,"O")</f>
      </c>
      <c r="AP213" s="1">
        <f>=COUNTIF(E213:AI213,"RT")+(COUNTIF(E213:AI213,"RT.")/2)</f>
      </c>
      <c r="AQ213" s="1">
        <f>=COUNTIF(E213:AI213,"ÇRT")+(COUNTIF(E213:AI213,"ÇRT.")/2)</f>
      </c>
      <c r="AR213" s="1">
        <f>=COUNTIF(E213:AI213,"ÇHT")</f>
      </c>
      <c r="AS213" s="1">
        <f>=COUNTIF(E213:AI213,"Ö")+COUNTIF(E213:AI213,"T")</f>
      </c>
      <c r="AT213" s="1">
        <f>=COUNTIF(E213:AI213,"Y")</f>
      </c>
      <c r="AU213" s="1">
        <f>=COUNTIF(E213:AI213,"R.")</f>
      </c>
      <c r="AV213" s="1">
        <f>=COUNTIF(E213:AI213,"Ü")</f>
      </c>
      <c r="AW213" s="1">
        <f>=COUNTIF(E213:AI213,"R")</f>
      </c>
      <c r="AX213" s="1">
        <f>=COUNTIF(E213:AI213,"DV")</f>
      </c>
      <c r="AY213" s="1">
        <f>=+AN213+AO213+AP213+AQ213+AR213+AS213+AT213+AU213</f>
      </c>
    </row>
    <row r="214" ht="16" customHeight="1" spans="1:51" x14ac:dyDescent="0.25">
      <c r="A214" s="46"/>
      <c r="B214" s="46"/>
      <c r="C214" s="46"/>
      <c r="D214" s="46" t="s">
        <v>32</v>
      </c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ht="16" customHeight="1" spans="1:51" x14ac:dyDescent="0.25">
      <c r="A215" s="46">
        <v>104</v>
      </c>
      <c r="B215" s="46" t="s">
        <v>249</v>
      </c>
      <c r="C215" s="46" t="s">
        <v>250</v>
      </c>
      <c r="D215" s="46" t="s">
        <v>28</v>
      </c>
      <c r="E215" s="46" t="s">
        <v>29</v>
      </c>
      <c r="F215" s="46" t="s">
        <v>29</v>
      </c>
      <c r="G215" s="46" t="s">
        <v>29</v>
      </c>
      <c r="H215" s="46" t="s">
        <v>29</v>
      </c>
      <c r="I215" s="46" t="s">
        <v>29</v>
      </c>
      <c r="J215" s="46" t="s">
        <v>30</v>
      </c>
      <c r="K215" s="46" t="s">
        <v>47</v>
      </c>
      <c r="L215" s="46" t="s">
        <v>29</v>
      </c>
      <c r="M215" s="46" t="s">
        <v>29</v>
      </c>
      <c r="N215" s="46" t="s">
        <v>29</v>
      </c>
      <c r="O215" s="46" t="s">
        <v>29</v>
      </c>
      <c r="P215" s="46" t="s">
        <v>29</v>
      </c>
      <c r="Q215" s="46" t="s">
        <v>30</v>
      </c>
      <c r="R215" s="46" t="s">
        <v>29</v>
      </c>
      <c r="S215" s="46" t="s">
        <v>29</v>
      </c>
      <c r="T215" s="46" t="s">
        <v>29</v>
      </c>
      <c r="U215" s="46" t="s">
        <v>29</v>
      </c>
      <c r="V215" s="46" t="s">
        <v>29</v>
      </c>
      <c r="W215" s="46" t="s">
        <v>29</v>
      </c>
      <c r="X215" s="46" t="s">
        <v>30</v>
      </c>
      <c r="Y215" s="46" t="s">
        <v>29</v>
      </c>
      <c r="Z215" s="46" t="s">
        <v>29</v>
      </c>
      <c r="AA215" s="46" t="s">
        <v>29</v>
      </c>
      <c r="AB215" s="46" t="s">
        <v>29</v>
      </c>
      <c r="AC215" s="46" t="s">
        <v>29</v>
      </c>
      <c r="AD215" s="46" t="s">
        <v>29</v>
      </c>
      <c r="AE215" s="46" t="s">
        <v>30</v>
      </c>
      <c r="AF215" s="46" t="s">
        <v>29</v>
      </c>
      <c r="AG215" s="46" t="s">
        <v>29</v>
      </c>
      <c r="AH215" s="46" t="s">
        <v>31</v>
      </c>
      <c r="AI215" s="46" t="s">
        <v>29</v>
      </c>
      <c r="AJ215" s="46">
        <f>=SUM(E216:AI216)</f>
      </c>
      <c r="AK215" s="46">
        <f>=+AY215</f>
      </c>
      <c r="AL215" s="46"/>
      <c r="AM215" s="1"/>
      <c r="AN215" s="1">
        <f>=COUNTIF(E215:AI215,"A")+COUNTIF(E215:AI215,"B")+COUNTIF(E215:AI215,"C")+COUNTIF(E215:AI215,"D")+COUNTIF(E215:AI215,"E")+COUNTIF(E215:AI215,"F")+COUNTIF(E215:AI215,"M")+COUNTIF(E215:AI215,"AB")+COUNTIF(E215:AI215,"UZ")+COUNTIF(E215:AI215,"G")+(COUNTIF(E215:AI215,"RT.")/2)+(COUNTIF(E215:AI215,"ÇRT.")/2)</f>
      </c>
      <c r="AO215" s="1">
        <f>=COUNTIF(E215:AI215,"O")</f>
      </c>
      <c r="AP215" s="1">
        <f>=COUNTIF(E215:AI215,"RT")+(COUNTIF(E215:AI215,"RT.")/2)</f>
      </c>
      <c r="AQ215" s="1">
        <f>=COUNTIF(E215:AI215,"ÇRT")+(COUNTIF(E215:AI215,"ÇRT.")/2)</f>
      </c>
      <c r="AR215" s="1">
        <f>=COUNTIF(E215:AI215,"ÇHT")</f>
      </c>
      <c r="AS215" s="1">
        <f>=COUNTIF(E215:AI215,"Ö")+COUNTIF(E215:AI215,"T")</f>
      </c>
      <c r="AT215" s="1">
        <f>=COUNTIF(E215:AI215,"Y")</f>
      </c>
      <c r="AU215" s="1">
        <f>=COUNTIF(E215:AI215,"R.")</f>
      </c>
      <c r="AV215" s="1">
        <f>=COUNTIF(E215:AI215,"Ü")</f>
      </c>
      <c r="AW215" s="1">
        <f>=COUNTIF(E215:AI215,"R")</f>
      </c>
      <c r="AX215" s="1">
        <f>=COUNTIF(E215:AI215,"DV")</f>
      </c>
      <c r="AY215" s="1">
        <f>=+AN215+AO215+AP215+AQ215+AR215+AS215+AT215+AU215</f>
      </c>
    </row>
    <row r="216" ht="16" customHeight="1" spans="1:51" x14ac:dyDescent="0.25">
      <c r="A216" s="46"/>
      <c r="B216" s="46"/>
      <c r="C216" s="46"/>
      <c r="D216" s="46" t="s">
        <v>32</v>
      </c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>
        <v>2</v>
      </c>
      <c r="AG216" s="46"/>
      <c r="AH216" s="46"/>
      <c r="AI216" s="46"/>
      <c r="AJ216" s="46"/>
      <c r="AK216" s="46"/>
      <c r="AL216" s="46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ht="16" customHeight="1" spans="1:51" x14ac:dyDescent="0.25">
      <c r="A217" s="46">
        <v>105</v>
      </c>
      <c r="B217" s="46" t="s">
        <v>251</v>
      </c>
      <c r="C217" s="46" t="s">
        <v>252</v>
      </c>
      <c r="D217" s="46" t="s">
        <v>28</v>
      </c>
      <c r="E217" s="46" t="s">
        <v>29</v>
      </c>
      <c r="F217" s="46" t="s">
        <v>29</v>
      </c>
      <c r="G217" s="46" t="s">
        <v>29</v>
      </c>
      <c r="H217" s="46" t="s">
        <v>29</v>
      </c>
      <c r="I217" s="46" t="s">
        <v>29</v>
      </c>
      <c r="J217" s="46" t="s">
        <v>30</v>
      </c>
      <c r="K217" s="46" t="s">
        <v>29</v>
      </c>
      <c r="L217" s="46" t="s">
        <v>29</v>
      </c>
      <c r="M217" s="46" t="s">
        <v>29</v>
      </c>
      <c r="N217" s="46" t="s">
        <v>29</v>
      </c>
      <c r="O217" s="46" t="s">
        <v>29</v>
      </c>
      <c r="P217" s="46" t="s">
        <v>29</v>
      </c>
      <c r="Q217" s="46" t="s">
        <v>30</v>
      </c>
      <c r="R217" s="46" t="s">
        <v>29</v>
      </c>
      <c r="S217" s="46" t="s">
        <v>29</v>
      </c>
      <c r="T217" s="46" t="s">
        <v>29</v>
      </c>
      <c r="U217" s="46" t="s">
        <v>29</v>
      </c>
      <c r="V217" s="46" t="s">
        <v>30</v>
      </c>
      <c r="W217" s="46" t="s">
        <v>29</v>
      </c>
      <c r="X217" s="46" t="s">
        <v>29</v>
      </c>
      <c r="Y217" s="46" t="s">
        <v>29</v>
      </c>
      <c r="Z217" s="46" t="s">
        <v>29</v>
      </c>
      <c r="AA217" s="46" t="s">
        <v>29</v>
      </c>
      <c r="AB217" s="46" t="s">
        <v>29</v>
      </c>
      <c r="AC217" s="46" t="s">
        <v>29</v>
      </c>
      <c r="AD217" s="46" t="s">
        <v>29</v>
      </c>
      <c r="AE217" s="46" t="s">
        <v>30</v>
      </c>
      <c r="AF217" s="46" t="s">
        <v>29</v>
      </c>
      <c r="AG217" s="46" t="s">
        <v>29</v>
      </c>
      <c r="AH217" s="46" t="s">
        <v>31</v>
      </c>
      <c r="AI217" s="46" t="s">
        <v>29</v>
      </c>
      <c r="AJ217" s="46">
        <f>=SUM(E218:AI218)</f>
      </c>
      <c r="AK217" s="46">
        <f>=+AY217</f>
      </c>
      <c r="AL217" s="46"/>
      <c r="AM217" s="1"/>
      <c r="AN217" s="1">
        <f>=COUNTIF(E217:AI217,"A")+COUNTIF(E217:AI217,"B")+COUNTIF(E217:AI217,"C")+COUNTIF(E217:AI217,"D")+COUNTIF(E217:AI217,"E")+COUNTIF(E217:AI217,"F")+COUNTIF(E217:AI217,"M")+COUNTIF(E217:AI217,"AB")+COUNTIF(E217:AI217,"UZ")+COUNTIF(E217:AI217,"G")+(COUNTIF(E217:AI217,"RT.")/2)+(COUNTIF(E217:AI217,"ÇRT.")/2)</f>
      </c>
      <c r="AO217" s="1">
        <f>=COUNTIF(E217:AI217,"O")</f>
      </c>
      <c r="AP217" s="1">
        <f>=COUNTIF(E217:AI217,"RT")+(COUNTIF(E217:AI217,"RT.")/2)</f>
      </c>
      <c r="AQ217" s="1">
        <f>=COUNTIF(E217:AI217,"ÇRT")+(COUNTIF(E217:AI217,"ÇRT.")/2)</f>
      </c>
      <c r="AR217" s="1">
        <f>=COUNTIF(E217:AI217,"ÇHT")</f>
      </c>
      <c r="AS217" s="1">
        <f>=COUNTIF(E217:AI217,"Ö")+COUNTIF(E217:AI217,"T")</f>
      </c>
      <c r="AT217" s="1">
        <f>=COUNTIF(E217:AI217,"Y")</f>
      </c>
      <c r="AU217" s="1">
        <f>=COUNTIF(E217:AI217,"R.")</f>
      </c>
      <c r="AV217" s="1">
        <f>=COUNTIF(E217:AI217,"Ü")</f>
      </c>
      <c r="AW217" s="1">
        <f>=COUNTIF(E217:AI217,"R")</f>
      </c>
      <c r="AX217" s="1">
        <f>=COUNTIF(E217:AI217,"DV")</f>
      </c>
      <c r="AY217" s="1">
        <f>=+AN217+AO217+AP217+AQ217+AR217+AS217+AT217+AU217</f>
      </c>
    </row>
    <row r="218" ht="16" customHeight="1" spans="1:51" x14ac:dyDescent="0.25">
      <c r="A218" s="46"/>
      <c r="B218" s="46"/>
      <c r="C218" s="46"/>
      <c r="D218" s="46" t="s">
        <v>32</v>
      </c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>
        <v>1</v>
      </c>
      <c r="T218" s="46">
        <v>1</v>
      </c>
      <c r="U218" s="46"/>
      <c r="V218" s="46"/>
      <c r="W218" s="46"/>
      <c r="X218" s="46">
        <v>2</v>
      </c>
      <c r="Y218" s="46"/>
      <c r="Z218" s="46"/>
      <c r="AA218" s="46"/>
      <c r="AB218" s="46"/>
      <c r="AC218" s="46"/>
      <c r="AD218" s="46"/>
      <c r="AE218" s="46"/>
      <c r="AF218" s="46"/>
      <c r="AG218" s="46">
        <v>3</v>
      </c>
      <c r="AH218" s="46">
        <v>2</v>
      </c>
      <c r="AI218" s="46"/>
      <c r="AJ218" s="46"/>
      <c r="AK218" s="46"/>
      <c r="AL218" s="46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ht="16" customHeight="1" spans="1:51" x14ac:dyDescent="0.25">
      <c r="A219" s="46">
        <v>106</v>
      </c>
      <c r="B219" s="46" t="s">
        <v>253</v>
      </c>
      <c r="C219" s="46" t="s">
        <v>254</v>
      </c>
      <c r="D219" s="46" t="s">
        <v>28</v>
      </c>
      <c r="E219" s="46" t="s">
        <v>30</v>
      </c>
      <c r="F219" s="46" t="s">
        <v>29</v>
      </c>
      <c r="G219" s="46" t="s">
        <v>29</v>
      </c>
      <c r="H219" s="46" t="s">
        <v>29</v>
      </c>
      <c r="I219" s="46" t="s">
        <v>29</v>
      </c>
      <c r="J219" s="46" t="s">
        <v>29</v>
      </c>
      <c r="K219" s="46" t="s">
        <v>29</v>
      </c>
      <c r="L219" s="46" t="s">
        <v>30</v>
      </c>
      <c r="M219" s="46" t="s">
        <v>29</v>
      </c>
      <c r="N219" s="46" t="s">
        <v>29</v>
      </c>
      <c r="O219" s="46" t="s">
        <v>29</v>
      </c>
      <c r="P219" s="46" t="s">
        <v>29</v>
      </c>
      <c r="Q219" s="46" t="s">
        <v>29</v>
      </c>
      <c r="R219" s="46" t="s">
        <v>29</v>
      </c>
      <c r="S219" s="46" t="s">
        <v>30</v>
      </c>
      <c r="T219" s="46" t="s">
        <v>29</v>
      </c>
      <c r="U219" s="46" t="s">
        <v>29</v>
      </c>
      <c r="V219" s="46" t="s">
        <v>29</v>
      </c>
      <c r="W219" s="46" t="s">
        <v>29</v>
      </c>
      <c r="X219" s="46" t="s">
        <v>29</v>
      </c>
      <c r="Y219" s="46" t="s">
        <v>29</v>
      </c>
      <c r="Z219" s="46" t="s">
        <v>30</v>
      </c>
      <c r="AA219" s="46" t="s">
        <v>29</v>
      </c>
      <c r="AB219" s="46" t="s">
        <v>29</v>
      </c>
      <c r="AC219" s="46" t="s">
        <v>29</v>
      </c>
      <c r="AD219" s="46" t="s">
        <v>29</v>
      </c>
      <c r="AE219" s="46" t="s">
        <v>29</v>
      </c>
      <c r="AF219" s="46" t="s">
        <v>29</v>
      </c>
      <c r="AG219" s="46" t="s">
        <v>44</v>
      </c>
      <c r="AH219" s="46" t="s">
        <v>31</v>
      </c>
      <c r="AI219" s="46" t="s">
        <v>29</v>
      </c>
      <c r="AJ219" s="46">
        <f>=SUM(E220:AI220)</f>
      </c>
      <c r="AK219" s="46">
        <f>=+AY219</f>
      </c>
      <c r="AL219" s="46"/>
      <c r="AM219" s="1"/>
      <c r="AN219" s="1">
        <f>=COUNTIF(E219:AI219,"A")+COUNTIF(E219:AI219,"B")+COUNTIF(E219:AI219,"C")+COUNTIF(E219:AI219,"D")+COUNTIF(E219:AI219,"E")+COUNTIF(E219:AI219,"F")+COUNTIF(E219:AI219,"M")+COUNTIF(E219:AI219,"AB")+COUNTIF(E219:AI219,"UZ")+COUNTIF(E219:AI219,"G")+(COUNTIF(E219:AI219,"RT.")/2)+(COUNTIF(E219:AI219,"ÇRT.")/2)</f>
      </c>
      <c r="AO219" s="1">
        <f>=COUNTIF(E219:AI219,"O")</f>
      </c>
      <c r="AP219" s="1">
        <f>=COUNTIF(E219:AI219,"RT")+(COUNTIF(E219:AI219,"RT.")/2)</f>
      </c>
      <c r="AQ219" s="1">
        <f>=COUNTIF(E219:AI219,"ÇRT")+(COUNTIF(E219:AI219,"ÇRT.")/2)</f>
      </c>
      <c r="AR219" s="1">
        <f>=COUNTIF(E219:AI219,"ÇHT")</f>
      </c>
      <c r="AS219" s="1">
        <f>=COUNTIF(E219:AI219,"Ö")+COUNTIF(E219:AI219,"T")</f>
      </c>
      <c r="AT219" s="1">
        <f>=COUNTIF(E219:AI219,"Y")</f>
      </c>
      <c r="AU219" s="1">
        <f>=COUNTIF(E219:AI219,"R.")</f>
      </c>
      <c r="AV219" s="1">
        <f>=COUNTIF(E219:AI219,"Ü")</f>
      </c>
      <c r="AW219" s="1">
        <f>=COUNTIF(E219:AI219,"R")</f>
      </c>
      <c r="AX219" s="1">
        <f>=COUNTIF(E219:AI219,"DV")</f>
      </c>
      <c r="AY219" s="1">
        <f>=+AN219+AO219+AP219+AQ219+AR219+AS219+AT219+AU219</f>
      </c>
    </row>
    <row r="220" ht="16" customHeight="1" spans="1:51" x14ac:dyDescent="0.25">
      <c r="A220" s="46"/>
      <c r="B220" s="46"/>
      <c r="C220" s="46"/>
      <c r="D220" s="46" t="s">
        <v>32</v>
      </c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>
        <v>2</v>
      </c>
      <c r="AG220" s="46">
        <v>3</v>
      </c>
      <c r="AH220" s="46">
        <v>2</v>
      </c>
      <c r="AI220" s="46"/>
      <c r="AJ220" s="46"/>
      <c r="AK220" s="46"/>
      <c r="AL220" s="46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ht="16" customHeight="1" spans="1:51" x14ac:dyDescent="0.25">
      <c r="A221" s="46">
        <v>107</v>
      </c>
      <c r="B221" s="46" t="s">
        <v>255</v>
      </c>
      <c r="C221" s="46" t="s">
        <v>256</v>
      </c>
      <c r="D221" s="46" t="s">
        <v>28</v>
      </c>
      <c r="E221" s="46" t="s">
        <v>29</v>
      </c>
      <c r="F221" s="46" t="s">
        <v>29</v>
      </c>
      <c r="G221" s="46" t="s">
        <v>29</v>
      </c>
      <c r="H221" s="46" t="s">
        <v>29</v>
      </c>
      <c r="I221" s="46" t="s">
        <v>29</v>
      </c>
      <c r="J221" s="46" t="s">
        <v>29</v>
      </c>
      <c r="K221" s="46" t="s">
        <v>30</v>
      </c>
      <c r="L221" s="46" t="s">
        <v>29</v>
      </c>
      <c r="M221" s="46" t="s">
        <v>29</v>
      </c>
      <c r="N221" s="46" t="s">
        <v>29</v>
      </c>
      <c r="O221" s="46" t="s">
        <v>30</v>
      </c>
      <c r="P221" s="46" t="s">
        <v>29</v>
      </c>
      <c r="Q221" s="46" t="s">
        <v>29</v>
      </c>
      <c r="R221" s="46" t="s">
        <v>29</v>
      </c>
      <c r="S221" s="46" t="s">
        <v>29</v>
      </c>
      <c r="T221" s="46" t="s">
        <v>29</v>
      </c>
      <c r="U221" s="46" t="s">
        <v>29</v>
      </c>
      <c r="V221" s="46" t="s">
        <v>29</v>
      </c>
      <c r="W221" s="46" t="s">
        <v>29</v>
      </c>
      <c r="X221" s="46" t="s">
        <v>29</v>
      </c>
      <c r="Y221" s="46" t="s">
        <v>44</v>
      </c>
      <c r="Z221" s="46" t="s">
        <v>29</v>
      </c>
      <c r="AA221" s="46" t="s">
        <v>29</v>
      </c>
      <c r="AB221" s="46" t="s">
        <v>29</v>
      </c>
      <c r="AC221" s="46" t="s">
        <v>29</v>
      </c>
      <c r="AD221" s="46" t="s">
        <v>29</v>
      </c>
      <c r="AE221" s="46" t="s">
        <v>29</v>
      </c>
      <c r="AF221" s="46" t="s">
        <v>30</v>
      </c>
      <c r="AG221" s="46" t="s">
        <v>29</v>
      </c>
      <c r="AH221" s="46" t="s">
        <v>31</v>
      </c>
      <c r="AI221" s="46" t="s">
        <v>29</v>
      </c>
      <c r="AJ221" s="46">
        <f>=SUM(E222:AI222)</f>
      </c>
      <c r="AK221" s="46">
        <f>=+AY221</f>
      </c>
      <c r="AL221" s="46"/>
      <c r="AM221" s="1"/>
      <c r="AN221" s="1">
        <f>=COUNTIF(E221:AI221,"A")+COUNTIF(E221:AI221,"B")+COUNTIF(E221:AI221,"C")+COUNTIF(E221:AI221,"D")+COUNTIF(E221:AI221,"E")+COUNTIF(E221:AI221,"F")+COUNTIF(E221:AI221,"M")+COUNTIF(E221:AI221,"AB")+COUNTIF(E221:AI221,"UZ")+COUNTIF(E221:AI221,"G")+(COUNTIF(E221:AI221,"RT.")/2)+(COUNTIF(E221:AI221,"ÇRT.")/2)</f>
      </c>
      <c r="AO221" s="1">
        <f>=COUNTIF(E221:AI221,"O")</f>
      </c>
      <c r="AP221" s="1">
        <f>=COUNTIF(E221:AI221,"RT")+(COUNTIF(E221:AI221,"RT.")/2)</f>
      </c>
      <c r="AQ221" s="1">
        <f>=COUNTIF(E221:AI221,"ÇRT")+(COUNTIF(E221:AI221,"ÇRT.")/2)</f>
      </c>
      <c r="AR221" s="1">
        <f>=COUNTIF(E221:AI221,"ÇHT")</f>
      </c>
      <c r="AS221" s="1">
        <f>=COUNTIF(E221:AI221,"Ö")+COUNTIF(E221:AI221,"T")</f>
      </c>
      <c r="AT221" s="1">
        <f>=COUNTIF(E221:AI221,"Y")</f>
      </c>
      <c r="AU221" s="1">
        <f>=COUNTIF(E221:AI221,"R.")</f>
      </c>
      <c r="AV221" s="1">
        <f>=COUNTIF(E221:AI221,"Ü")</f>
      </c>
      <c r="AW221" s="1">
        <f>=COUNTIF(E221:AI221,"R")</f>
      </c>
      <c r="AX221" s="1">
        <f>=COUNTIF(E221:AI221,"DV")</f>
      </c>
      <c r="AY221" s="1">
        <f>=+AN221+AO221+AP221+AQ221+AR221+AS221+AT221+AU221</f>
      </c>
    </row>
    <row r="222" ht="16" customHeight="1" spans="1:51" x14ac:dyDescent="0.25">
      <c r="A222" s="46"/>
      <c r="B222" s="46"/>
      <c r="C222" s="46"/>
      <c r="D222" s="46" t="s">
        <v>32</v>
      </c>
      <c r="E222" s="46"/>
      <c r="F222" s="46"/>
      <c r="G222" s="46"/>
      <c r="H222" s="46"/>
      <c r="I222" s="46"/>
      <c r="J222" s="46"/>
      <c r="K222" s="46"/>
      <c r="L222" s="46"/>
      <c r="M222" s="46">
        <v>1</v>
      </c>
      <c r="N222" s="46"/>
      <c r="O222" s="46">
        <v>0</v>
      </c>
      <c r="P222" s="46"/>
      <c r="Q222" s="46"/>
      <c r="R222" s="46"/>
      <c r="S222" s="46">
        <v>1</v>
      </c>
      <c r="T222" s="46">
        <v>1</v>
      </c>
      <c r="U222" s="46"/>
      <c r="V222" s="46"/>
      <c r="W222" s="46"/>
      <c r="X222" s="46"/>
      <c r="Y222" s="46"/>
      <c r="Z222" s="46">
        <v>1</v>
      </c>
      <c r="AA222" s="46"/>
      <c r="AB222" s="46">
        <v>1</v>
      </c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ht="16" customHeight="1" spans="1:51" x14ac:dyDescent="0.25">
      <c r="A223" s="46">
        <v>108</v>
      </c>
      <c r="B223" s="46" t="s">
        <v>257</v>
      </c>
      <c r="C223" s="46" t="s">
        <v>258</v>
      </c>
      <c r="D223" s="46" t="s">
        <v>28</v>
      </c>
      <c r="E223" s="46" t="s">
        <v>50</v>
      </c>
      <c r="F223" s="46" t="s">
        <v>50</v>
      </c>
      <c r="G223" s="46" t="s">
        <v>30</v>
      </c>
      <c r="H223" s="46" t="s">
        <v>50</v>
      </c>
      <c r="I223" s="46" t="s">
        <v>50</v>
      </c>
      <c r="J223" s="46" t="s">
        <v>50</v>
      </c>
      <c r="K223" s="46" t="s">
        <v>50</v>
      </c>
      <c r="L223" s="46" t="s">
        <v>50</v>
      </c>
      <c r="M223" s="46" t="s">
        <v>50</v>
      </c>
      <c r="N223" s="46" t="s">
        <v>30</v>
      </c>
      <c r="O223" s="46" t="s">
        <v>50</v>
      </c>
      <c r="P223" s="46" t="s">
        <v>50</v>
      </c>
      <c r="Q223" s="46" t="s">
        <v>50</v>
      </c>
      <c r="R223" s="46" t="s">
        <v>50</v>
      </c>
      <c r="S223" s="46" t="s">
        <v>50</v>
      </c>
      <c r="T223" s="46" t="s">
        <v>50</v>
      </c>
      <c r="U223" s="46" t="s">
        <v>30</v>
      </c>
      <c r="V223" s="46" t="s">
        <v>50</v>
      </c>
      <c r="W223" s="46" t="s">
        <v>50</v>
      </c>
      <c r="X223" s="46" t="s">
        <v>50</v>
      </c>
      <c r="Y223" s="46" t="s">
        <v>50</v>
      </c>
      <c r="Z223" s="46" t="s">
        <v>50</v>
      </c>
      <c r="AA223" s="46" t="s">
        <v>50</v>
      </c>
      <c r="AB223" s="46" t="s">
        <v>30</v>
      </c>
      <c r="AC223" s="46" t="s">
        <v>50</v>
      </c>
      <c r="AD223" s="46" t="s">
        <v>50</v>
      </c>
      <c r="AE223" s="46" t="s">
        <v>50</v>
      </c>
      <c r="AF223" s="46" t="s">
        <v>50</v>
      </c>
      <c r="AG223" s="46" t="s">
        <v>50</v>
      </c>
      <c r="AH223" s="46" t="s">
        <v>31</v>
      </c>
      <c r="AI223" s="46" t="s">
        <v>30</v>
      </c>
      <c r="AJ223" s="46">
        <f>=SUM(E224:AI224)</f>
      </c>
      <c r="AK223" s="46">
        <f>=+AY223</f>
      </c>
      <c r="AL223" s="46"/>
      <c r="AM223" s="1"/>
      <c r="AN223" s="1">
        <f>=COUNTIF(E223:AI223,"A")+COUNTIF(E223:AI223,"B")+COUNTIF(E223:AI223,"C")+COUNTIF(E223:AI223,"D")+COUNTIF(E223:AI223,"E")+COUNTIF(E223:AI223,"F")+COUNTIF(E223:AI223,"M")+COUNTIF(E223:AI223,"AB")+COUNTIF(E223:AI223,"UZ")+COUNTIF(E223:AI223,"G")+(COUNTIF(E223:AI223,"RT.")/2)+(COUNTIF(E223:AI223,"ÇRT.")/2)</f>
      </c>
      <c r="AO223" s="1">
        <f>=COUNTIF(E223:AI223,"O")</f>
      </c>
      <c r="AP223" s="1">
        <f>=COUNTIF(E223:AI223,"RT")+(COUNTIF(E223:AI223,"RT.")/2)</f>
      </c>
      <c r="AQ223" s="1">
        <f>=COUNTIF(E223:AI223,"ÇRT")+(COUNTIF(E223:AI223,"ÇRT.")/2)</f>
      </c>
      <c r="AR223" s="1">
        <f>=COUNTIF(E223:AI223,"ÇHT")</f>
      </c>
      <c r="AS223" s="1">
        <f>=COUNTIF(E223:AI223,"Ö")+COUNTIF(E223:AI223,"T")</f>
      </c>
      <c r="AT223" s="1">
        <f>=COUNTIF(E223:AI223,"Y")</f>
      </c>
      <c r="AU223" s="1">
        <f>=COUNTIF(E223:AI223,"R.")</f>
      </c>
      <c r="AV223" s="1">
        <f>=COUNTIF(E223:AI223,"Ü")</f>
      </c>
      <c r="AW223" s="1">
        <f>=COUNTIF(E223:AI223,"R")</f>
      </c>
      <c r="AX223" s="1">
        <f>=COUNTIF(E223:AI223,"DV")</f>
      </c>
      <c r="AY223" s="1">
        <f>=+AN223+AO223+AP223+AQ223+AR223+AS223+AT223+AU223</f>
      </c>
    </row>
    <row r="224" ht="16" customHeight="1" spans="1:51" x14ac:dyDescent="0.25">
      <c r="A224" s="46"/>
      <c r="B224" s="46"/>
      <c r="C224" s="46"/>
      <c r="D224" s="46" t="s">
        <v>32</v>
      </c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ht="16" customHeight="1" spans="1:51" x14ac:dyDescent="0.25">
      <c r="A225" s="46">
        <v>109</v>
      </c>
      <c r="B225" s="46" t="s">
        <v>259</v>
      </c>
      <c r="C225" s="46" t="s">
        <v>260</v>
      </c>
      <c r="D225" s="46" t="s">
        <v>28</v>
      </c>
      <c r="E225" s="46" t="s">
        <v>50</v>
      </c>
      <c r="F225" s="46" t="s">
        <v>50</v>
      </c>
      <c r="G225" s="46" t="s">
        <v>50</v>
      </c>
      <c r="H225" s="46" t="s">
        <v>30</v>
      </c>
      <c r="I225" s="46" t="s">
        <v>50</v>
      </c>
      <c r="J225" s="46" t="s">
        <v>50</v>
      </c>
      <c r="K225" s="46" t="s">
        <v>50</v>
      </c>
      <c r="L225" s="46" t="s">
        <v>50</v>
      </c>
      <c r="M225" s="46" t="s">
        <v>50</v>
      </c>
      <c r="N225" s="46" t="s">
        <v>50</v>
      </c>
      <c r="O225" s="46" t="s">
        <v>30</v>
      </c>
      <c r="P225" s="46" t="s">
        <v>50</v>
      </c>
      <c r="Q225" s="46" t="s">
        <v>50</v>
      </c>
      <c r="R225" s="46" t="s">
        <v>50</v>
      </c>
      <c r="S225" s="46" t="s">
        <v>50</v>
      </c>
      <c r="T225" s="46" t="s">
        <v>50</v>
      </c>
      <c r="U225" s="46" t="s">
        <v>50</v>
      </c>
      <c r="V225" s="46" t="s">
        <v>30</v>
      </c>
      <c r="W225" s="46" t="s">
        <v>50</v>
      </c>
      <c r="X225" s="46" t="s">
        <v>50</v>
      </c>
      <c r="Y225" s="46" t="s">
        <v>50</v>
      </c>
      <c r="Z225" s="46" t="s">
        <v>50</v>
      </c>
      <c r="AA225" s="46" t="s">
        <v>50</v>
      </c>
      <c r="AB225" s="46" t="s">
        <v>50</v>
      </c>
      <c r="AC225" s="46" t="s">
        <v>30</v>
      </c>
      <c r="AD225" s="46" t="s">
        <v>50</v>
      </c>
      <c r="AE225" s="46" t="s">
        <v>50</v>
      </c>
      <c r="AF225" s="46" t="s">
        <v>50</v>
      </c>
      <c r="AG225" s="46" t="s">
        <v>50</v>
      </c>
      <c r="AH225" s="46" t="s">
        <v>31</v>
      </c>
      <c r="AI225" s="46" t="s">
        <v>50</v>
      </c>
      <c r="AJ225" s="46">
        <f>=SUM(E226:AI226)</f>
      </c>
      <c r="AK225" s="46">
        <f>=+AY225</f>
      </c>
      <c r="AL225" s="46"/>
      <c r="AM225" s="1"/>
      <c r="AN225" s="1">
        <f>=COUNTIF(E225:AI225,"A")+COUNTIF(E225:AI225,"B")+COUNTIF(E225:AI225,"C")+COUNTIF(E225:AI225,"D")+COUNTIF(E225:AI225,"E")+COUNTIF(E225:AI225,"F")+COUNTIF(E225:AI225,"M")+COUNTIF(E225:AI225,"AB")+COUNTIF(E225:AI225,"UZ")+COUNTIF(E225:AI225,"G")+(COUNTIF(E225:AI225,"RT.")/2)+(COUNTIF(E225:AI225,"ÇRT.")/2)</f>
      </c>
      <c r="AO225" s="1">
        <f>=COUNTIF(E225:AI225,"O")</f>
      </c>
      <c r="AP225" s="1">
        <f>=COUNTIF(E225:AI225,"RT")+(COUNTIF(E225:AI225,"RT.")/2)</f>
      </c>
      <c r="AQ225" s="1">
        <f>=COUNTIF(E225:AI225,"ÇRT")+(COUNTIF(E225:AI225,"ÇRT.")/2)</f>
      </c>
      <c r="AR225" s="1">
        <f>=COUNTIF(E225:AI225,"ÇHT")</f>
      </c>
      <c r="AS225" s="1">
        <f>=COUNTIF(E225:AI225,"Ö")+COUNTIF(E225:AI225,"T")</f>
      </c>
      <c r="AT225" s="1">
        <f>=COUNTIF(E225:AI225,"Y")</f>
      </c>
      <c r="AU225" s="1">
        <f>=COUNTIF(E225:AI225,"R.")</f>
      </c>
      <c r="AV225" s="1">
        <f>=COUNTIF(E225:AI225,"Ü")</f>
      </c>
      <c r="AW225" s="1">
        <f>=COUNTIF(E225:AI225,"R")</f>
      </c>
      <c r="AX225" s="1">
        <f>=COUNTIF(E225:AI225,"DV")</f>
      </c>
      <c r="AY225" s="1">
        <f>=+AN225+AO225+AP225+AQ225+AR225+AS225+AT225+AU225</f>
      </c>
    </row>
    <row r="226" ht="16" customHeight="1" spans="1:51" x14ac:dyDescent="0.25">
      <c r="A226" s="46"/>
      <c r="B226" s="46"/>
      <c r="C226" s="46"/>
      <c r="D226" s="46" t="s">
        <v>32</v>
      </c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ht="16" customHeight="1" spans="1:51" x14ac:dyDescent="0.25">
      <c r="A227" s="46">
        <v>110</v>
      </c>
      <c r="B227" s="46" t="s">
        <v>261</v>
      </c>
      <c r="C227" s="46" t="s">
        <v>262</v>
      </c>
      <c r="D227" s="46" t="s">
        <v>28</v>
      </c>
      <c r="E227" s="46" t="s">
        <v>29</v>
      </c>
      <c r="F227" s="46" t="s">
        <v>29</v>
      </c>
      <c r="G227" s="46" t="s">
        <v>30</v>
      </c>
      <c r="H227" s="46" t="s">
        <v>29</v>
      </c>
      <c r="I227" s="46" t="s">
        <v>29</v>
      </c>
      <c r="J227" s="46" t="s">
        <v>29</v>
      </c>
      <c r="K227" s="46" t="s">
        <v>29</v>
      </c>
      <c r="L227" s="46" t="s">
        <v>29</v>
      </c>
      <c r="M227" s="46" t="s">
        <v>29</v>
      </c>
      <c r="N227" s="46" t="s">
        <v>30</v>
      </c>
      <c r="O227" s="46" t="s">
        <v>29</v>
      </c>
      <c r="P227" s="46" t="s">
        <v>29</v>
      </c>
      <c r="Q227" s="46" t="s">
        <v>29</v>
      </c>
      <c r="R227" s="46" t="s">
        <v>29</v>
      </c>
      <c r="S227" s="46" t="s">
        <v>29</v>
      </c>
      <c r="T227" s="46" t="s">
        <v>29</v>
      </c>
      <c r="U227" s="46" t="s">
        <v>30</v>
      </c>
      <c r="V227" s="46" t="s">
        <v>29</v>
      </c>
      <c r="W227" s="46" t="s">
        <v>29</v>
      </c>
      <c r="X227" s="46" t="s">
        <v>29</v>
      </c>
      <c r="Y227" s="46" t="s">
        <v>29</v>
      </c>
      <c r="Z227" s="46" t="s">
        <v>29</v>
      </c>
      <c r="AA227" s="46" t="s">
        <v>29</v>
      </c>
      <c r="AB227" s="46" t="s">
        <v>30</v>
      </c>
      <c r="AC227" s="46" t="s">
        <v>29</v>
      </c>
      <c r="AD227" s="46" t="s">
        <v>29</v>
      </c>
      <c r="AE227" s="46" t="s">
        <v>29</v>
      </c>
      <c r="AF227" s="46" t="s">
        <v>29</v>
      </c>
      <c r="AG227" s="46" t="s">
        <v>29</v>
      </c>
      <c r="AH227" s="46" t="s">
        <v>31</v>
      </c>
      <c r="AI227" s="46" t="s">
        <v>30</v>
      </c>
      <c r="AJ227" s="46">
        <f>=SUM(E228:AI228)</f>
      </c>
      <c r="AK227" s="46">
        <f>=+AY227</f>
      </c>
      <c r="AL227" s="46"/>
      <c r="AM227" s="1"/>
      <c r="AN227" s="1">
        <f>=COUNTIF(E227:AI227,"A")+COUNTIF(E227:AI227,"B")+COUNTIF(E227:AI227,"C")+COUNTIF(E227:AI227,"D")+COUNTIF(E227:AI227,"E")+COUNTIF(E227:AI227,"F")+COUNTIF(E227:AI227,"M")+COUNTIF(E227:AI227,"AB")+COUNTIF(E227:AI227,"UZ")+COUNTIF(E227:AI227,"G")+(COUNTIF(E227:AI227,"RT.")/2)+(COUNTIF(E227:AI227,"ÇRT.")/2)</f>
      </c>
      <c r="AO227" s="1">
        <f>=COUNTIF(E227:AI227,"O")</f>
      </c>
      <c r="AP227" s="1">
        <f>=COUNTIF(E227:AI227,"RT")+(COUNTIF(E227:AI227,"RT.")/2)</f>
      </c>
      <c r="AQ227" s="1">
        <f>=COUNTIF(E227:AI227,"ÇRT")+(COUNTIF(E227:AI227,"ÇRT.")/2)</f>
      </c>
      <c r="AR227" s="1">
        <f>=COUNTIF(E227:AI227,"ÇHT")</f>
      </c>
      <c r="AS227" s="1">
        <f>=COUNTIF(E227:AI227,"Ö")+COUNTIF(E227:AI227,"T")</f>
      </c>
      <c r="AT227" s="1">
        <f>=COUNTIF(E227:AI227,"Y")</f>
      </c>
      <c r="AU227" s="1">
        <f>=COUNTIF(E227:AI227,"R.")</f>
      </c>
      <c r="AV227" s="1">
        <f>=COUNTIF(E227:AI227,"Ü")</f>
      </c>
      <c r="AW227" s="1">
        <f>=COUNTIF(E227:AI227,"R")</f>
      </c>
      <c r="AX227" s="1">
        <f>=COUNTIF(E227:AI227,"DV")</f>
      </c>
      <c r="AY227" s="1">
        <f>=+AN227+AO227+AP227+AQ227+AR227+AS227+AT227+AU227</f>
      </c>
    </row>
    <row r="228" ht="16" customHeight="1" spans="1:51" x14ac:dyDescent="0.25">
      <c r="A228" s="46"/>
      <c r="B228" s="46"/>
      <c r="C228" s="46"/>
      <c r="D228" s="46" t="s">
        <v>32</v>
      </c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>
        <v>2</v>
      </c>
      <c r="AG228" s="46"/>
      <c r="AH228" s="46"/>
      <c r="AI228" s="46"/>
      <c r="AJ228" s="46"/>
      <c r="AK228" s="46"/>
      <c r="AL228" s="46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ht="16" customHeight="1" spans="1:51" x14ac:dyDescent="0.25">
      <c r="A229" s="46">
        <v>111</v>
      </c>
      <c r="B229" s="46" t="s">
        <v>263</v>
      </c>
      <c r="C229" s="46" t="s">
        <v>264</v>
      </c>
      <c r="D229" s="46" t="s">
        <v>28</v>
      </c>
      <c r="E229" s="46" t="s">
        <v>47</v>
      </c>
      <c r="F229" s="46" t="s">
        <v>79</v>
      </c>
      <c r="G229" s="46" t="s">
        <v>79</v>
      </c>
      <c r="H229" s="46" t="s">
        <v>79</v>
      </c>
      <c r="I229" s="46" t="s">
        <v>79</v>
      </c>
      <c r="J229" s="46" t="s">
        <v>79</v>
      </c>
      <c r="K229" s="46" t="s">
        <v>79</v>
      </c>
      <c r="L229" s="46" t="s">
        <v>79</v>
      </c>
      <c r="M229" s="46" t="s">
        <v>79</v>
      </c>
      <c r="N229" s="46" t="s">
        <v>79</v>
      </c>
      <c r="O229" s="46" t="s">
        <v>79</v>
      </c>
      <c r="P229" s="46" t="s">
        <v>79</v>
      </c>
      <c r="Q229" s="46" t="s">
        <v>79</v>
      </c>
      <c r="R229" s="46" t="s">
        <v>79</v>
      </c>
      <c r="S229" s="46" t="s">
        <v>79</v>
      </c>
      <c r="T229" s="46" t="s">
        <v>79</v>
      </c>
      <c r="U229" s="46" t="s">
        <v>79</v>
      </c>
      <c r="V229" s="46" t="s">
        <v>79</v>
      </c>
      <c r="W229" s="46" t="s">
        <v>79</v>
      </c>
      <c r="X229" s="46" t="s">
        <v>79</v>
      </c>
      <c r="Y229" s="46" t="s">
        <v>79</v>
      </c>
      <c r="Z229" s="46" t="s">
        <v>79</v>
      </c>
      <c r="AA229" s="46" t="s">
        <v>79</v>
      </c>
      <c r="AB229" s="46" t="s">
        <v>79</v>
      </c>
      <c r="AC229" s="46" t="s">
        <v>79</v>
      </c>
      <c r="AD229" s="46" t="s">
        <v>79</v>
      </c>
      <c r="AE229" s="46" t="s">
        <v>79</v>
      </c>
      <c r="AF229" s="46" t="s">
        <v>79</v>
      </c>
      <c r="AG229" s="46" t="s">
        <v>79</v>
      </c>
      <c r="AH229" s="46" t="s">
        <v>117</v>
      </c>
      <c r="AI229" s="46" t="s">
        <v>47</v>
      </c>
      <c r="AJ229" s="46">
        <f>=SUM(E230:AI230)</f>
      </c>
      <c r="AK229" s="46">
        <f>=+AY229</f>
      </c>
      <c r="AL229" s="46"/>
      <c r="AM229" s="1"/>
      <c r="AN229" s="1">
        <f>=COUNTIF(E229:AI229,"A")+COUNTIF(E229:AI229,"B")+COUNTIF(E229:AI229,"C")+COUNTIF(E229:AI229,"D")+COUNTIF(E229:AI229,"E")+COUNTIF(E229:AI229,"F")+COUNTIF(E229:AI229,"M")+COUNTIF(E229:AI229,"AB")+COUNTIF(E229:AI229,"UZ")+COUNTIF(E229:AI229,"G")+(COUNTIF(E229:AI229,"RT.")/2)+(COUNTIF(E229:AI229,"ÇRT.")/2)</f>
      </c>
      <c r="AO229" s="1">
        <f>=COUNTIF(E229:AI229,"O")</f>
      </c>
      <c r="AP229" s="1">
        <f>=COUNTIF(E229:AI229,"RT")+(COUNTIF(E229:AI229,"RT.")/2)</f>
      </c>
      <c r="AQ229" s="1">
        <f>=COUNTIF(E229:AI229,"ÇRT")+(COUNTIF(E229:AI229,"ÇRT.")/2)</f>
      </c>
      <c r="AR229" s="1">
        <f>=COUNTIF(E229:AI229,"ÇHT")</f>
      </c>
      <c r="AS229" s="1">
        <f>=COUNTIF(E229:AI229,"Ö")+COUNTIF(E229:AI229,"T")</f>
      </c>
      <c r="AT229" s="1">
        <f>=COUNTIF(E229:AI229,"Y")</f>
      </c>
      <c r="AU229" s="1">
        <f>=COUNTIF(E229:AI229,"R.")</f>
      </c>
      <c r="AV229" s="1">
        <f>=COUNTIF(E229:AI229,"Ü")</f>
      </c>
      <c r="AW229" s="1">
        <f>=COUNTIF(E229:AI229,"R")</f>
      </c>
      <c r="AX229" s="1">
        <f>=COUNTIF(E229:AI229,"DV")</f>
      </c>
      <c r="AY229" s="1">
        <f>=+AN229+AO229+AP229+AQ229+AR229+AS229+AT229+AU229</f>
      </c>
    </row>
    <row r="230" ht="16" customHeight="1" spans="1:51" x14ac:dyDescent="0.25">
      <c r="A230" s="46"/>
      <c r="B230" s="46"/>
      <c r="C230" s="46"/>
      <c r="D230" s="46" t="s">
        <v>32</v>
      </c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ht="16" customHeight="1" spans="1:51" x14ac:dyDescent="0.25">
      <c r="A231" s="46">
        <v>112</v>
      </c>
      <c r="B231" s="46" t="s">
        <v>265</v>
      </c>
      <c r="C231" s="46" t="s">
        <v>266</v>
      </c>
      <c r="D231" s="46" t="s">
        <v>28</v>
      </c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 t="s">
        <v>29</v>
      </c>
      <c r="T231" s="46" t="s">
        <v>29</v>
      </c>
      <c r="U231" s="46" t="s">
        <v>29</v>
      </c>
      <c r="V231" s="46" t="s">
        <v>29</v>
      </c>
      <c r="W231" s="46" t="s">
        <v>29</v>
      </c>
      <c r="X231" s="46" t="s">
        <v>29</v>
      </c>
      <c r="Y231" s="46" t="s">
        <v>30</v>
      </c>
      <c r="Z231" s="46" t="s">
        <v>29</v>
      </c>
      <c r="AA231" s="46" t="s">
        <v>29</v>
      </c>
      <c r="AB231" s="46" t="s">
        <v>29</v>
      </c>
      <c r="AC231" s="46" t="s">
        <v>29</v>
      </c>
      <c r="AD231" s="46" t="s">
        <v>29</v>
      </c>
      <c r="AE231" s="46" t="s">
        <v>29</v>
      </c>
      <c r="AF231" s="46" t="s">
        <v>29</v>
      </c>
      <c r="AG231" s="46" t="s">
        <v>29</v>
      </c>
      <c r="AH231" s="46" t="s">
        <v>30</v>
      </c>
      <c r="AI231" s="46" t="s">
        <v>29</v>
      </c>
      <c r="AJ231" s="46">
        <f>=SUM(E232:AI232)</f>
      </c>
      <c r="AK231" s="46">
        <f>=+AY231</f>
      </c>
      <c r="AL231" s="46"/>
      <c r="AM231" s="1"/>
      <c r="AN231" s="1">
        <f>=COUNTIF(E231:AI231,"A")+COUNTIF(E231:AI231,"B")+COUNTIF(E231:AI231,"C")+COUNTIF(E231:AI231,"D")+COUNTIF(E231:AI231,"E")+COUNTIF(E231:AI231,"F")+COUNTIF(E231:AI231,"M")+COUNTIF(E231:AI231,"AB")+COUNTIF(E231:AI231,"UZ")+COUNTIF(E231:AI231,"G")+(COUNTIF(E231:AI231,"RT.")/2)+(COUNTIF(E231:AI231,"ÇRT.")/2)</f>
      </c>
      <c r="AO231" s="1">
        <f>=COUNTIF(E231:AI231,"O")</f>
      </c>
      <c r="AP231" s="1">
        <f>=COUNTIF(E231:AI231,"RT")+(COUNTIF(E231:AI231,"RT.")/2)</f>
      </c>
      <c r="AQ231" s="1">
        <f>=COUNTIF(E231:AI231,"ÇRT")+(COUNTIF(E231:AI231,"ÇRT.")/2)</f>
      </c>
      <c r="AR231" s="1">
        <f>=COUNTIF(E231:AI231,"ÇHT")</f>
      </c>
      <c r="AS231" s="1">
        <f>=COUNTIF(E231:AI231,"Ö")+COUNTIF(E231:AI231,"T")</f>
      </c>
      <c r="AT231" s="1">
        <f>=COUNTIF(E231:AI231,"Y")</f>
      </c>
      <c r="AU231" s="1">
        <f>=COUNTIF(E231:AI231,"R.")</f>
      </c>
      <c r="AV231" s="1">
        <f>=COUNTIF(E231:AI231,"Ü")</f>
      </c>
      <c r="AW231" s="1">
        <f>=COUNTIF(E231:AI231,"R")</f>
      </c>
      <c r="AX231" s="1">
        <f>=COUNTIF(E231:AI231,"DV")</f>
      </c>
      <c r="AY231" s="1">
        <f>=+AN231+AO231+AP231+AQ231+AR231+AS231+AT231+AU231</f>
      </c>
    </row>
    <row r="232" ht="16" customHeight="1" spans="1:51" x14ac:dyDescent="0.25">
      <c r="A232" s="46"/>
      <c r="B232" s="46"/>
      <c r="C232" s="46"/>
      <c r="D232" s="46" t="s">
        <v>32</v>
      </c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ht="16" customHeight="1" spans="1:51" x14ac:dyDescent="0.25">
      <c r="A233" s="46">
        <v>113</v>
      </c>
      <c r="B233" s="46" t="s">
        <v>267</v>
      </c>
      <c r="C233" s="46" t="s">
        <v>268</v>
      </c>
      <c r="D233" s="46" t="s">
        <v>28</v>
      </c>
      <c r="E233" s="46" t="s">
        <v>29</v>
      </c>
      <c r="F233" s="46" t="s">
        <v>29</v>
      </c>
      <c r="G233" s="46" t="s">
        <v>29</v>
      </c>
      <c r="H233" s="46" t="s">
        <v>29</v>
      </c>
      <c r="I233" s="46" t="s">
        <v>30</v>
      </c>
      <c r="J233" s="46" t="s">
        <v>29</v>
      </c>
      <c r="K233" s="46" t="s">
        <v>36</v>
      </c>
      <c r="L233" s="46" t="s">
        <v>36</v>
      </c>
      <c r="M233" s="46" t="s">
        <v>36</v>
      </c>
      <c r="N233" s="46" t="s">
        <v>36</v>
      </c>
      <c r="O233" s="46" t="s">
        <v>36</v>
      </c>
      <c r="P233" s="46" t="s">
        <v>30</v>
      </c>
      <c r="Q233" s="46" t="s">
        <v>36</v>
      </c>
      <c r="R233" s="46" t="s">
        <v>36</v>
      </c>
      <c r="S233" s="46" t="s">
        <v>36</v>
      </c>
      <c r="T233" s="46" t="s">
        <v>36</v>
      </c>
      <c r="U233" s="46" t="s">
        <v>36</v>
      </c>
      <c r="V233" s="46" t="s">
        <v>36</v>
      </c>
      <c r="W233" s="46" t="s">
        <v>30</v>
      </c>
      <c r="X233" s="46" t="s">
        <v>29</v>
      </c>
      <c r="Y233" s="46" t="s">
        <v>29</v>
      </c>
      <c r="Z233" s="46" t="s">
        <v>29</v>
      </c>
      <c r="AA233" s="46" t="s">
        <v>29</v>
      </c>
      <c r="AB233" s="46" t="s">
        <v>29</v>
      </c>
      <c r="AC233" s="46" t="s">
        <v>29</v>
      </c>
      <c r="AD233" s="46" t="s">
        <v>30</v>
      </c>
      <c r="AE233" s="46" t="s">
        <v>29</v>
      </c>
      <c r="AF233" s="46" t="s">
        <v>29</v>
      </c>
      <c r="AG233" s="46" t="s">
        <v>29</v>
      </c>
      <c r="AH233" s="46" t="s">
        <v>31</v>
      </c>
      <c r="AI233" s="46" t="s">
        <v>29</v>
      </c>
      <c r="AJ233" s="46">
        <f>=SUM(E234:AI234)</f>
      </c>
      <c r="AK233" s="46">
        <f>=+AY233</f>
      </c>
      <c r="AL233" s="46"/>
      <c r="AM233" s="1"/>
      <c r="AN233" s="1">
        <f>=COUNTIF(E233:AI233,"A")+COUNTIF(E233:AI233,"B")+COUNTIF(E233:AI233,"C")+COUNTIF(E233:AI233,"D")+COUNTIF(E233:AI233,"E")+COUNTIF(E233:AI233,"F")+COUNTIF(E233:AI233,"M")+COUNTIF(E233:AI233,"AB")+COUNTIF(E233:AI233,"UZ")+COUNTIF(E233:AI233,"G")+(COUNTIF(E233:AI233,"RT.")/2)+(COUNTIF(E233:AI233,"ÇRT.")/2)</f>
      </c>
      <c r="AO233" s="1">
        <f>=COUNTIF(E233:AI233,"O")</f>
      </c>
      <c r="AP233" s="1">
        <f>=COUNTIF(E233:AI233,"RT")+(COUNTIF(E233:AI233,"RT.")/2)</f>
      </c>
      <c r="AQ233" s="1">
        <f>=COUNTIF(E233:AI233,"ÇRT")+(COUNTIF(E233:AI233,"ÇRT.")/2)</f>
      </c>
      <c r="AR233" s="1">
        <f>=COUNTIF(E233:AI233,"ÇHT")</f>
      </c>
      <c r="AS233" s="1">
        <f>=COUNTIF(E233:AI233,"Ö")+COUNTIF(E233:AI233,"T")</f>
      </c>
      <c r="AT233" s="1">
        <f>=COUNTIF(E233:AI233,"Y")</f>
      </c>
      <c r="AU233" s="1">
        <f>=COUNTIF(E233:AI233,"R.")</f>
      </c>
      <c r="AV233" s="1">
        <f>=COUNTIF(E233:AI233,"Ü")</f>
      </c>
      <c r="AW233" s="1">
        <f>=COUNTIF(E233:AI233,"R")</f>
      </c>
      <c r="AX233" s="1">
        <f>=COUNTIF(E233:AI233,"DV")</f>
      </c>
      <c r="AY233" s="1">
        <f>=+AN233+AO233+AP233+AQ233+AR233+AS233+AT233+AU233</f>
      </c>
    </row>
    <row r="234" ht="16" customHeight="1" spans="1:51" x14ac:dyDescent="0.25">
      <c r="A234" s="46"/>
      <c r="B234" s="46"/>
      <c r="C234" s="46"/>
      <c r="D234" s="46" t="s">
        <v>32</v>
      </c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>
        <v>3</v>
      </c>
      <c r="AH234" s="46">
        <v>2</v>
      </c>
      <c r="AI234" s="46"/>
      <c r="AJ234" s="46"/>
      <c r="AK234" s="46"/>
      <c r="AL234" s="46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ht="16" customHeight="1" spans="1:51" x14ac:dyDescent="0.25">
      <c r="A235" s="46">
        <v>114</v>
      </c>
      <c r="B235" s="46" t="s">
        <v>269</v>
      </c>
      <c r="C235" s="46" t="s">
        <v>270</v>
      </c>
      <c r="D235" s="46" t="s">
        <v>28</v>
      </c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>
        <f>=SUM(E236:AI236)</f>
      </c>
      <c r="AK235" s="46">
        <f>=+AY235</f>
      </c>
      <c r="AL235" s="46"/>
      <c r="AM235" s="1"/>
      <c r="AN235" s="1">
        <f>=COUNTIF(E235:AI235,"A")+COUNTIF(E235:AI235,"B")+COUNTIF(E235:AI235,"C")+COUNTIF(E235:AI235,"D")+COUNTIF(E235:AI235,"E")+COUNTIF(E235:AI235,"F")+COUNTIF(E235:AI235,"M")+COUNTIF(E235:AI235,"AB")+COUNTIF(E235:AI235,"UZ")+COUNTIF(E235:AI235,"G")+(COUNTIF(E235:AI235,"RT.")/2)+(COUNTIF(E235:AI235,"ÇRT.")/2)</f>
      </c>
      <c r="AO235" s="1">
        <f>=COUNTIF(E235:AI235,"O")</f>
      </c>
      <c r="AP235" s="1">
        <f>=COUNTIF(E235:AI235,"RT")+(COUNTIF(E235:AI235,"RT.")/2)</f>
      </c>
      <c r="AQ235" s="1">
        <f>=COUNTIF(E235:AI235,"ÇRT")+(COUNTIF(E235:AI235,"ÇRT.")/2)</f>
      </c>
      <c r="AR235" s="1">
        <f>=COUNTIF(E235:AI235,"ÇHT")</f>
      </c>
      <c r="AS235" s="1">
        <f>=COUNTIF(E235:AI235,"Ö")+COUNTIF(E235:AI235,"T")</f>
      </c>
      <c r="AT235" s="1">
        <f>=COUNTIF(E235:AI235,"Y")</f>
      </c>
      <c r="AU235" s="1">
        <f>=COUNTIF(E235:AI235,"R.")</f>
      </c>
      <c r="AV235" s="1">
        <f>=COUNTIF(E235:AI235,"Ü")</f>
      </c>
      <c r="AW235" s="1">
        <f>=COUNTIF(E235:AI235,"R")</f>
      </c>
      <c r="AX235" s="1">
        <f>=COUNTIF(E235:AI235,"DV")</f>
      </c>
      <c r="AY235" s="1">
        <f>=+AN235+AO235+AP235+AQ235+AR235+AS235+AT235+AU235</f>
      </c>
    </row>
    <row r="236" ht="16" customHeight="1" spans="1:51" x14ac:dyDescent="0.25">
      <c r="A236" s="46"/>
      <c r="B236" s="46"/>
      <c r="C236" s="46"/>
      <c r="D236" s="46" t="s">
        <v>32</v>
      </c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ht="16" customHeight="1" spans="1:51" x14ac:dyDescent="0.25">
      <c r="A237" s="46">
        <v>115</v>
      </c>
      <c r="B237" s="46" t="s">
        <v>271</v>
      </c>
      <c r="C237" s="46" t="s">
        <v>272</v>
      </c>
      <c r="D237" s="46" t="s">
        <v>28</v>
      </c>
      <c r="E237" s="46" t="s">
        <v>50</v>
      </c>
      <c r="F237" s="46" t="s">
        <v>50</v>
      </c>
      <c r="G237" s="46" t="s">
        <v>50</v>
      </c>
      <c r="H237" s="46" t="s">
        <v>50</v>
      </c>
      <c r="I237" s="46" t="s">
        <v>30</v>
      </c>
      <c r="J237" s="46" t="s">
        <v>50</v>
      </c>
      <c r="K237" s="46" t="s">
        <v>50</v>
      </c>
      <c r="L237" s="46" t="s">
        <v>50</v>
      </c>
      <c r="M237" s="46" t="s">
        <v>50</v>
      </c>
      <c r="N237" s="46" t="s">
        <v>50</v>
      </c>
      <c r="O237" s="46" t="s">
        <v>50</v>
      </c>
      <c r="P237" s="46" t="s">
        <v>30</v>
      </c>
      <c r="Q237" s="46" t="s">
        <v>50</v>
      </c>
      <c r="R237" s="46" t="s">
        <v>50</v>
      </c>
      <c r="S237" s="46" t="s">
        <v>50</v>
      </c>
      <c r="T237" s="46" t="s">
        <v>50</v>
      </c>
      <c r="U237" s="46" t="s">
        <v>50</v>
      </c>
      <c r="V237" s="46" t="s">
        <v>50</v>
      </c>
      <c r="W237" s="46" t="s">
        <v>30</v>
      </c>
      <c r="X237" s="46" t="s">
        <v>50</v>
      </c>
      <c r="Y237" s="46" t="s">
        <v>50</v>
      </c>
      <c r="Z237" s="46" t="s">
        <v>50</v>
      </c>
      <c r="AA237" s="46" t="s">
        <v>50</v>
      </c>
      <c r="AB237" s="46" t="s">
        <v>50</v>
      </c>
      <c r="AC237" s="46" t="s">
        <v>50</v>
      </c>
      <c r="AD237" s="46" t="s">
        <v>30</v>
      </c>
      <c r="AE237" s="46" t="s">
        <v>50</v>
      </c>
      <c r="AF237" s="46" t="s">
        <v>50</v>
      </c>
      <c r="AG237" s="46" t="s">
        <v>50</v>
      </c>
      <c r="AH237" s="46" t="s">
        <v>31</v>
      </c>
      <c r="AI237" s="46" t="s">
        <v>50</v>
      </c>
      <c r="AJ237" s="46">
        <f>=SUM(E238:AI238)</f>
      </c>
      <c r="AK237" s="46">
        <f>=+AY237</f>
      </c>
      <c r="AL237" s="46"/>
      <c r="AM237" s="1"/>
      <c r="AN237" s="1">
        <f>=COUNTIF(E237:AI237,"A")+COUNTIF(E237:AI237,"B")+COUNTIF(E237:AI237,"C")+COUNTIF(E237:AI237,"D")+COUNTIF(E237:AI237,"E")+COUNTIF(E237:AI237,"F")+COUNTIF(E237:AI237,"M")+COUNTIF(E237:AI237,"AB")+COUNTIF(E237:AI237,"UZ")+COUNTIF(E237:AI237,"G")+(COUNTIF(E237:AI237,"RT.")/2)+(COUNTIF(E237:AI237,"ÇRT.")/2)</f>
      </c>
      <c r="AO237" s="1">
        <f>=COUNTIF(E237:AI237,"O")</f>
      </c>
      <c r="AP237" s="1">
        <f>=COUNTIF(E237:AI237,"RT")+(COUNTIF(E237:AI237,"RT.")/2)</f>
      </c>
      <c r="AQ237" s="1">
        <f>=COUNTIF(E237:AI237,"ÇRT")+(COUNTIF(E237:AI237,"ÇRT.")/2)</f>
      </c>
      <c r="AR237" s="1">
        <f>=COUNTIF(E237:AI237,"ÇHT")</f>
      </c>
      <c r="AS237" s="1">
        <f>=COUNTIF(E237:AI237,"Ö")+COUNTIF(E237:AI237,"T")</f>
      </c>
      <c r="AT237" s="1">
        <f>=COUNTIF(E237:AI237,"Y")</f>
      </c>
      <c r="AU237" s="1">
        <f>=COUNTIF(E237:AI237,"R.")</f>
      </c>
      <c r="AV237" s="1">
        <f>=COUNTIF(E237:AI237,"Ü")</f>
      </c>
      <c r="AW237" s="1">
        <f>=COUNTIF(E237:AI237,"R")</f>
      </c>
      <c r="AX237" s="1">
        <f>=COUNTIF(E237:AI237,"DV")</f>
      </c>
      <c r="AY237" s="1">
        <f>=+AN237+AO237+AP237+AQ237+AR237+AS237+AT237+AU237</f>
      </c>
    </row>
    <row r="238" ht="16" customHeight="1" spans="1:51" x14ac:dyDescent="0.25">
      <c r="A238" s="46"/>
      <c r="B238" s="46"/>
      <c r="C238" s="46"/>
      <c r="D238" s="46" t="s">
        <v>32</v>
      </c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ht="16" customHeight="1" spans="1:51" x14ac:dyDescent="0.25">
      <c r="A239" s="46">
        <v>116</v>
      </c>
      <c r="B239" s="46" t="s">
        <v>273</v>
      </c>
      <c r="C239" s="46" t="s">
        <v>274</v>
      </c>
      <c r="D239" s="46" t="s">
        <v>28</v>
      </c>
      <c r="E239" s="46" t="s">
        <v>50</v>
      </c>
      <c r="F239" s="46" t="s">
        <v>50</v>
      </c>
      <c r="G239" s="46" t="s">
        <v>50</v>
      </c>
      <c r="H239" s="46" t="s">
        <v>50</v>
      </c>
      <c r="I239" s="46" t="s">
        <v>50</v>
      </c>
      <c r="J239" s="46" t="s">
        <v>30</v>
      </c>
      <c r="K239" s="46" t="s">
        <v>50</v>
      </c>
      <c r="L239" s="46" t="s">
        <v>50</v>
      </c>
      <c r="M239" s="46" t="s">
        <v>50</v>
      </c>
      <c r="N239" s="46" t="s">
        <v>50</v>
      </c>
      <c r="O239" s="46" t="s">
        <v>30</v>
      </c>
      <c r="P239" s="46" t="s">
        <v>50</v>
      </c>
      <c r="Q239" s="46" t="s">
        <v>50</v>
      </c>
      <c r="R239" s="46" t="s">
        <v>50</v>
      </c>
      <c r="S239" s="46" t="s">
        <v>50</v>
      </c>
      <c r="T239" s="46" t="s">
        <v>50</v>
      </c>
      <c r="U239" s="46" t="s">
        <v>50</v>
      </c>
      <c r="V239" s="46" t="s">
        <v>30</v>
      </c>
      <c r="W239" s="46" t="s">
        <v>50</v>
      </c>
      <c r="X239" s="46" t="s">
        <v>50</v>
      </c>
      <c r="Y239" s="46" t="s">
        <v>50</v>
      </c>
      <c r="Z239" s="46" t="s">
        <v>50</v>
      </c>
      <c r="AA239" s="46" t="s">
        <v>50</v>
      </c>
      <c r="AB239" s="46" t="s">
        <v>50</v>
      </c>
      <c r="AC239" s="46" t="s">
        <v>30</v>
      </c>
      <c r="AD239" s="46" t="s">
        <v>50</v>
      </c>
      <c r="AE239" s="46" t="s">
        <v>50</v>
      </c>
      <c r="AF239" s="46" t="s">
        <v>50</v>
      </c>
      <c r="AG239" s="46" t="s">
        <v>50</v>
      </c>
      <c r="AH239" s="46" t="s">
        <v>31</v>
      </c>
      <c r="AI239" s="46" t="s">
        <v>50</v>
      </c>
      <c r="AJ239" s="46">
        <f>=SUM(E240:AI240)</f>
      </c>
      <c r="AK239" s="46">
        <f>=+AY239</f>
      </c>
      <c r="AL239" s="46"/>
      <c r="AM239" s="1"/>
      <c r="AN239" s="1">
        <f>=COUNTIF(E239:AI239,"A")+COUNTIF(E239:AI239,"B")+COUNTIF(E239:AI239,"C")+COUNTIF(E239:AI239,"D")+COUNTIF(E239:AI239,"E")+COUNTIF(E239:AI239,"F")+COUNTIF(E239:AI239,"M")+COUNTIF(E239:AI239,"AB")+COUNTIF(E239:AI239,"UZ")+COUNTIF(E239:AI239,"G")+(COUNTIF(E239:AI239,"RT.")/2)+(COUNTIF(E239:AI239,"ÇRT.")/2)</f>
      </c>
      <c r="AO239" s="1">
        <f>=COUNTIF(E239:AI239,"O")</f>
      </c>
      <c r="AP239" s="1">
        <f>=COUNTIF(E239:AI239,"RT")+(COUNTIF(E239:AI239,"RT.")/2)</f>
      </c>
      <c r="AQ239" s="1">
        <f>=COUNTIF(E239:AI239,"ÇRT")+(COUNTIF(E239:AI239,"ÇRT.")/2)</f>
      </c>
      <c r="AR239" s="1">
        <f>=COUNTIF(E239:AI239,"ÇHT")</f>
      </c>
      <c r="AS239" s="1">
        <f>=COUNTIF(E239:AI239,"Ö")+COUNTIF(E239:AI239,"T")</f>
      </c>
      <c r="AT239" s="1">
        <f>=COUNTIF(E239:AI239,"Y")</f>
      </c>
      <c r="AU239" s="1">
        <f>=COUNTIF(E239:AI239,"R.")</f>
      </c>
      <c r="AV239" s="1">
        <f>=COUNTIF(E239:AI239,"Ü")</f>
      </c>
      <c r="AW239" s="1">
        <f>=COUNTIF(E239:AI239,"R")</f>
      </c>
      <c r="AX239" s="1">
        <f>=COUNTIF(E239:AI239,"DV")</f>
      </c>
      <c r="AY239" s="1">
        <f>=+AN239+AO239+AP239+AQ239+AR239+AS239+AT239+AU239</f>
      </c>
    </row>
    <row r="240" ht="16" customHeight="1" spans="1:51" x14ac:dyDescent="0.25">
      <c r="A240" s="46"/>
      <c r="B240" s="46"/>
      <c r="C240" s="46"/>
      <c r="D240" s="46" t="s">
        <v>32</v>
      </c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ht="16" customHeight="1" spans="1:51" x14ac:dyDescent="0.25">
      <c r="A241" s="46">
        <v>117</v>
      </c>
      <c r="B241" s="46" t="s">
        <v>275</v>
      </c>
      <c r="C241" s="46" t="s">
        <v>276</v>
      </c>
      <c r="D241" s="46" t="s">
        <v>28</v>
      </c>
      <c r="E241" s="46" t="s">
        <v>29</v>
      </c>
      <c r="F241" s="46" t="s">
        <v>29</v>
      </c>
      <c r="G241" s="46" t="s">
        <v>29</v>
      </c>
      <c r="H241" s="46" t="s">
        <v>30</v>
      </c>
      <c r="I241" s="46" t="s">
        <v>29</v>
      </c>
      <c r="J241" s="46" t="s">
        <v>29</v>
      </c>
      <c r="K241" s="46" t="s">
        <v>29</v>
      </c>
      <c r="L241" s="46" t="s">
        <v>29</v>
      </c>
      <c r="M241" s="46" t="s">
        <v>29</v>
      </c>
      <c r="N241" s="46" t="s">
        <v>29</v>
      </c>
      <c r="O241" s="46" t="s">
        <v>29</v>
      </c>
      <c r="P241" s="46" t="s">
        <v>30</v>
      </c>
      <c r="Q241" s="46" t="s">
        <v>29</v>
      </c>
      <c r="R241" s="46" t="s">
        <v>29</v>
      </c>
      <c r="S241" s="46" t="s">
        <v>29</v>
      </c>
      <c r="T241" s="46" t="s">
        <v>29</v>
      </c>
      <c r="U241" s="46" t="s">
        <v>29</v>
      </c>
      <c r="V241" s="46" t="s">
        <v>29</v>
      </c>
      <c r="W241" s="46" t="s">
        <v>30</v>
      </c>
      <c r="X241" s="46" t="s">
        <v>29</v>
      </c>
      <c r="Y241" s="46" t="s">
        <v>29</v>
      </c>
      <c r="Z241" s="46" t="s">
        <v>29</v>
      </c>
      <c r="AA241" s="46" t="s">
        <v>29</v>
      </c>
      <c r="AB241" s="46" t="s">
        <v>29</v>
      </c>
      <c r="AC241" s="46" t="s">
        <v>29</v>
      </c>
      <c r="AD241" s="46" t="s">
        <v>30</v>
      </c>
      <c r="AE241" s="46" t="s">
        <v>29</v>
      </c>
      <c r="AF241" s="46" t="s">
        <v>29</v>
      </c>
      <c r="AG241" s="46" t="s">
        <v>29</v>
      </c>
      <c r="AH241" s="46" t="s">
        <v>31</v>
      </c>
      <c r="AI241" s="46" t="s">
        <v>29</v>
      </c>
      <c r="AJ241" s="46">
        <f>=SUM(E242:AI242)</f>
      </c>
      <c r="AK241" s="46">
        <f>=+AY241</f>
      </c>
      <c r="AL241" s="46"/>
      <c r="AM241" s="1"/>
      <c r="AN241" s="1">
        <f>=COUNTIF(E241:AI241,"A")+COUNTIF(E241:AI241,"B")+COUNTIF(E241:AI241,"C")+COUNTIF(E241:AI241,"D")+COUNTIF(E241:AI241,"E")+COUNTIF(E241:AI241,"F")+COUNTIF(E241:AI241,"M")+COUNTIF(E241:AI241,"AB")+COUNTIF(E241:AI241,"UZ")+COUNTIF(E241:AI241,"G")+(COUNTIF(E241:AI241,"RT.")/2)+(COUNTIF(E241:AI241,"ÇRT.")/2)</f>
      </c>
      <c r="AO241" s="1">
        <f>=COUNTIF(E241:AI241,"O")</f>
      </c>
      <c r="AP241" s="1">
        <f>=COUNTIF(E241:AI241,"RT")+(COUNTIF(E241:AI241,"RT.")/2)</f>
      </c>
      <c r="AQ241" s="1">
        <f>=COUNTIF(E241:AI241,"ÇRT")+(COUNTIF(E241:AI241,"ÇRT.")/2)</f>
      </c>
      <c r="AR241" s="1">
        <f>=COUNTIF(E241:AI241,"ÇHT")</f>
      </c>
      <c r="AS241" s="1">
        <f>=COUNTIF(E241:AI241,"Ö")+COUNTIF(E241:AI241,"T")</f>
      </c>
      <c r="AT241" s="1">
        <f>=COUNTIF(E241:AI241,"Y")</f>
      </c>
      <c r="AU241" s="1">
        <f>=COUNTIF(E241:AI241,"R.")</f>
      </c>
      <c r="AV241" s="1">
        <f>=COUNTIF(E241:AI241,"Ü")</f>
      </c>
      <c r="AW241" s="1">
        <f>=COUNTIF(E241:AI241,"R")</f>
      </c>
      <c r="AX241" s="1">
        <f>=COUNTIF(E241:AI241,"DV")</f>
      </c>
      <c r="AY241" s="1">
        <f>=+AN241+AO241+AP241+AQ241+AR241+AS241+AT241+AU241</f>
      </c>
    </row>
    <row r="242" ht="16" customHeight="1" spans="1:51" x14ac:dyDescent="0.25">
      <c r="A242" s="46"/>
      <c r="B242" s="46"/>
      <c r="C242" s="46"/>
      <c r="D242" s="46" t="s">
        <v>32</v>
      </c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>
        <v>2</v>
      </c>
      <c r="AG242" s="46"/>
      <c r="AH242" s="46"/>
      <c r="AI242" s="46"/>
      <c r="AJ242" s="46"/>
      <c r="AK242" s="46"/>
      <c r="AL242" s="46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ht="16" customHeight="1" spans="1:51" x14ac:dyDescent="0.25">
      <c r="A243" s="46">
        <v>118</v>
      </c>
      <c r="B243" s="46" t="s">
        <v>277</v>
      </c>
      <c r="C243" s="46" t="s">
        <v>278</v>
      </c>
      <c r="D243" s="46" t="s">
        <v>28</v>
      </c>
      <c r="E243" s="46" t="s">
        <v>29</v>
      </c>
      <c r="F243" s="46" t="s">
        <v>29</v>
      </c>
      <c r="G243" s="46" t="s">
        <v>30</v>
      </c>
      <c r="H243" s="46" t="s">
        <v>35</v>
      </c>
      <c r="I243" s="46" t="s">
        <v>29</v>
      </c>
      <c r="J243" s="46" t="s">
        <v>29</v>
      </c>
      <c r="K243" s="46" t="s">
        <v>29</v>
      </c>
      <c r="L243" s="46" t="s">
        <v>29</v>
      </c>
      <c r="M243" s="46" t="s">
        <v>29</v>
      </c>
      <c r="N243" s="46" t="s">
        <v>44</v>
      </c>
      <c r="O243" s="46" t="s">
        <v>29</v>
      </c>
      <c r="P243" s="46" t="s">
        <v>29</v>
      </c>
      <c r="Q243" s="46" t="s">
        <v>29</v>
      </c>
      <c r="R243" s="46" t="s">
        <v>29</v>
      </c>
      <c r="S243" s="46" t="s">
        <v>29</v>
      </c>
      <c r="T243" s="46" t="s">
        <v>29</v>
      </c>
      <c r="U243" s="46" t="s">
        <v>30</v>
      </c>
      <c r="V243" s="46" t="s">
        <v>29</v>
      </c>
      <c r="W243" s="46" t="s">
        <v>29</v>
      </c>
      <c r="X243" s="46" t="s">
        <v>29</v>
      </c>
      <c r="Y243" s="46" t="s">
        <v>29</v>
      </c>
      <c r="Z243" s="46" t="s">
        <v>29</v>
      </c>
      <c r="AA243" s="46" t="s">
        <v>29</v>
      </c>
      <c r="AB243" s="46" t="s">
        <v>30</v>
      </c>
      <c r="AC243" s="46" t="s">
        <v>29</v>
      </c>
      <c r="AD243" s="46" t="s">
        <v>29</v>
      </c>
      <c r="AE243" s="46" t="s">
        <v>29</v>
      </c>
      <c r="AF243" s="46" t="s">
        <v>29</v>
      </c>
      <c r="AG243" s="46" t="s">
        <v>35</v>
      </c>
      <c r="AH243" s="46" t="s">
        <v>31</v>
      </c>
      <c r="AI243" s="46" t="s">
        <v>30</v>
      </c>
      <c r="AJ243" s="46">
        <f>=SUM(E244:AI244)</f>
      </c>
      <c r="AK243" s="46">
        <f>=+AY243</f>
      </c>
      <c r="AL243" s="46"/>
      <c r="AM243" s="1"/>
      <c r="AN243" s="1">
        <f>=COUNTIF(E243:AI243,"A")+COUNTIF(E243:AI243,"B")+COUNTIF(E243:AI243,"C")+COUNTIF(E243:AI243,"D")+COUNTIF(E243:AI243,"E")+COUNTIF(E243:AI243,"F")+COUNTIF(E243:AI243,"M")+COUNTIF(E243:AI243,"AB")+COUNTIF(E243:AI243,"UZ")+COUNTIF(E243:AI243,"G")+(COUNTIF(E243:AI243,"RT.")/2)+(COUNTIF(E243:AI243,"ÇRT.")/2)</f>
      </c>
      <c r="AO243" s="1">
        <f>=COUNTIF(E243:AI243,"O")</f>
      </c>
      <c r="AP243" s="1">
        <f>=COUNTIF(E243:AI243,"RT")+(COUNTIF(E243:AI243,"RT.")/2)</f>
      </c>
      <c r="AQ243" s="1">
        <f>=COUNTIF(E243:AI243,"ÇRT")+(COUNTIF(E243:AI243,"ÇRT.")/2)</f>
      </c>
      <c r="AR243" s="1">
        <f>=COUNTIF(E243:AI243,"ÇHT")</f>
      </c>
      <c r="AS243" s="1">
        <f>=COUNTIF(E243:AI243,"Ö")+COUNTIF(E243:AI243,"T")</f>
      </c>
      <c r="AT243" s="1">
        <f>=COUNTIF(E243:AI243,"Y")</f>
      </c>
      <c r="AU243" s="1">
        <f>=COUNTIF(E243:AI243,"R.")</f>
      </c>
      <c r="AV243" s="1">
        <f>=COUNTIF(E243:AI243,"Ü")</f>
      </c>
      <c r="AW243" s="1">
        <f>=COUNTIF(E243:AI243,"R")</f>
      </c>
      <c r="AX243" s="1">
        <f>=COUNTIF(E243:AI243,"DV")</f>
      </c>
      <c r="AY243" s="1">
        <f>=+AN243+AO243+AP243+AQ243+AR243+AS243+AT243+AU243</f>
      </c>
    </row>
    <row r="244" ht="16" customHeight="1" spans="1:51" x14ac:dyDescent="0.25">
      <c r="A244" s="46"/>
      <c r="B244" s="46"/>
      <c r="C244" s="46"/>
      <c r="D244" s="46" t="s">
        <v>32</v>
      </c>
      <c r="E244" s="46"/>
      <c r="F244" s="46"/>
      <c r="G244" s="46"/>
      <c r="H244" s="46"/>
      <c r="I244" s="46"/>
      <c r="J244" s="46"/>
      <c r="K244" s="46"/>
      <c r="L244" s="46">
        <v>2</v>
      </c>
      <c r="M244" s="46"/>
      <c r="N244" s="46">
        <v>1</v>
      </c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ht="16" customHeight="1" spans="1:51" x14ac:dyDescent="0.25">
      <c r="A245" s="46">
        <v>119</v>
      </c>
      <c r="B245" s="46" t="s">
        <v>279</v>
      </c>
      <c r="C245" s="46" t="s">
        <v>280</v>
      </c>
      <c r="D245" s="46" t="s">
        <v>28</v>
      </c>
      <c r="E245" s="46" t="s">
        <v>29</v>
      </c>
      <c r="F245" s="46" t="s">
        <v>29</v>
      </c>
      <c r="G245" s="46" t="s">
        <v>30</v>
      </c>
      <c r="H245" s="46" t="s">
        <v>47</v>
      </c>
      <c r="I245" s="46" t="s">
        <v>47</v>
      </c>
      <c r="J245" s="46" t="s">
        <v>47</v>
      </c>
      <c r="K245" s="46" t="s">
        <v>47</v>
      </c>
      <c r="L245" s="46" t="s">
        <v>47</v>
      </c>
      <c r="M245" s="46" t="s">
        <v>29</v>
      </c>
      <c r="N245" s="46" t="s">
        <v>47</v>
      </c>
      <c r="O245" s="46" t="s">
        <v>47</v>
      </c>
      <c r="P245" s="46" t="s">
        <v>79</v>
      </c>
      <c r="Q245" s="46" t="s">
        <v>30</v>
      </c>
      <c r="R245" s="46" t="s">
        <v>29</v>
      </c>
      <c r="S245" s="46" t="s">
        <v>29</v>
      </c>
      <c r="T245" s="46" t="s">
        <v>29</v>
      </c>
      <c r="U245" s="46" t="s">
        <v>29</v>
      </c>
      <c r="V245" s="46" t="s">
        <v>30</v>
      </c>
      <c r="W245" s="46" t="s">
        <v>29</v>
      </c>
      <c r="X245" s="46" t="s">
        <v>29</v>
      </c>
      <c r="Y245" s="46" t="s">
        <v>29</v>
      </c>
      <c r="Z245" s="46" t="s">
        <v>35</v>
      </c>
      <c r="AA245" s="46" t="s">
        <v>29</v>
      </c>
      <c r="AB245" s="46" t="s">
        <v>29</v>
      </c>
      <c r="AC245" s="46" t="s">
        <v>30</v>
      </c>
      <c r="AD245" s="46" t="s">
        <v>29</v>
      </c>
      <c r="AE245" s="46" t="s">
        <v>29</v>
      </c>
      <c r="AF245" s="46" t="s">
        <v>29</v>
      </c>
      <c r="AG245" s="46" t="s">
        <v>29</v>
      </c>
      <c r="AH245" s="46" t="s">
        <v>31</v>
      </c>
      <c r="AI245" s="46" t="s">
        <v>29</v>
      </c>
      <c r="AJ245" s="46">
        <f>=SUM(E246:AI246)</f>
      </c>
      <c r="AK245" s="46">
        <f>=+AY245</f>
      </c>
      <c r="AL245" s="46"/>
      <c r="AM245" s="1"/>
      <c r="AN245" s="1">
        <f>=COUNTIF(E245:AI245,"A")+COUNTIF(E245:AI245,"B")+COUNTIF(E245:AI245,"C")+COUNTIF(E245:AI245,"D")+COUNTIF(E245:AI245,"E")+COUNTIF(E245:AI245,"F")+COUNTIF(E245:AI245,"M")+COUNTIF(E245:AI245,"AB")+COUNTIF(E245:AI245,"UZ")+COUNTIF(E245:AI245,"G")+(COUNTIF(E245:AI245,"RT.")/2)+(COUNTIF(E245:AI245,"ÇRT.")/2)</f>
      </c>
      <c r="AO245" s="1">
        <f>=COUNTIF(E245:AI245,"O")</f>
      </c>
      <c r="AP245" s="1">
        <f>=COUNTIF(E245:AI245,"RT")+(COUNTIF(E245:AI245,"RT.")/2)</f>
      </c>
      <c r="AQ245" s="1">
        <f>=COUNTIF(E245:AI245,"ÇRT")+(COUNTIF(E245:AI245,"ÇRT.")/2)</f>
      </c>
      <c r="AR245" s="1">
        <f>=COUNTIF(E245:AI245,"ÇHT")</f>
      </c>
      <c r="AS245" s="1">
        <f>=COUNTIF(E245:AI245,"Ö")+COUNTIF(E245:AI245,"T")</f>
      </c>
      <c r="AT245" s="1">
        <f>=COUNTIF(E245:AI245,"Y")</f>
      </c>
      <c r="AU245" s="1">
        <f>=COUNTIF(E245:AI245,"R.")</f>
      </c>
      <c r="AV245" s="1">
        <f>=COUNTIF(E245:AI245,"Ü")</f>
      </c>
      <c r="AW245" s="1">
        <f>=COUNTIF(E245:AI245,"R")</f>
      </c>
      <c r="AX245" s="1">
        <f>=COUNTIF(E245:AI245,"DV")</f>
      </c>
      <c r="AY245" s="1">
        <f>=+AN245+AO245+AP245+AQ245+AR245+AS245+AT245+AU245</f>
      </c>
    </row>
    <row r="246" ht="16" customHeight="1" spans="1:51" x14ac:dyDescent="0.25">
      <c r="A246" s="46"/>
      <c r="B246" s="46"/>
      <c r="C246" s="46"/>
      <c r="D246" s="46" t="s">
        <v>32</v>
      </c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>
        <v>3</v>
      </c>
      <c r="AG246" s="46">
        <v>2</v>
      </c>
      <c r="AH246" s="46">
        <v>2</v>
      </c>
      <c r="AI246" s="46"/>
      <c r="AJ246" s="46"/>
      <c r="AK246" s="46"/>
      <c r="AL246" s="46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ht="16" customHeight="1" spans="1:51" x14ac:dyDescent="0.25">
      <c r="A247" s="46">
        <v>120</v>
      </c>
      <c r="B247" s="46" t="s">
        <v>281</v>
      </c>
      <c r="C247" s="46" t="s">
        <v>282</v>
      </c>
      <c r="D247" s="46" t="s">
        <v>28</v>
      </c>
      <c r="E247" s="46" t="s">
        <v>30</v>
      </c>
      <c r="F247" s="46" t="s">
        <v>29</v>
      </c>
      <c r="G247" s="46" t="s">
        <v>29</v>
      </c>
      <c r="H247" s="46" t="s">
        <v>29</v>
      </c>
      <c r="I247" s="46" t="s">
        <v>29</v>
      </c>
      <c r="J247" s="46" t="s">
        <v>29</v>
      </c>
      <c r="K247" s="46" t="s">
        <v>29</v>
      </c>
      <c r="L247" s="46" t="s">
        <v>44</v>
      </c>
      <c r="M247" s="46" t="s">
        <v>29</v>
      </c>
      <c r="N247" s="46" t="s">
        <v>29</v>
      </c>
      <c r="O247" s="46" t="s">
        <v>29</v>
      </c>
      <c r="P247" s="46" t="s">
        <v>29</v>
      </c>
      <c r="Q247" s="46" t="s">
        <v>29</v>
      </c>
      <c r="R247" s="46" t="s">
        <v>29</v>
      </c>
      <c r="S247" s="46" t="s">
        <v>30</v>
      </c>
      <c r="T247" s="46" t="s">
        <v>29</v>
      </c>
      <c r="U247" s="46" t="s">
        <v>29</v>
      </c>
      <c r="V247" s="46" t="s">
        <v>29</v>
      </c>
      <c r="W247" s="46" t="s">
        <v>29</v>
      </c>
      <c r="X247" s="46" t="s">
        <v>29</v>
      </c>
      <c r="Y247" s="46" t="s">
        <v>29</v>
      </c>
      <c r="Z247" s="46" t="s">
        <v>30</v>
      </c>
      <c r="AA247" s="46" t="s">
        <v>29</v>
      </c>
      <c r="AB247" s="46" t="s">
        <v>29</v>
      </c>
      <c r="AC247" s="46" t="s">
        <v>29</v>
      </c>
      <c r="AD247" s="46" t="s">
        <v>29</v>
      </c>
      <c r="AE247" s="46" t="s">
        <v>30</v>
      </c>
      <c r="AF247" s="46" t="s">
        <v>29</v>
      </c>
      <c r="AG247" s="46" t="s">
        <v>29</v>
      </c>
      <c r="AH247" s="46" t="s">
        <v>31</v>
      </c>
      <c r="AI247" s="46" t="s">
        <v>29</v>
      </c>
      <c r="AJ247" s="46">
        <f>=SUM(E248:AI248)</f>
      </c>
      <c r="AK247" s="46">
        <f>=+AY247</f>
      </c>
      <c r="AL247" s="46"/>
      <c r="AM247" s="1"/>
      <c r="AN247" s="1">
        <f>=COUNTIF(E247:AI247,"A")+COUNTIF(E247:AI247,"B")+COUNTIF(E247:AI247,"C")+COUNTIF(E247:AI247,"D")+COUNTIF(E247:AI247,"E")+COUNTIF(E247:AI247,"F")+COUNTIF(E247:AI247,"M")+COUNTIF(E247:AI247,"AB")+COUNTIF(E247:AI247,"UZ")+COUNTIF(E247:AI247,"G")+(COUNTIF(E247:AI247,"RT.")/2)+(COUNTIF(E247:AI247,"ÇRT.")/2)</f>
      </c>
      <c r="AO247" s="1">
        <f>=COUNTIF(E247:AI247,"O")</f>
      </c>
      <c r="AP247" s="1">
        <f>=COUNTIF(E247:AI247,"RT")+(COUNTIF(E247:AI247,"RT.")/2)</f>
      </c>
      <c r="AQ247" s="1">
        <f>=COUNTIF(E247:AI247,"ÇRT")+(COUNTIF(E247:AI247,"ÇRT.")/2)</f>
      </c>
      <c r="AR247" s="1">
        <f>=COUNTIF(E247:AI247,"ÇHT")</f>
      </c>
      <c r="AS247" s="1">
        <f>=COUNTIF(E247:AI247,"Ö")+COUNTIF(E247:AI247,"T")</f>
      </c>
      <c r="AT247" s="1">
        <f>=COUNTIF(E247:AI247,"Y")</f>
      </c>
      <c r="AU247" s="1">
        <f>=COUNTIF(E247:AI247,"R.")</f>
      </c>
      <c r="AV247" s="1">
        <f>=COUNTIF(E247:AI247,"Ü")</f>
      </c>
      <c r="AW247" s="1">
        <f>=COUNTIF(E247:AI247,"R")</f>
      </c>
      <c r="AX247" s="1">
        <f>=COUNTIF(E247:AI247,"DV")</f>
      </c>
      <c r="AY247" s="1">
        <f>=+AN247+AO247+AP247+AQ247+AR247+AS247+AT247+AU247</f>
      </c>
    </row>
    <row r="248" ht="16" customHeight="1" spans="1:51" x14ac:dyDescent="0.25">
      <c r="A248" s="46"/>
      <c r="B248" s="46"/>
      <c r="C248" s="46"/>
      <c r="D248" s="46" t="s">
        <v>32</v>
      </c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>
        <v>3</v>
      </c>
      <c r="AH248" s="46">
        <v>2</v>
      </c>
      <c r="AI248" s="46"/>
      <c r="AJ248" s="46"/>
      <c r="AK248" s="46"/>
      <c r="AL248" s="46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ht="16" customHeight="1" spans="1:51" x14ac:dyDescent="0.25">
      <c r="A249" s="46">
        <v>121</v>
      </c>
      <c r="B249" s="46" t="s">
        <v>283</v>
      </c>
      <c r="C249" s="46" t="s">
        <v>284</v>
      </c>
      <c r="D249" s="46" t="s">
        <v>28</v>
      </c>
      <c r="E249" s="46" t="s">
        <v>29</v>
      </c>
      <c r="F249" s="46" t="s">
        <v>29</v>
      </c>
      <c r="G249" s="46" t="s">
        <v>29</v>
      </c>
      <c r="H249" s="46" t="s">
        <v>29</v>
      </c>
      <c r="I249" s="46" t="s">
        <v>29</v>
      </c>
      <c r="J249" s="46" t="s">
        <v>30</v>
      </c>
      <c r="K249" s="46" t="s">
        <v>29</v>
      </c>
      <c r="L249" s="46" t="s">
        <v>47</v>
      </c>
      <c r="M249" s="46" t="s">
        <v>29</v>
      </c>
      <c r="N249" s="46" t="s">
        <v>29</v>
      </c>
      <c r="O249" s="46" t="s">
        <v>29</v>
      </c>
      <c r="P249" s="46" t="s">
        <v>47</v>
      </c>
      <c r="Q249" s="46" t="s">
        <v>30</v>
      </c>
      <c r="R249" s="46" t="s">
        <v>29</v>
      </c>
      <c r="S249" s="46" t="s">
        <v>29</v>
      </c>
      <c r="T249" s="46" t="s">
        <v>29</v>
      </c>
      <c r="U249" s="46" t="s">
        <v>29</v>
      </c>
      <c r="V249" s="46" t="s">
        <v>29</v>
      </c>
      <c r="W249" s="46" t="s">
        <v>29</v>
      </c>
      <c r="X249" s="46" t="s">
        <v>30</v>
      </c>
      <c r="Y249" s="46" t="s">
        <v>29</v>
      </c>
      <c r="Z249" s="46" t="s">
        <v>29</v>
      </c>
      <c r="AA249" s="46" t="s">
        <v>29</v>
      </c>
      <c r="AB249" s="46" t="s">
        <v>29</v>
      </c>
      <c r="AC249" s="46" t="s">
        <v>29</v>
      </c>
      <c r="AD249" s="46" t="s">
        <v>29</v>
      </c>
      <c r="AE249" s="46" t="s">
        <v>30</v>
      </c>
      <c r="AF249" s="46" t="s">
        <v>29</v>
      </c>
      <c r="AG249" s="46" t="s">
        <v>29</v>
      </c>
      <c r="AH249" s="46" t="s">
        <v>31</v>
      </c>
      <c r="AI249" s="46" t="s">
        <v>29</v>
      </c>
      <c r="AJ249" s="46">
        <f>=SUM(E250:AI250)</f>
      </c>
      <c r="AK249" s="46">
        <f>=+AY249</f>
      </c>
      <c r="AL249" s="46"/>
      <c r="AM249" s="1"/>
      <c r="AN249" s="1">
        <f>=COUNTIF(E249:AI249,"A")+COUNTIF(E249:AI249,"B")+COUNTIF(E249:AI249,"C")+COUNTIF(E249:AI249,"D")+COUNTIF(E249:AI249,"E")+COUNTIF(E249:AI249,"F")+COUNTIF(E249:AI249,"M")+COUNTIF(E249:AI249,"AB")+COUNTIF(E249:AI249,"UZ")+COUNTIF(E249:AI249,"G")+(COUNTIF(E249:AI249,"RT.")/2)+(COUNTIF(E249:AI249,"ÇRT.")/2)</f>
      </c>
      <c r="AO249" s="1">
        <f>=COUNTIF(E249:AI249,"O")</f>
      </c>
      <c r="AP249" s="1">
        <f>=COUNTIF(E249:AI249,"RT")+(COUNTIF(E249:AI249,"RT.")/2)</f>
      </c>
      <c r="AQ249" s="1">
        <f>=COUNTIF(E249:AI249,"ÇRT")+(COUNTIF(E249:AI249,"ÇRT.")/2)</f>
      </c>
      <c r="AR249" s="1">
        <f>=COUNTIF(E249:AI249,"ÇHT")</f>
      </c>
      <c r="AS249" s="1">
        <f>=COUNTIF(E249:AI249,"Ö")+COUNTIF(E249:AI249,"T")</f>
      </c>
      <c r="AT249" s="1">
        <f>=COUNTIF(E249:AI249,"Y")</f>
      </c>
      <c r="AU249" s="1">
        <f>=COUNTIF(E249:AI249,"R.")</f>
      </c>
      <c r="AV249" s="1">
        <f>=COUNTIF(E249:AI249,"Ü")</f>
      </c>
      <c r="AW249" s="1">
        <f>=COUNTIF(E249:AI249,"R")</f>
      </c>
      <c r="AX249" s="1">
        <f>=COUNTIF(E249:AI249,"DV")</f>
      </c>
      <c r="AY249" s="1">
        <f>=+AN249+AO249+AP249+AQ249+AR249+AS249+AT249+AU249</f>
      </c>
    </row>
    <row r="250" ht="16" customHeight="1" spans="1:51" x14ac:dyDescent="0.25">
      <c r="A250" s="46"/>
      <c r="B250" s="46"/>
      <c r="C250" s="46"/>
      <c r="D250" s="46" t="s">
        <v>32</v>
      </c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>
        <v>3</v>
      </c>
      <c r="AH250" s="46">
        <v>2</v>
      </c>
      <c r="AI250" s="46"/>
      <c r="AJ250" s="46"/>
      <c r="AK250" s="46"/>
      <c r="AL250" s="46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ht="16" customHeight="1" spans="1:51" x14ac:dyDescent="0.25">
      <c r="A251" s="46">
        <v>122</v>
      </c>
      <c r="B251" s="46" t="s">
        <v>285</v>
      </c>
      <c r="C251" s="46" t="s">
        <v>286</v>
      </c>
      <c r="D251" s="46" t="s">
        <v>28</v>
      </c>
      <c r="E251" s="46" t="s">
        <v>29</v>
      </c>
      <c r="F251" s="46" t="s">
        <v>30</v>
      </c>
      <c r="G251" s="46" t="s">
        <v>29</v>
      </c>
      <c r="H251" s="46" t="s">
        <v>29</v>
      </c>
      <c r="I251" s="46" t="s">
        <v>29</v>
      </c>
      <c r="J251" s="46" t="s">
        <v>29</v>
      </c>
      <c r="K251" s="46" t="s">
        <v>29</v>
      </c>
      <c r="L251" s="46" t="s">
        <v>29</v>
      </c>
      <c r="M251" s="46" t="s">
        <v>30</v>
      </c>
      <c r="N251" s="46" t="s">
        <v>29</v>
      </c>
      <c r="O251" s="46" t="s">
        <v>29</v>
      </c>
      <c r="P251" s="46" t="s">
        <v>29</v>
      </c>
      <c r="Q251" s="46" t="s">
        <v>29</v>
      </c>
      <c r="R251" s="46" t="s">
        <v>29</v>
      </c>
      <c r="S251" s="46" t="s">
        <v>29</v>
      </c>
      <c r="T251" s="46" t="s">
        <v>30</v>
      </c>
      <c r="U251" s="46" t="s">
        <v>29</v>
      </c>
      <c r="V251" s="46" t="s">
        <v>29</v>
      </c>
      <c r="W251" s="46" t="s">
        <v>29</v>
      </c>
      <c r="X251" s="46" t="s">
        <v>29</v>
      </c>
      <c r="Y251" s="46" t="s">
        <v>29</v>
      </c>
      <c r="Z251" s="46" t="s">
        <v>29</v>
      </c>
      <c r="AA251" s="46" t="s">
        <v>30</v>
      </c>
      <c r="AB251" s="46" t="s">
        <v>29</v>
      </c>
      <c r="AC251" s="46" t="s">
        <v>29</v>
      </c>
      <c r="AD251" s="46" t="s">
        <v>29</v>
      </c>
      <c r="AE251" s="46" t="s">
        <v>29</v>
      </c>
      <c r="AF251" s="46" t="s">
        <v>29</v>
      </c>
      <c r="AG251" s="46" t="s">
        <v>29</v>
      </c>
      <c r="AH251" s="46" t="s">
        <v>44</v>
      </c>
      <c r="AI251" s="46" t="s">
        <v>29</v>
      </c>
      <c r="AJ251" s="46">
        <f>=SUM(E252:AI252)</f>
      </c>
      <c r="AK251" s="46">
        <f>=+AY251</f>
      </c>
      <c r="AL251" s="46"/>
      <c r="AM251" s="1"/>
      <c r="AN251" s="1">
        <f>=COUNTIF(E251:AI251,"A")+COUNTIF(E251:AI251,"B")+COUNTIF(E251:AI251,"C")+COUNTIF(E251:AI251,"D")+COUNTIF(E251:AI251,"E")+COUNTIF(E251:AI251,"F")+COUNTIF(E251:AI251,"M")+COUNTIF(E251:AI251,"AB")+COUNTIF(E251:AI251,"UZ")+COUNTIF(E251:AI251,"G")+(COUNTIF(E251:AI251,"RT.")/2)+(COUNTIF(E251:AI251,"ÇRT.")/2)</f>
      </c>
      <c r="AO251" s="1">
        <f>=COUNTIF(E251:AI251,"O")</f>
      </c>
      <c r="AP251" s="1">
        <f>=COUNTIF(E251:AI251,"RT")+(COUNTIF(E251:AI251,"RT.")/2)</f>
      </c>
      <c r="AQ251" s="1">
        <f>=COUNTIF(E251:AI251,"ÇRT")+(COUNTIF(E251:AI251,"ÇRT.")/2)</f>
      </c>
      <c r="AR251" s="1">
        <f>=COUNTIF(E251:AI251,"ÇHT")</f>
      </c>
      <c r="AS251" s="1">
        <f>=COUNTIF(E251:AI251,"Ö")+COUNTIF(E251:AI251,"T")</f>
      </c>
      <c r="AT251" s="1">
        <f>=COUNTIF(E251:AI251,"Y")</f>
      </c>
      <c r="AU251" s="1">
        <f>=COUNTIF(E251:AI251,"R.")</f>
      </c>
      <c r="AV251" s="1">
        <f>=COUNTIF(E251:AI251,"Ü")</f>
      </c>
      <c r="AW251" s="1">
        <f>=COUNTIF(E251:AI251,"R")</f>
      </c>
      <c r="AX251" s="1">
        <f>=COUNTIF(E251:AI251,"DV")</f>
      </c>
      <c r="AY251" s="1">
        <f>=+AN251+AO251+AP251+AQ251+AR251+AS251+AT251+AU251</f>
      </c>
    </row>
    <row r="252" ht="16" customHeight="1" spans="1:51" x14ac:dyDescent="0.25">
      <c r="A252" s="46"/>
      <c r="B252" s="46"/>
      <c r="C252" s="46"/>
      <c r="D252" s="46" t="s">
        <v>32</v>
      </c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ht="16" customHeight="1" spans="1:51" x14ac:dyDescent="0.25">
      <c r="A253" s="46">
        <v>123</v>
      </c>
      <c r="B253" s="46" t="s">
        <v>287</v>
      </c>
      <c r="C253" s="46" t="s">
        <v>288</v>
      </c>
      <c r="D253" s="46" t="s">
        <v>28</v>
      </c>
      <c r="E253" s="46" t="s">
        <v>30</v>
      </c>
      <c r="F253" s="46" t="s">
        <v>29</v>
      </c>
      <c r="G253" s="46" t="s">
        <v>29</v>
      </c>
      <c r="H253" s="46" t="s">
        <v>29</v>
      </c>
      <c r="I253" s="46" t="s">
        <v>29</v>
      </c>
      <c r="J253" s="46" t="s">
        <v>29</v>
      </c>
      <c r="K253" s="46" t="s">
        <v>47</v>
      </c>
      <c r="L253" s="46" t="s">
        <v>30</v>
      </c>
      <c r="M253" s="46" t="s">
        <v>79</v>
      </c>
      <c r="N253" s="46" t="s">
        <v>79</v>
      </c>
      <c r="O253" s="46" t="s">
        <v>79</v>
      </c>
      <c r="P253" s="46" t="s">
        <v>79</v>
      </c>
      <c r="Q253" s="46" t="s">
        <v>79</v>
      </c>
      <c r="R253" s="46" t="s">
        <v>29</v>
      </c>
      <c r="S253" s="46" t="s">
        <v>29</v>
      </c>
      <c r="T253" s="46" t="s">
        <v>29</v>
      </c>
      <c r="U253" s="46" t="s">
        <v>29</v>
      </c>
      <c r="V253" s="46" t="s">
        <v>30</v>
      </c>
      <c r="W253" s="46" t="s">
        <v>29</v>
      </c>
      <c r="X253" s="46" t="s">
        <v>29</v>
      </c>
      <c r="Y253" s="46" t="s">
        <v>29</v>
      </c>
      <c r="Z253" s="46" t="s">
        <v>29</v>
      </c>
      <c r="AA253" s="46" t="s">
        <v>29</v>
      </c>
      <c r="AB253" s="46" t="s">
        <v>29</v>
      </c>
      <c r="AC253" s="46" t="s">
        <v>29</v>
      </c>
      <c r="AD253" s="46" t="s">
        <v>29</v>
      </c>
      <c r="AE253" s="46" t="s">
        <v>29</v>
      </c>
      <c r="AF253" s="46" t="s">
        <v>30</v>
      </c>
      <c r="AG253" s="46" t="s">
        <v>29</v>
      </c>
      <c r="AH253" s="46" t="s">
        <v>117</v>
      </c>
      <c r="AI253" s="46" t="s">
        <v>29</v>
      </c>
      <c r="AJ253" s="46">
        <f>=SUM(E254:AI254)</f>
      </c>
      <c r="AK253" s="46">
        <f>=+AY253</f>
      </c>
      <c r="AL253" s="46"/>
      <c r="AM253" s="1"/>
      <c r="AN253" s="1">
        <f>=COUNTIF(E253:AI253,"A")+COUNTIF(E253:AI253,"B")+COUNTIF(E253:AI253,"C")+COUNTIF(E253:AI253,"D")+COUNTIF(E253:AI253,"E")+COUNTIF(E253:AI253,"F")+COUNTIF(E253:AI253,"M")+COUNTIF(E253:AI253,"AB")+COUNTIF(E253:AI253,"UZ")+COUNTIF(E253:AI253,"G")+(COUNTIF(E253:AI253,"RT.")/2)+(COUNTIF(E253:AI253,"ÇRT.")/2)</f>
      </c>
      <c r="AO253" s="1">
        <f>=COUNTIF(E253:AI253,"O")</f>
      </c>
      <c r="AP253" s="1">
        <f>=COUNTIF(E253:AI253,"RT")+(COUNTIF(E253:AI253,"RT.")/2)</f>
      </c>
      <c r="AQ253" s="1">
        <f>=COUNTIF(E253:AI253,"ÇRT")+(COUNTIF(E253:AI253,"ÇRT.")/2)</f>
      </c>
      <c r="AR253" s="1">
        <f>=COUNTIF(E253:AI253,"ÇHT")</f>
      </c>
      <c r="AS253" s="1">
        <f>=COUNTIF(E253:AI253,"Ö")+COUNTIF(E253:AI253,"T")</f>
      </c>
      <c r="AT253" s="1">
        <f>=COUNTIF(E253:AI253,"Y")</f>
      </c>
      <c r="AU253" s="1">
        <f>=COUNTIF(E253:AI253,"R.")</f>
      </c>
      <c r="AV253" s="1">
        <f>=COUNTIF(E253:AI253,"Ü")</f>
      </c>
      <c r="AW253" s="1">
        <f>=COUNTIF(E253:AI253,"R")</f>
      </c>
      <c r="AX253" s="1">
        <f>=COUNTIF(E253:AI253,"DV")</f>
      </c>
      <c r="AY253" s="1">
        <f>=+AN253+AO253+AP253+AQ253+AR253+AS253+AT253+AU253</f>
      </c>
    </row>
    <row r="254" ht="16" customHeight="1" spans="1:51" x14ac:dyDescent="0.25">
      <c r="A254" s="46"/>
      <c r="B254" s="46"/>
      <c r="C254" s="46"/>
      <c r="D254" s="46" t="s">
        <v>32</v>
      </c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>
        <v>1</v>
      </c>
      <c r="Z254" s="46"/>
      <c r="AA254" s="46"/>
      <c r="AB254" s="46"/>
      <c r="AC254" s="46"/>
      <c r="AD254" s="46"/>
      <c r="AE254" s="46"/>
      <c r="AF254" s="46"/>
      <c r="AG254" s="46">
        <v>2</v>
      </c>
      <c r="AH254" s="46"/>
      <c r="AI254" s="46"/>
      <c r="AJ254" s="46"/>
      <c r="AK254" s="46"/>
      <c r="AL254" s="46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ht="16" customHeight="1" spans="1:51" x14ac:dyDescent="0.25">
      <c r="A255" s="46">
        <v>124</v>
      </c>
      <c r="B255" s="46" t="s">
        <v>289</v>
      </c>
      <c r="C255" s="46" t="s">
        <v>290</v>
      </c>
      <c r="D255" s="46" t="s">
        <v>28</v>
      </c>
      <c r="E255" s="46"/>
      <c r="F255" s="46"/>
      <c r="G255" s="46"/>
      <c r="H255" s="46"/>
      <c r="I255" s="46"/>
      <c r="J255" s="46"/>
      <c r="K255" s="46"/>
      <c r="L255" s="46" t="s">
        <v>29</v>
      </c>
      <c r="M255" s="46" t="s">
        <v>29</v>
      </c>
      <c r="N255" s="46" t="s">
        <v>29</v>
      </c>
      <c r="O255" s="46" t="s">
        <v>30</v>
      </c>
      <c r="P255" s="46" t="s">
        <v>29</v>
      </c>
      <c r="Q255" s="46" t="s">
        <v>29</v>
      </c>
      <c r="R255" s="46" t="s">
        <v>29</v>
      </c>
      <c r="S255" s="46" t="s">
        <v>29</v>
      </c>
      <c r="T255" s="46" t="s">
        <v>29</v>
      </c>
      <c r="U255" s="46" t="s">
        <v>29</v>
      </c>
      <c r="V255" s="46" t="s">
        <v>30</v>
      </c>
      <c r="W255" s="46" t="s">
        <v>29</v>
      </c>
      <c r="X255" s="46" t="s">
        <v>29</v>
      </c>
      <c r="Y255" s="46" t="s">
        <v>29</v>
      </c>
      <c r="Z255" s="46" t="s">
        <v>29</v>
      </c>
      <c r="AA255" s="46" t="s">
        <v>29</v>
      </c>
      <c r="AB255" s="46" t="s">
        <v>29</v>
      </c>
      <c r="AC255" s="46" t="s">
        <v>29</v>
      </c>
      <c r="AD255" s="46" t="s">
        <v>29</v>
      </c>
      <c r="AE255" s="46" t="s">
        <v>29</v>
      </c>
      <c r="AF255" s="46" t="s">
        <v>29</v>
      </c>
      <c r="AG255" s="46" t="s">
        <v>30</v>
      </c>
      <c r="AH255" s="46" t="s">
        <v>31</v>
      </c>
      <c r="AI255" s="46" t="s">
        <v>29</v>
      </c>
      <c r="AJ255" s="46">
        <f>=SUM(E256:AI256)</f>
      </c>
      <c r="AK255" s="46">
        <f>=+AY255</f>
      </c>
      <c r="AL255" s="46"/>
      <c r="AM255" s="1"/>
      <c r="AN255" s="1">
        <f>=COUNTIF(E255:AI255,"A")+COUNTIF(E255:AI255,"B")+COUNTIF(E255:AI255,"C")+COUNTIF(E255:AI255,"D")+COUNTIF(E255:AI255,"E")+COUNTIF(E255:AI255,"F")+COUNTIF(E255:AI255,"M")+COUNTIF(E255:AI255,"AB")+COUNTIF(E255:AI255,"UZ")+COUNTIF(E255:AI255,"G")+(COUNTIF(E255:AI255,"RT.")/2)+(COUNTIF(E255:AI255,"ÇRT.")/2)</f>
      </c>
      <c r="AO255" s="1">
        <f>=COUNTIF(E255:AI255,"O")</f>
      </c>
      <c r="AP255" s="1">
        <f>=COUNTIF(E255:AI255,"RT")+(COUNTIF(E255:AI255,"RT.")/2)</f>
      </c>
      <c r="AQ255" s="1">
        <f>=COUNTIF(E255:AI255,"ÇRT")+(COUNTIF(E255:AI255,"ÇRT.")/2)</f>
      </c>
      <c r="AR255" s="1">
        <f>=COUNTIF(E255:AI255,"ÇHT")</f>
      </c>
      <c r="AS255" s="1">
        <f>=COUNTIF(E255:AI255,"Ö")+COUNTIF(E255:AI255,"T")</f>
      </c>
      <c r="AT255" s="1">
        <f>=COUNTIF(E255:AI255,"Y")</f>
      </c>
      <c r="AU255" s="1">
        <f>=COUNTIF(E255:AI255,"R.")</f>
      </c>
      <c r="AV255" s="1">
        <f>=COUNTIF(E255:AI255,"Ü")</f>
      </c>
      <c r="AW255" s="1">
        <f>=COUNTIF(E255:AI255,"R")</f>
      </c>
      <c r="AX255" s="1">
        <f>=COUNTIF(E255:AI255,"DV")</f>
      </c>
      <c r="AY255" s="1">
        <f>=+AN255+AO255+AP255+AQ255+AR255+AS255+AT255+AU255</f>
      </c>
    </row>
    <row r="256" ht="16" customHeight="1" spans="1:51" x14ac:dyDescent="0.25">
      <c r="A256" s="46"/>
      <c r="B256" s="46"/>
      <c r="C256" s="46"/>
      <c r="D256" s="46" t="s">
        <v>32</v>
      </c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>
        <v>2</v>
      </c>
      <c r="AD256" s="46"/>
      <c r="AE256" s="46"/>
      <c r="AF256" s="46"/>
      <c r="AG256" s="46"/>
      <c r="AH256" s="46"/>
      <c r="AI256" s="46"/>
      <c r="AJ256" s="46"/>
      <c r="AK256" s="46"/>
      <c r="AL256" s="46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ht="16" customHeight="1" spans="1:51" x14ac:dyDescent="0.25">
      <c r="A257" s="46">
        <v>125</v>
      </c>
      <c r="B257" s="46" t="s">
        <v>291</v>
      </c>
      <c r="C257" s="46" t="s">
        <v>292</v>
      </c>
      <c r="D257" s="46" t="s">
        <v>28</v>
      </c>
      <c r="E257" s="46" t="s">
        <v>30</v>
      </c>
      <c r="F257" s="46" t="s">
        <v>41</v>
      </c>
      <c r="G257" s="46" t="s">
        <v>29</v>
      </c>
      <c r="H257" s="46" t="s">
        <v>29</v>
      </c>
      <c r="I257" s="46" t="s">
        <v>29</v>
      </c>
      <c r="J257" s="46" t="s">
        <v>29</v>
      </c>
      <c r="K257" s="46" t="s">
        <v>29</v>
      </c>
      <c r="L257" s="46" t="s">
        <v>30</v>
      </c>
      <c r="M257" s="46" t="s">
        <v>29</v>
      </c>
      <c r="N257" s="46" t="s">
        <v>41</v>
      </c>
      <c r="O257" s="46" t="s">
        <v>41</v>
      </c>
      <c r="P257" s="46" t="s">
        <v>41</v>
      </c>
      <c r="Q257" s="46" t="s">
        <v>41</v>
      </c>
      <c r="R257" s="46" t="s">
        <v>41</v>
      </c>
      <c r="S257" s="46" t="s">
        <v>30</v>
      </c>
      <c r="T257" s="46" t="s">
        <v>41</v>
      </c>
      <c r="U257" s="46" t="s">
        <v>29</v>
      </c>
      <c r="V257" s="46" t="s">
        <v>29</v>
      </c>
      <c r="W257" s="46" t="s">
        <v>29</v>
      </c>
      <c r="X257" s="46" t="s">
        <v>29</v>
      </c>
      <c r="Y257" s="46" t="s">
        <v>29</v>
      </c>
      <c r="Z257" s="46" t="s">
        <v>30</v>
      </c>
      <c r="AA257" s="46" t="s">
        <v>29</v>
      </c>
      <c r="AB257" s="46" t="s">
        <v>29</v>
      </c>
      <c r="AC257" s="46" t="s">
        <v>29</v>
      </c>
      <c r="AD257" s="46" t="s">
        <v>41</v>
      </c>
      <c r="AE257" s="46" t="s">
        <v>41</v>
      </c>
      <c r="AF257" s="46" t="s">
        <v>41</v>
      </c>
      <c r="AG257" s="46" t="s">
        <v>30</v>
      </c>
      <c r="AH257" s="46" t="s">
        <v>31</v>
      </c>
      <c r="AI257" s="46" t="s">
        <v>29</v>
      </c>
      <c r="AJ257" s="46">
        <f>=SUM(E258:AI258)</f>
      </c>
      <c r="AK257" s="46">
        <f>=+AY257</f>
      </c>
      <c r="AL257" s="46"/>
      <c r="AM257" s="1"/>
      <c r="AN257" s="1">
        <f>=COUNTIF(E257:AI257,"A")+COUNTIF(E257:AI257,"B")+COUNTIF(E257:AI257,"C")+COUNTIF(E257:AI257,"D")+COUNTIF(E257:AI257,"E")+COUNTIF(E257:AI257,"F")+COUNTIF(E257:AI257,"M")+COUNTIF(E257:AI257,"AB")+COUNTIF(E257:AI257,"UZ")+COUNTIF(E257:AI257,"G")+(COUNTIF(E257:AI257,"RT.")/2)+(COUNTIF(E257:AI257,"ÇRT.")/2)</f>
      </c>
      <c r="AO257" s="1">
        <f>=COUNTIF(E257:AI257,"O")</f>
      </c>
      <c r="AP257" s="1">
        <f>=COUNTIF(E257:AI257,"RT")+(COUNTIF(E257:AI257,"RT.")/2)</f>
      </c>
      <c r="AQ257" s="1">
        <f>=COUNTIF(E257:AI257,"ÇRT")+(COUNTIF(E257:AI257,"ÇRT.")/2)</f>
      </c>
      <c r="AR257" s="1">
        <f>=COUNTIF(E257:AI257,"ÇHT")</f>
      </c>
      <c r="AS257" s="1">
        <f>=COUNTIF(E257:AI257,"Ö")+COUNTIF(E257:AI257,"T")</f>
      </c>
      <c r="AT257" s="1">
        <f>=COUNTIF(E257:AI257,"Y")</f>
      </c>
      <c r="AU257" s="1">
        <f>=COUNTIF(E257:AI257,"R.")</f>
      </c>
      <c r="AV257" s="1">
        <f>=COUNTIF(E257:AI257,"Ü")</f>
      </c>
      <c r="AW257" s="1">
        <f>=COUNTIF(E257:AI257,"R")</f>
      </c>
      <c r="AX257" s="1">
        <f>=COUNTIF(E257:AI257,"DV")</f>
      </c>
      <c r="AY257" s="1">
        <f>=+AN257+AO257+AP257+AQ257+AR257+AS257+AT257+AU257</f>
      </c>
    </row>
    <row r="258" ht="16" customHeight="1" spans="1:51" x14ac:dyDescent="0.25">
      <c r="A258" s="46"/>
      <c r="B258" s="46"/>
      <c r="C258" s="46"/>
      <c r="D258" s="46" t="s">
        <v>32</v>
      </c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ht="16" customHeight="1" spans="1:51" x14ac:dyDescent="0.25">
      <c r="A259" s="46">
        <v>126</v>
      </c>
      <c r="B259" s="46" t="s">
        <v>293</v>
      </c>
      <c r="C259" s="46" t="s">
        <v>294</v>
      </c>
      <c r="D259" s="46" t="s">
        <v>28</v>
      </c>
      <c r="E259" s="46" t="s">
        <v>29</v>
      </c>
      <c r="F259" s="46" t="s">
        <v>30</v>
      </c>
      <c r="G259" s="46" t="s">
        <v>29</v>
      </c>
      <c r="H259" s="46" t="s">
        <v>29</v>
      </c>
      <c r="I259" s="46" t="s">
        <v>29</v>
      </c>
      <c r="J259" s="46" t="s">
        <v>47</v>
      </c>
      <c r="K259" s="46" t="s">
        <v>29</v>
      </c>
      <c r="L259" s="46" t="s">
        <v>29</v>
      </c>
      <c r="M259" s="46" t="s">
        <v>30</v>
      </c>
      <c r="N259" s="46" t="s">
        <v>29</v>
      </c>
      <c r="O259" s="46" t="s">
        <v>29</v>
      </c>
      <c r="P259" s="46" t="s">
        <v>29</v>
      </c>
      <c r="Q259" s="46" t="s">
        <v>29</v>
      </c>
      <c r="R259" s="46" t="s">
        <v>29</v>
      </c>
      <c r="S259" s="46" t="s">
        <v>29</v>
      </c>
      <c r="T259" s="46" t="s">
        <v>29</v>
      </c>
      <c r="U259" s="46" t="s">
        <v>30</v>
      </c>
      <c r="V259" s="46" t="s">
        <v>29</v>
      </c>
      <c r="W259" s="46" t="s">
        <v>29</v>
      </c>
      <c r="X259" s="46" t="s">
        <v>29</v>
      </c>
      <c r="Y259" s="46" t="s">
        <v>29</v>
      </c>
      <c r="Z259" s="46" t="s">
        <v>29</v>
      </c>
      <c r="AA259" s="46" t="s">
        <v>30</v>
      </c>
      <c r="AB259" s="46" t="s">
        <v>29</v>
      </c>
      <c r="AC259" s="46" t="s">
        <v>29</v>
      </c>
      <c r="AD259" s="46" t="s">
        <v>29</v>
      </c>
      <c r="AE259" s="46" t="s">
        <v>29</v>
      </c>
      <c r="AF259" s="46" t="s">
        <v>29</v>
      </c>
      <c r="AG259" s="46" t="s">
        <v>29</v>
      </c>
      <c r="AH259" s="46" t="s">
        <v>30</v>
      </c>
      <c r="AI259" s="46"/>
      <c r="AJ259" s="46">
        <f>=SUM(E260:AI260)</f>
      </c>
      <c r="AK259" s="46">
        <f>=+AY259</f>
      </c>
      <c r="AL259" s="46"/>
      <c r="AM259" s="1"/>
      <c r="AN259" s="1">
        <f>=COUNTIF(E259:AI259,"A")+COUNTIF(E259:AI259,"B")+COUNTIF(E259:AI259,"C")+COUNTIF(E259:AI259,"D")+COUNTIF(E259:AI259,"E")+COUNTIF(E259:AI259,"F")+COUNTIF(E259:AI259,"M")+COUNTIF(E259:AI259,"AB")+COUNTIF(E259:AI259,"UZ")+COUNTIF(E259:AI259,"G")+(COUNTIF(E259:AI259,"RT.")/2)+(COUNTIF(E259:AI259,"ÇRT.")/2)</f>
      </c>
      <c r="AO259" s="1">
        <f>=COUNTIF(E259:AI259,"O")</f>
      </c>
      <c r="AP259" s="1">
        <f>=COUNTIF(E259:AI259,"RT")+(COUNTIF(E259:AI259,"RT.")/2)</f>
      </c>
      <c r="AQ259" s="1">
        <f>=COUNTIF(E259:AI259,"ÇRT")+(COUNTIF(E259:AI259,"ÇRT.")/2)</f>
      </c>
      <c r="AR259" s="1">
        <f>=COUNTIF(E259:AI259,"ÇHT")</f>
      </c>
      <c r="AS259" s="1">
        <f>=COUNTIF(E259:AI259,"Ö")+COUNTIF(E259:AI259,"T")</f>
      </c>
      <c r="AT259" s="1">
        <f>=COUNTIF(E259:AI259,"Y")</f>
      </c>
      <c r="AU259" s="1">
        <f>=COUNTIF(E259:AI259,"R.")</f>
      </c>
      <c r="AV259" s="1">
        <f>=COUNTIF(E259:AI259,"Ü")</f>
      </c>
      <c r="AW259" s="1">
        <f>=COUNTIF(E259:AI259,"R")</f>
      </c>
      <c r="AX259" s="1">
        <f>=COUNTIF(E259:AI259,"DV")</f>
      </c>
      <c r="AY259" s="1">
        <f>=+AN259+AO259+AP259+AQ259+AR259+AS259+AT259+AU259</f>
      </c>
    </row>
    <row r="260" ht="16" customHeight="1" spans="1:51" x14ac:dyDescent="0.25">
      <c r="A260" s="46"/>
      <c r="B260" s="46"/>
      <c r="C260" s="46"/>
      <c r="D260" s="46" t="s">
        <v>32</v>
      </c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ht="16" customHeight="1" spans="1:51" x14ac:dyDescent="0.25">
      <c r="A261" s="46">
        <v>127</v>
      </c>
      <c r="B261" s="46" t="s">
        <v>295</v>
      </c>
      <c r="C261" s="46" t="s">
        <v>296</v>
      </c>
      <c r="D261" s="46" t="s">
        <v>28</v>
      </c>
      <c r="E261" s="46" t="s">
        <v>29</v>
      </c>
      <c r="F261" s="46" t="s">
        <v>29</v>
      </c>
      <c r="G261" s="46" t="s">
        <v>29</v>
      </c>
      <c r="H261" s="46" t="s">
        <v>44</v>
      </c>
      <c r="I261" s="46" t="s">
        <v>29</v>
      </c>
      <c r="J261" s="46" t="s">
        <v>29</v>
      </c>
      <c r="K261" s="46" t="s">
        <v>29</v>
      </c>
      <c r="L261" s="46" t="s">
        <v>29</v>
      </c>
      <c r="M261" s="46" t="s">
        <v>29</v>
      </c>
      <c r="N261" s="46" t="s">
        <v>29</v>
      </c>
      <c r="O261" s="46" t="s">
        <v>29</v>
      </c>
      <c r="P261" s="46" t="s">
        <v>29</v>
      </c>
      <c r="Q261" s="46" t="s">
        <v>29</v>
      </c>
      <c r="R261" s="46" t="s">
        <v>30</v>
      </c>
      <c r="S261" s="46" t="s">
        <v>29</v>
      </c>
      <c r="T261" s="46" t="s">
        <v>29</v>
      </c>
      <c r="U261" s="46" t="s">
        <v>29</v>
      </c>
      <c r="V261" s="46" t="s">
        <v>30</v>
      </c>
      <c r="W261" s="46" t="s">
        <v>29</v>
      </c>
      <c r="X261" s="46" t="s">
        <v>29</v>
      </c>
      <c r="Y261" s="46" t="s">
        <v>29</v>
      </c>
      <c r="Z261" s="46" t="s">
        <v>29</v>
      </c>
      <c r="AA261" s="46" t="s">
        <v>29</v>
      </c>
      <c r="AB261" s="46" t="s">
        <v>29</v>
      </c>
      <c r="AC261" s="46" t="s">
        <v>30</v>
      </c>
      <c r="AD261" s="46" t="s">
        <v>29</v>
      </c>
      <c r="AE261" s="46" t="s">
        <v>29</v>
      </c>
      <c r="AF261" s="46" t="s">
        <v>29</v>
      </c>
      <c r="AG261" s="46" t="s">
        <v>29</v>
      </c>
      <c r="AH261" s="46" t="s">
        <v>31</v>
      </c>
      <c r="AI261" s="46" t="s">
        <v>29</v>
      </c>
      <c r="AJ261" s="46">
        <f>=SUM(E262:AI262)</f>
      </c>
      <c r="AK261" s="46">
        <f>=+AY261</f>
      </c>
      <c r="AL261" s="46"/>
      <c r="AM261" s="1"/>
      <c r="AN261" s="1">
        <f>=COUNTIF(E261:AI261,"A")+COUNTIF(E261:AI261,"B")+COUNTIF(E261:AI261,"C")+COUNTIF(E261:AI261,"D")+COUNTIF(E261:AI261,"E")+COUNTIF(E261:AI261,"F")+COUNTIF(E261:AI261,"M")+COUNTIF(E261:AI261,"AB")+COUNTIF(E261:AI261,"UZ")+COUNTIF(E261:AI261,"G")+(COUNTIF(E261:AI261,"RT.")/2)+(COUNTIF(E261:AI261,"ÇRT.")/2)</f>
      </c>
      <c r="AO261" s="1">
        <f>=COUNTIF(E261:AI261,"O")</f>
      </c>
      <c r="AP261" s="1">
        <f>=COUNTIF(E261:AI261,"RT")+(COUNTIF(E261:AI261,"RT.")/2)</f>
      </c>
      <c r="AQ261" s="1">
        <f>=COUNTIF(E261:AI261,"ÇRT")+(COUNTIF(E261:AI261,"ÇRT.")/2)</f>
      </c>
      <c r="AR261" s="1">
        <f>=COUNTIF(E261:AI261,"ÇHT")</f>
      </c>
      <c r="AS261" s="1">
        <f>=COUNTIF(E261:AI261,"Ö")+COUNTIF(E261:AI261,"T")</f>
      </c>
      <c r="AT261" s="1">
        <f>=COUNTIF(E261:AI261,"Y")</f>
      </c>
      <c r="AU261" s="1">
        <f>=COUNTIF(E261:AI261,"R.")</f>
      </c>
      <c r="AV261" s="1">
        <f>=COUNTIF(E261:AI261,"Ü")</f>
      </c>
      <c r="AW261" s="1">
        <f>=COUNTIF(E261:AI261,"R")</f>
      </c>
      <c r="AX261" s="1">
        <f>=COUNTIF(E261:AI261,"DV")</f>
      </c>
      <c r="AY261" s="1">
        <f>=+AN261+AO261+AP261+AQ261+AR261+AS261+AT261+AU261</f>
      </c>
    </row>
    <row r="262" ht="16" customHeight="1" spans="1:51" x14ac:dyDescent="0.25">
      <c r="A262" s="46"/>
      <c r="B262" s="46"/>
      <c r="C262" s="46"/>
      <c r="D262" s="46" t="s">
        <v>32</v>
      </c>
      <c r="E262" s="46"/>
      <c r="F262" s="46"/>
      <c r="G262" s="46"/>
      <c r="H262" s="46"/>
      <c r="I262" s="46"/>
      <c r="J262" s="46"/>
      <c r="K262" s="46"/>
      <c r="L262" s="46"/>
      <c r="M262" s="46">
        <v>1</v>
      </c>
      <c r="N262" s="46"/>
      <c r="O262" s="46"/>
      <c r="P262" s="46"/>
      <c r="Q262" s="46"/>
      <c r="R262" s="46"/>
      <c r="S262" s="46">
        <v>1</v>
      </c>
      <c r="T262" s="46">
        <v>1</v>
      </c>
      <c r="U262" s="46"/>
      <c r="V262" s="46"/>
      <c r="W262" s="46"/>
      <c r="X262" s="46"/>
      <c r="Y262" s="46"/>
      <c r="Z262" s="46">
        <v>1</v>
      </c>
      <c r="AA262" s="46"/>
      <c r="AB262" s="46">
        <v>1</v>
      </c>
      <c r="AC262" s="46"/>
      <c r="AD262" s="46"/>
      <c r="AE262" s="46"/>
      <c r="AF262" s="46"/>
      <c r="AG262" s="46">
        <v>3</v>
      </c>
      <c r="AH262" s="46">
        <v>2</v>
      </c>
      <c r="AI262" s="46"/>
      <c r="AJ262" s="46"/>
      <c r="AK262" s="46"/>
      <c r="AL262" s="46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ht="16" customHeight="1" spans="1:51" x14ac:dyDescent="0.25">
      <c r="A263" s="46">
        <v>128</v>
      </c>
      <c r="B263" s="46" t="s">
        <v>297</v>
      </c>
      <c r="C263" s="46" t="s">
        <v>298</v>
      </c>
      <c r="D263" s="46" t="s">
        <v>28</v>
      </c>
      <c r="E263" s="46" t="s">
        <v>30</v>
      </c>
      <c r="F263" s="46" t="s">
        <v>36</v>
      </c>
      <c r="G263" s="46" t="s">
        <v>36</v>
      </c>
      <c r="H263" s="46" t="s">
        <v>36</v>
      </c>
      <c r="I263" s="46" t="s">
        <v>36</v>
      </c>
      <c r="J263" s="46" t="s">
        <v>36</v>
      </c>
      <c r="K263" s="46" t="s">
        <v>36</v>
      </c>
      <c r="L263" s="46" t="s">
        <v>30</v>
      </c>
      <c r="M263" s="46" t="s">
        <v>41</v>
      </c>
      <c r="N263" s="46" t="s">
        <v>41</v>
      </c>
      <c r="O263" s="46" t="s">
        <v>41</v>
      </c>
      <c r="P263" s="46" t="s">
        <v>41</v>
      </c>
      <c r="Q263" s="46" t="s">
        <v>41</v>
      </c>
      <c r="R263" s="46" t="s">
        <v>41</v>
      </c>
      <c r="S263" s="46" t="s">
        <v>30</v>
      </c>
      <c r="T263" s="46" t="s">
        <v>41</v>
      </c>
      <c r="U263" s="46" t="s">
        <v>41</v>
      </c>
      <c r="V263" s="46" t="s">
        <v>41</v>
      </c>
      <c r="W263" s="46" t="s">
        <v>41</v>
      </c>
      <c r="X263" s="46" t="s">
        <v>41</v>
      </c>
      <c r="Y263" s="46" t="s">
        <v>41</v>
      </c>
      <c r="Z263" s="46" t="s">
        <v>30</v>
      </c>
      <c r="AA263" s="46" t="s">
        <v>41</v>
      </c>
      <c r="AB263" s="46" t="s">
        <v>41</v>
      </c>
      <c r="AC263" s="46" t="s">
        <v>41</v>
      </c>
      <c r="AD263" s="46" t="s">
        <v>41</v>
      </c>
      <c r="AE263" s="46" t="s">
        <v>41</v>
      </c>
      <c r="AF263" s="46" t="s">
        <v>41</v>
      </c>
      <c r="AG263" s="46" t="s">
        <v>44</v>
      </c>
      <c r="AH263" s="46" t="s">
        <v>31</v>
      </c>
      <c r="AI263" s="46" t="s">
        <v>41</v>
      </c>
      <c r="AJ263" s="46">
        <f>=SUM(E264:AI264)</f>
      </c>
      <c r="AK263" s="46">
        <f>=+AY263</f>
      </c>
      <c r="AL263" s="46"/>
      <c r="AM263" s="1"/>
      <c r="AN263" s="1">
        <f>=COUNTIF(E263:AI263,"A")+COUNTIF(E263:AI263,"B")+COUNTIF(E263:AI263,"C")+COUNTIF(E263:AI263,"D")+COUNTIF(E263:AI263,"E")+COUNTIF(E263:AI263,"F")+COUNTIF(E263:AI263,"M")+COUNTIF(E263:AI263,"AB")+COUNTIF(E263:AI263,"UZ")+COUNTIF(E263:AI263,"G")+(COUNTIF(E263:AI263,"RT.")/2)+(COUNTIF(E263:AI263,"ÇRT.")/2)</f>
      </c>
      <c r="AO263" s="1">
        <f>=COUNTIF(E263:AI263,"O")</f>
      </c>
      <c r="AP263" s="1">
        <f>=COUNTIF(E263:AI263,"RT")+(COUNTIF(E263:AI263,"RT.")/2)</f>
      </c>
      <c r="AQ263" s="1">
        <f>=COUNTIF(E263:AI263,"ÇRT")+(COUNTIF(E263:AI263,"ÇRT.")/2)</f>
      </c>
      <c r="AR263" s="1">
        <f>=COUNTIF(E263:AI263,"ÇHT")</f>
      </c>
      <c r="AS263" s="1">
        <f>=COUNTIF(E263:AI263,"Ö")+COUNTIF(E263:AI263,"T")</f>
      </c>
      <c r="AT263" s="1">
        <f>=COUNTIF(E263:AI263,"Y")</f>
      </c>
      <c r="AU263" s="1">
        <f>=COUNTIF(E263:AI263,"R.")</f>
      </c>
      <c r="AV263" s="1">
        <f>=COUNTIF(E263:AI263,"Ü")</f>
      </c>
      <c r="AW263" s="1">
        <f>=COUNTIF(E263:AI263,"R")</f>
      </c>
      <c r="AX263" s="1">
        <f>=COUNTIF(E263:AI263,"DV")</f>
      </c>
      <c r="AY263" s="1">
        <f>=+AN263+AO263+AP263+AQ263+AR263+AS263+AT263+AU263</f>
      </c>
    </row>
    <row r="264" ht="16" customHeight="1" spans="1:51" x14ac:dyDescent="0.25">
      <c r="A264" s="46"/>
      <c r="B264" s="46"/>
      <c r="C264" s="46"/>
      <c r="D264" s="46" t="s">
        <v>32</v>
      </c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ht="16" customHeight="1" spans="1:51" x14ac:dyDescent="0.25">
      <c r="A265" s="46">
        <v>129</v>
      </c>
      <c r="B265" s="46" t="s">
        <v>299</v>
      </c>
      <c r="C265" s="46" t="s">
        <v>300</v>
      </c>
      <c r="D265" s="46" t="s">
        <v>28</v>
      </c>
      <c r="E265" s="46" t="s">
        <v>30</v>
      </c>
      <c r="F265" s="46" t="s">
        <v>29</v>
      </c>
      <c r="G265" s="46" t="s">
        <v>29</v>
      </c>
      <c r="H265" s="46" t="s">
        <v>29</v>
      </c>
      <c r="I265" s="46" t="s">
        <v>29</v>
      </c>
      <c r="J265" s="46" t="s">
        <v>29</v>
      </c>
      <c r="K265" s="46" t="s">
        <v>29</v>
      </c>
      <c r="L265" s="46" t="s">
        <v>44</v>
      </c>
      <c r="M265" s="46" t="s">
        <v>29</v>
      </c>
      <c r="N265" s="46" t="s">
        <v>29</v>
      </c>
      <c r="O265" s="46" t="s">
        <v>29</v>
      </c>
      <c r="P265" s="46" t="s">
        <v>29</v>
      </c>
      <c r="Q265" s="46" t="s">
        <v>29</v>
      </c>
      <c r="R265" s="46" t="s">
        <v>29</v>
      </c>
      <c r="S265" s="46" t="s">
        <v>30</v>
      </c>
      <c r="T265" s="46" t="s">
        <v>29</v>
      </c>
      <c r="U265" s="46" t="s">
        <v>29</v>
      </c>
      <c r="V265" s="46" t="s">
        <v>29</v>
      </c>
      <c r="W265" s="46" t="s">
        <v>29</v>
      </c>
      <c r="X265" s="46" t="s">
        <v>29</v>
      </c>
      <c r="Y265" s="46" t="s">
        <v>29</v>
      </c>
      <c r="Z265" s="46" t="s">
        <v>30</v>
      </c>
      <c r="AA265" s="46" t="s">
        <v>29</v>
      </c>
      <c r="AB265" s="46" t="s">
        <v>29</v>
      </c>
      <c r="AC265" s="46" t="s">
        <v>29</v>
      </c>
      <c r="AD265" s="46" t="s">
        <v>29</v>
      </c>
      <c r="AE265" s="46" t="s">
        <v>29</v>
      </c>
      <c r="AF265" s="46" t="s">
        <v>29</v>
      </c>
      <c r="AG265" s="46" t="s">
        <v>29</v>
      </c>
      <c r="AH265" s="46" t="s">
        <v>44</v>
      </c>
      <c r="AI265" s="46" t="s">
        <v>29</v>
      </c>
      <c r="AJ265" s="46">
        <f>=SUM(E266:AI266)</f>
      </c>
      <c r="AK265" s="46">
        <f>=+AY265</f>
      </c>
      <c r="AL265" s="46"/>
      <c r="AM265" s="1"/>
      <c r="AN265" s="1">
        <f>=COUNTIF(E265:AI265,"A")+COUNTIF(E265:AI265,"B")+COUNTIF(E265:AI265,"C")+COUNTIF(E265:AI265,"D")+COUNTIF(E265:AI265,"E")+COUNTIF(E265:AI265,"F")+COUNTIF(E265:AI265,"M")+COUNTIF(E265:AI265,"AB")+COUNTIF(E265:AI265,"UZ")+COUNTIF(E265:AI265,"G")+(COUNTIF(E265:AI265,"RT.")/2)+(COUNTIF(E265:AI265,"ÇRT.")/2)</f>
      </c>
      <c r="AO265" s="1">
        <f>=COUNTIF(E265:AI265,"O")</f>
      </c>
      <c r="AP265" s="1">
        <f>=COUNTIF(E265:AI265,"RT")+(COUNTIF(E265:AI265,"RT.")/2)</f>
      </c>
      <c r="AQ265" s="1">
        <f>=COUNTIF(E265:AI265,"ÇRT")+(COUNTIF(E265:AI265,"ÇRT.")/2)</f>
      </c>
      <c r="AR265" s="1">
        <f>=COUNTIF(E265:AI265,"ÇHT")</f>
      </c>
      <c r="AS265" s="1">
        <f>=COUNTIF(E265:AI265,"Ö")+COUNTIF(E265:AI265,"T")</f>
      </c>
      <c r="AT265" s="1">
        <f>=COUNTIF(E265:AI265,"Y")</f>
      </c>
      <c r="AU265" s="1">
        <f>=COUNTIF(E265:AI265,"R.")</f>
      </c>
      <c r="AV265" s="1">
        <f>=COUNTIF(E265:AI265,"Ü")</f>
      </c>
      <c r="AW265" s="1">
        <f>=COUNTIF(E265:AI265,"R")</f>
      </c>
      <c r="AX265" s="1">
        <f>=COUNTIF(E265:AI265,"DV")</f>
      </c>
      <c r="AY265" s="1">
        <f>=+AN265+AO265+AP265+AQ265+AR265+AS265+AT265+AU265</f>
      </c>
    </row>
    <row r="266" ht="16" customHeight="1" spans="1:51" x14ac:dyDescent="0.25">
      <c r="A266" s="46"/>
      <c r="B266" s="46"/>
      <c r="C266" s="46"/>
      <c r="D266" s="46" t="s">
        <v>32</v>
      </c>
      <c r="E266" s="46"/>
      <c r="F266" s="46"/>
      <c r="G266" s="46"/>
      <c r="H266" s="46"/>
      <c r="I266" s="46"/>
      <c r="J266" s="46"/>
      <c r="K266" s="46">
        <v>1</v>
      </c>
      <c r="L266" s="46"/>
      <c r="M266" s="46"/>
      <c r="N266" s="46"/>
      <c r="O266" s="46"/>
      <c r="P266" s="46"/>
      <c r="Q266" s="46"/>
      <c r="R266" s="46"/>
      <c r="S266" s="46"/>
      <c r="T266" s="46">
        <v>2</v>
      </c>
      <c r="U266" s="46"/>
      <c r="V266" s="46"/>
      <c r="W266" s="46"/>
      <c r="X266" s="46"/>
      <c r="Y266" s="46"/>
      <c r="Z266" s="46"/>
      <c r="AA266" s="46"/>
      <c r="AB266" s="46"/>
      <c r="AC266" s="46">
        <v>2</v>
      </c>
      <c r="AD266" s="46"/>
      <c r="AE266" s="46"/>
      <c r="AF266" s="46"/>
      <c r="AG266" s="46">
        <v>3</v>
      </c>
      <c r="AH266" s="46">
        <v>2</v>
      </c>
      <c r="AI266" s="46"/>
      <c r="AJ266" s="46"/>
      <c r="AK266" s="46"/>
      <c r="AL266" s="46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ht="16" customHeight="1" spans="1:51" x14ac:dyDescent="0.25">
      <c r="A267" s="46">
        <v>130</v>
      </c>
      <c r="B267" s="46" t="s">
        <v>301</v>
      </c>
      <c r="C267" s="46" t="s">
        <v>302</v>
      </c>
      <c r="D267" s="46" t="s">
        <v>28</v>
      </c>
      <c r="E267" s="46" t="s">
        <v>29</v>
      </c>
      <c r="F267" s="46" t="s">
        <v>29</v>
      </c>
      <c r="G267" s="46" t="s">
        <v>29</v>
      </c>
      <c r="H267" s="46" t="s">
        <v>29</v>
      </c>
      <c r="I267" s="46" t="s">
        <v>30</v>
      </c>
      <c r="J267" s="46" t="s">
        <v>29</v>
      </c>
      <c r="K267" s="46" t="s">
        <v>29</v>
      </c>
      <c r="L267" s="46" t="s">
        <v>29</v>
      </c>
      <c r="M267" s="46" t="s">
        <v>29</v>
      </c>
      <c r="N267" s="46" t="s">
        <v>29</v>
      </c>
      <c r="O267" s="46" t="s">
        <v>29</v>
      </c>
      <c r="P267" s="46" t="s">
        <v>30</v>
      </c>
      <c r="Q267" s="46" t="s">
        <v>29</v>
      </c>
      <c r="R267" s="46" t="s">
        <v>29</v>
      </c>
      <c r="S267" s="46" t="s">
        <v>29</v>
      </c>
      <c r="T267" s="46" t="s">
        <v>29</v>
      </c>
      <c r="U267" s="46" t="s">
        <v>29</v>
      </c>
      <c r="V267" s="46" t="s">
        <v>29</v>
      </c>
      <c r="W267" s="46" t="s">
        <v>44</v>
      </c>
      <c r="X267" s="46" t="s">
        <v>29</v>
      </c>
      <c r="Y267" s="46" t="s">
        <v>29</v>
      </c>
      <c r="Z267" s="46" t="s">
        <v>29</v>
      </c>
      <c r="AA267" s="46" t="s">
        <v>29</v>
      </c>
      <c r="AB267" s="46" t="s">
        <v>29</v>
      </c>
      <c r="AC267" s="46" t="s">
        <v>29</v>
      </c>
      <c r="AD267" s="46" t="s">
        <v>30</v>
      </c>
      <c r="AE267" s="46" t="s">
        <v>29</v>
      </c>
      <c r="AF267" s="46" t="s">
        <v>29</v>
      </c>
      <c r="AG267" s="46" t="s">
        <v>29</v>
      </c>
      <c r="AH267" s="46" t="s">
        <v>31</v>
      </c>
      <c r="AI267" s="46" t="s">
        <v>29</v>
      </c>
      <c r="AJ267" s="46">
        <f>=SUM(E268:AI268)</f>
      </c>
      <c r="AK267" s="46">
        <f>=+AY267</f>
      </c>
      <c r="AL267" s="46"/>
      <c r="AM267" s="1"/>
      <c r="AN267" s="1">
        <f>=COUNTIF(E267:AI267,"A")+COUNTIF(E267:AI267,"B")+COUNTIF(E267:AI267,"C")+COUNTIF(E267:AI267,"D")+COUNTIF(E267:AI267,"E")+COUNTIF(E267:AI267,"F")+COUNTIF(E267:AI267,"M")+COUNTIF(E267:AI267,"AB")+COUNTIF(E267:AI267,"UZ")+COUNTIF(E267:AI267,"G")+(COUNTIF(E267:AI267,"RT.")/2)+(COUNTIF(E267:AI267,"ÇRT.")/2)</f>
      </c>
      <c r="AO267" s="1">
        <f>=COUNTIF(E267:AI267,"O")</f>
      </c>
      <c r="AP267" s="1">
        <f>=COUNTIF(E267:AI267,"RT")+(COUNTIF(E267:AI267,"RT.")/2)</f>
      </c>
      <c r="AQ267" s="1">
        <f>=COUNTIF(E267:AI267,"ÇRT")+(COUNTIF(E267:AI267,"ÇRT.")/2)</f>
      </c>
      <c r="AR267" s="1">
        <f>=COUNTIF(E267:AI267,"ÇHT")</f>
      </c>
      <c r="AS267" s="1">
        <f>=COUNTIF(E267:AI267,"Ö")+COUNTIF(E267:AI267,"T")</f>
      </c>
      <c r="AT267" s="1">
        <f>=COUNTIF(E267:AI267,"Y")</f>
      </c>
      <c r="AU267" s="1">
        <f>=COUNTIF(E267:AI267,"R.")</f>
      </c>
      <c r="AV267" s="1">
        <f>=COUNTIF(E267:AI267,"Ü")</f>
      </c>
      <c r="AW267" s="1">
        <f>=COUNTIF(E267:AI267,"R")</f>
      </c>
      <c r="AX267" s="1">
        <f>=COUNTIF(E267:AI267,"DV")</f>
      </c>
      <c r="AY267" s="1">
        <f>=+AN267+AO267+AP267+AQ267+AR267+AS267+AT267+AU267</f>
      </c>
    </row>
    <row r="268" ht="16" customHeight="1" spans="1:51" x14ac:dyDescent="0.25">
      <c r="A268" s="46"/>
      <c r="B268" s="46"/>
      <c r="C268" s="46"/>
      <c r="D268" s="46" t="s">
        <v>32</v>
      </c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>
        <v>3</v>
      </c>
      <c r="AH268" s="46">
        <v>2</v>
      </c>
      <c r="AI268" s="46"/>
      <c r="AJ268" s="46"/>
      <c r="AK268" s="46"/>
      <c r="AL268" s="46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ht="16" customHeight="1" spans="1:51" x14ac:dyDescent="0.25">
      <c r="A269" s="46">
        <v>131</v>
      </c>
      <c r="B269" s="46" t="s">
        <v>303</v>
      </c>
      <c r="C269" s="46" t="s">
        <v>304</v>
      </c>
      <c r="D269" s="46" t="s">
        <v>28</v>
      </c>
      <c r="E269" s="46" t="s">
        <v>50</v>
      </c>
      <c r="F269" s="46" t="s">
        <v>50</v>
      </c>
      <c r="G269" s="46" t="s">
        <v>30</v>
      </c>
      <c r="H269" s="46" t="s">
        <v>50</v>
      </c>
      <c r="I269" s="46" t="s">
        <v>50</v>
      </c>
      <c r="J269" s="46" t="s">
        <v>50</v>
      </c>
      <c r="K269" s="46" t="s">
        <v>50</v>
      </c>
      <c r="L269" s="46" t="s">
        <v>47</v>
      </c>
      <c r="M269" s="46" t="s">
        <v>50</v>
      </c>
      <c r="N269" s="46" t="s">
        <v>30</v>
      </c>
      <c r="O269" s="46" t="s">
        <v>50</v>
      </c>
      <c r="P269" s="46" t="s">
        <v>50</v>
      </c>
      <c r="Q269" s="46" t="s">
        <v>50</v>
      </c>
      <c r="R269" s="46" t="s">
        <v>50</v>
      </c>
      <c r="S269" s="46" t="s">
        <v>50</v>
      </c>
      <c r="T269" s="46" t="s">
        <v>50</v>
      </c>
      <c r="U269" s="46" t="s">
        <v>30</v>
      </c>
      <c r="V269" s="46" t="s">
        <v>50</v>
      </c>
      <c r="W269" s="46" t="s">
        <v>50</v>
      </c>
      <c r="X269" s="46" t="s">
        <v>50</v>
      </c>
      <c r="Y269" s="46" t="s">
        <v>50</v>
      </c>
      <c r="Z269" s="46" t="s">
        <v>50</v>
      </c>
      <c r="AA269" s="46" t="s">
        <v>50</v>
      </c>
      <c r="AB269" s="46" t="s">
        <v>30</v>
      </c>
      <c r="AC269" s="46" t="s">
        <v>50</v>
      </c>
      <c r="AD269" s="46" t="s">
        <v>50</v>
      </c>
      <c r="AE269" s="46" t="s">
        <v>50</v>
      </c>
      <c r="AF269" s="46" t="s">
        <v>50</v>
      </c>
      <c r="AG269" s="46" t="s">
        <v>50</v>
      </c>
      <c r="AH269" s="46" t="s">
        <v>31</v>
      </c>
      <c r="AI269" s="46" t="s">
        <v>30</v>
      </c>
      <c r="AJ269" s="46">
        <f>=SUM(E270:AI270)</f>
      </c>
      <c r="AK269" s="46">
        <f>=+AY269</f>
      </c>
      <c r="AL269" s="46"/>
      <c r="AM269" s="1"/>
      <c r="AN269" s="1">
        <f>=COUNTIF(E269:AI269,"A")+COUNTIF(E269:AI269,"B")+COUNTIF(E269:AI269,"C")+COUNTIF(E269:AI269,"D")+COUNTIF(E269:AI269,"E")+COUNTIF(E269:AI269,"F")+COUNTIF(E269:AI269,"M")+COUNTIF(E269:AI269,"AB")+COUNTIF(E269:AI269,"UZ")+COUNTIF(E269:AI269,"G")+(COUNTIF(E269:AI269,"RT.")/2)+(COUNTIF(E269:AI269,"ÇRT.")/2)</f>
      </c>
      <c r="AO269" s="1">
        <f>=COUNTIF(E269:AI269,"O")</f>
      </c>
      <c r="AP269" s="1">
        <f>=COUNTIF(E269:AI269,"RT")+(COUNTIF(E269:AI269,"RT.")/2)</f>
      </c>
      <c r="AQ269" s="1">
        <f>=COUNTIF(E269:AI269,"ÇRT")+(COUNTIF(E269:AI269,"ÇRT.")/2)</f>
      </c>
      <c r="AR269" s="1">
        <f>=COUNTIF(E269:AI269,"ÇHT")</f>
      </c>
      <c r="AS269" s="1">
        <f>=COUNTIF(E269:AI269,"Ö")+COUNTIF(E269:AI269,"T")</f>
      </c>
      <c r="AT269" s="1">
        <f>=COUNTIF(E269:AI269,"Y")</f>
      </c>
      <c r="AU269" s="1">
        <f>=COUNTIF(E269:AI269,"R.")</f>
      </c>
      <c r="AV269" s="1">
        <f>=COUNTIF(E269:AI269,"Ü")</f>
      </c>
      <c r="AW269" s="1">
        <f>=COUNTIF(E269:AI269,"R")</f>
      </c>
      <c r="AX269" s="1">
        <f>=COUNTIF(E269:AI269,"DV")</f>
      </c>
      <c r="AY269" s="1">
        <f>=+AN269+AO269+AP269+AQ269+AR269+AS269+AT269+AU269</f>
      </c>
    </row>
    <row r="270" ht="16" customHeight="1" spans="1:51" x14ac:dyDescent="0.25">
      <c r="A270" s="46"/>
      <c r="B270" s="46"/>
      <c r="C270" s="46"/>
      <c r="D270" s="46" t="s">
        <v>32</v>
      </c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ht="16" customHeight="1" spans="1:51" x14ac:dyDescent="0.25">
      <c r="A271" s="46">
        <v>132</v>
      </c>
      <c r="B271" s="46" t="s">
        <v>305</v>
      </c>
      <c r="C271" s="46" t="s">
        <v>306</v>
      </c>
      <c r="D271" s="46" t="s">
        <v>28</v>
      </c>
      <c r="E271" s="46" t="s">
        <v>29</v>
      </c>
      <c r="F271" s="46" t="s">
        <v>30</v>
      </c>
      <c r="G271" s="46" t="s">
        <v>29</v>
      </c>
      <c r="H271" s="46" t="s">
        <v>29</v>
      </c>
      <c r="I271" s="46" t="s">
        <v>29</v>
      </c>
      <c r="J271" s="46" t="s">
        <v>29</v>
      </c>
      <c r="K271" s="46" t="s">
        <v>29</v>
      </c>
      <c r="L271" s="46" t="s">
        <v>29</v>
      </c>
      <c r="M271" s="46" t="s">
        <v>30</v>
      </c>
      <c r="N271" s="46" t="s">
        <v>29</v>
      </c>
      <c r="O271" s="46" t="s">
        <v>29</v>
      </c>
      <c r="P271" s="46" t="s">
        <v>29</v>
      </c>
      <c r="Q271" s="46" t="s">
        <v>29</v>
      </c>
      <c r="R271" s="46" t="s">
        <v>29</v>
      </c>
      <c r="S271" s="46" t="s">
        <v>29</v>
      </c>
      <c r="T271" s="46" t="s">
        <v>30</v>
      </c>
      <c r="U271" s="46" t="s">
        <v>29</v>
      </c>
      <c r="V271" s="46" t="s">
        <v>29</v>
      </c>
      <c r="W271" s="46" t="s">
        <v>29</v>
      </c>
      <c r="X271" s="46" t="s">
        <v>29</v>
      </c>
      <c r="Y271" s="46" t="s">
        <v>29</v>
      </c>
      <c r="Z271" s="46" t="s">
        <v>29</v>
      </c>
      <c r="AA271" s="46" t="s">
        <v>30</v>
      </c>
      <c r="AB271" s="46" t="s">
        <v>29</v>
      </c>
      <c r="AC271" s="46" t="s">
        <v>29</v>
      </c>
      <c r="AD271" s="46" t="s">
        <v>29</v>
      </c>
      <c r="AE271" s="46" t="s">
        <v>29</v>
      </c>
      <c r="AF271" s="46" t="s">
        <v>29</v>
      </c>
      <c r="AG271" s="46" t="s">
        <v>29</v>
      </c>
      <c r="AH271" s="46" t="s">
        <v>44</v>
      </c>
      <c r="AI271" s="46" t="s">
        <v>29</v>
      </c>
      <c r="AJ271" s="46">
        <f>=SUM(E272:AI272)</f>
      </c>
      <c r="AK271" s="46">
        <f>=+AY271</f>
      </c>
      <c r="AL271" s="46"/>
      <c r="AM271" s="1"/>
      <c r="AN271" s="1">
        <f>=COUNTIF(E271:AI271,"A")+COUNTIF(E271:AI271,"B")+COUNTIF(E271:AI271,"C")+COUNTIF(E271:AI271,"D")+COUNTIF(E271:AI271,"E")+COUNTIF(E271:AI271,"F")+COUNTIF(E271:AI271,"M")+COUNTIF(E271:AI271,"AB")+COUNTIF(E271:AI271,"UZ")+COUNTIF(E271:AI271,"G")+(COUNTIF(E271:AI271,"RT.")/2)+(COUNTIF(E271:AI271,"ÇRT.")/2)</f>
      </c>
      <c r="AO271" s="1">
        <f>=COUNTIF(E271:AI271,"O")</f>
      </c>
      <c r="AP271" s="1">
        <f>=COUNTIF(E271:AI271,"RT")+(COUNTIF(E271:AI271,"RT.")/2)</f>
      </c>
      <c r="AQ271" s="1">
        <f>=COUNTIF(E271:AI271,"ÇRT")+(COUNTIF(E271:AI271,"ÇRT.")/2)</f>
      </c>
      <c r="AR271" s="1">
        <f>=COUNTIF(E271:AI271,"ÇHT")</f>
      </c>
      <c r="AS271" s="1">
        <f>=COUNTIF(E271:AI271,"Ö")+COUNTIF(E271:AI271,"T")</f>
      </c>
      <c r="AT271" s="1">
        <f>=COUNTIF(E271:AI271,"Y")</f>
      </c>
      <c r="AU271" s="1">
        <f>=COUNTIF(E271:AI271,"R.")</f>
      </c>
      <c r="AV271" s="1">
        <f>=COUNTIF(E271:AI271,"Ü")</f>
      </c>
      <c r="AW271" s="1">
        <f>=COUNTIF(E271:AI271,"R")</f>
      </c>
      <c r="AX271" s="1">
        <f>=COUNTIF(E271:AI271,"DV")</f>
      </c>
      <c r="AY271" s="1">
        <f>=+AN271+AO271+AP271+AQ271+AR271+AS271+AT271+AU271</f>
      </c>
    </row>
    <row r="272" ht="16" customHeight="1" spans="1:51" x14ac:dyDescent="0.25">
      <c r="A272" s="46"/>
      <c r="B272" s="46"/>
      <c r="C272" s="46"/>
      <c r="D272" s="46" t="s">
        <v>32</v>
      </c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>
        <v>3</v>
      </c>
      <c r="AH272" s="46">
        <v>2</v>
      </c>
      <c r="AI272" s="46"/>
      <c r="AJ272" s="46"/>
      <c r="AK272" s="46"/>
      <c r="AL272" s="46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ht="16" customHeight="1" spans="1:51" x14ac:dyDescent="0.25">
      <c r="A273" s="46">
        <v>133</v>
      </c>
      <c r="B273" s="46" t="s">
        <v>307</v>
      </c>
      <c r="C273" s="46" t="s">
        <v>308</v>
      </c>
      <c r="D273" s="46" t="s">
        <v>28</v>
      </c>
      <c r="E273" s="46" t="s">
        <v>29</v>
      </c>
      <c r="F273" s="46" t="s">
        <v>29</v>
      </c>
      <c r="G273" s="46" t="s">
        <v>30</v>
      </c>
      <c r="H273" s="46" t="s">
        <v>29</v>
      </c>
      <c r="I273" s="46" t="s">
        <v>29</v>
      </c>
      <c r="J273" s="46" t="s">
        <v>29</v>
      </c>
      <c r="K273" s="46" t="s">
        <v>29</v>
      </c>
      <c r="L273" s="46" t="s">
        <v>29</v>
      </c>
      <c r="M273" s="46" t="s">
        <v>29</v>
      </c>
      <c r="N273" s="46" t="s">
        <v>44</v>
      </c>
      <c r="O273" s="46" t="s">
        <v>29</v>
      </c>
      <c r="P273" s="46" t="s">
        <v>29</v>
      </c>
      <c r="Q273" s="46" t="s">
        <v>29</v>
      </c>
      <c r="R273" s="46" t="s">
        <v>29</v>
      </c>
      <c r="S273" s="46" t="s">
        <v>29</v>
      </c>
      <c r="T273" s="46" t="s">
        <v>29</v>
      </c>
      <c r="U273" s="46" t="s">
        <v>30</v>
      </c>
      <c r="V273" s="46" t="s">
        <v>29</v>
      </c>
      <c r="W273" s="46" t="s">
        <v>29</v>
      </c>
      <c r="X273" s="46" t="s">
        <v>29</v>
      </c>
      <c r="Y273" s="46" t="s">
        <v>29</v>
      </c>
      <c r="Z273" s="46" t="s">
        <v>29</v>
      </c>
      <c r="AA273" s="46" t="s">
        <v>29</v>
      </c>
      <c r="AB273" s="46" t="s">
        <v>30</v>
      </c>
      <c r="AC273" s="46" t="s">
        <v>29</v>
      </c>
      <c r="AD273" s="46" t="s">
        <v>29</v>
      </c>
      <c r="AE273" s="46" t="s">
        <v>29</v>
      </c>
      <c r="AF273" s="46" t="s">
        <v>29</v>
      </c>
      <c r="AG273" s="46" t="s">
        <v>29</v>
      </c>
      <c r="AH273" s="46" t="s">
        <v>31</v>
      </c>
      <c r="AI273" s="46" t="s">
        <v>30</v>
      </c>
      <c r="AJ273" s="46">
        <f>=SUM(E274:AI274)</f>
      </c>
      <c r="AK273" s="46">
        <f>=+AY273</f>
      </c>
      <c r="AL273" s="46"/>
      <c r="AM273" s="1"/>
      <c r="AN273" s="1">
        <f>=COUNTIF(E273:AI273,"A")+COUNTIF(E273:AI273,"B")+COUNTIF(E273:AI273,"C")+COUNTIF(E273:AI273,"D")+COUNTIF(E273:AI273,"E")+COUNTIF(E273:AI273,"F")+COUNTIF(E273:AI273,"M")+COUNTIF(E273:AI273,"AB")+COUNTIF(E273:AI273,"UZ")+COUNTIF(E273:AI273,"G")+(COUNTIF(E273:AI273,"RT.")/2)+(COUNTIF(E273:AI273,"ÇRT.")/2)</f>
      </c>
      <c r="AO273" s="1">
        <f>=COUNTIF(E273:AI273,"O")</f>
      </c>
      <c r="AP273" s="1">
        <f>=COUNTIF(E273:AI273,"RT")+(COUNTIF(E273:AI273,"RT.")/2)</f>
      </c>
      <c r="AQ273" s="1">
        <f>=COUNTIF(E273:AI273,"ÇRT")+(COUNTIF(E273:AI273,"ÇRT.")/2)</f>
      </c>
      <c r="AR273" s="1">
        <f>=COUNTIF(E273:AI273,"ÇHT")</f>
      </c>
      <c r="AS273" s="1">
        <f>=COUNTIF(E273:AI273,"Ö")+COUNTIF(E273:AI273,"T")</f>
      </c>
      <c r="AT273" s="1">
        <f>=COUNTIF(E273:AI273,"Y")</f>
      </c>
      <c r="AU273" s="1">
        <f>=COUNTIF(E273:AI273,"R.")</f>
      </c>
      <c r="AV273" s="1">
        <f>=COUNTIF(E273:AI273,"Ü")</f>
      </c>
      <c r="AW273" s="1">
        <f>=COUNTIF(E273:AI273,"R")</f>
      </c>
      <c r="AX273" s="1">
        <f>=COUNTIF(E273:AI273,"DV")</f>
      </c>
      <c r="AY273" s="1">
        <f>=+AN273+AO273+AP273+AQ273+AR273+AS273+AT273+AU273</f>
      </c>
    </row>
    <row r="274" ht="16" customHeight="1" spans="1:51" x14ac:dyDescent="0.25">
      <c r="A274" s="46"/>
      <c r="B274" s="46"/>
      <c r="C274" s="46"/>
      <c r="D274" s="46" t="s">
        <v>32</v>
      </c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>
        <v>3</v>
      </c>
      <c r="AH274" s="46">
        <v>2</v>
      </c>
      <c r="AI274" s="46"/>
      <c r="AJ274" s="46"/>
      <c r="AK274" s="46"/>
      <c r="AL274" s="46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ht="16" customHeight="1" spans="1:51" x14ac:dyDescent="0.25">
      <c r="A275" s="46">
        <v>134</v>
      </c>
      <c r="B275" s="46" t="s">
        <v>309</v>
      </c>
      <c r="C275" s="46" t="s">
        <v>310</v>
      </c>
      <c r="D275" s="46" t="s">
        <v>28</v>
      </c>
      <c r="E275" s="46" t="s">
        <v>30</v>
      </c>
      <c r="F275" s="46" t="s">
        <v>29</v>
      </c>
      <c r="G275" s="46" t="s">
        <v>29</v>
      </c>
      <c r="H275" s="46" t="s">
        <v>29</v>
      </c>
      <c r="I275" s="46" t="s">
        <v>29</v>
      </c>
      <c r="J275" s="46" t="s">
        <v>29</v>
      </c>
      <c r="K275" s="46" t="s">
        <v>29</v>
      </c>
      <c r="L275" s="46" t="s">
        <v>44</v>
      </c>
      <c r="M275" s="46" t="s">
        <v>29</v>
      </c>
      <c r="N275" s="46" t="s">
        <v>29</v>
      </c>
      <c r="O275" s="46" t="s">
        <v>29</v>
      </c>
      <c r="P275" s="46" t="s">
        <v>29</v>
      </c>
      <c r="Q275" s="46" t="s">
        <v>29</v>
      </c>
      <c r="R275" s="46" t="s">
        <v>29</v>
      </c>
      <c r="S275" s="46" t="s">
        <v>30</v>
      </c>
      <c r="T275" s="46" t="s">
        <v>29</v>
      </c>
      <c r="U275" s="46" t="s">
        <v>29</v>
      </c>
      <c r="V275" s="46" t="s">
        <v>29</v>
      </c>
      <c r="W275" s="46" t="s">
        <v>29</v>
      </c>
      <c r="X275" s="46" t="s">
        <v>29</v>
      </c>
      <c r="Y275" s="46" t="s">
        <v>29</v>
      </c>
      <c r="Z275" s="46" t="s">
        <v>30</v>
      </c>
      <c r="AA275" s="46" t="s">
        <v>29</v>
      </c>
      <c r="AB275" s="46" t="s">
        <v>29</v>
      </c>
      <c r="AC275" s="46" t="s">
        <v>29</v>
      </c>
      <c r="AD275" s="46" t="s">
        <v>29</v>
      </c>
      <c r="AE275" s="46" t="s">
        <v>29</v>
      </c>
      <c r="AF275" s="46" t="s">
        <v>29</v>
      </c>
      <c r="AG275" s="46" t="s">
        <v>30</v>
      </c>
      <c r="AH275" s="46" t="s">
        <v>31</v>
      </c>
      <c r="AI275" s="46" t="s">
        <v>29</v>
      </c>
      <c r="AJ275" s="46">
        <f>=SUM(E276:AI276)</f>
      </c>
      <c r="AK275" s="46">
        <f>=+AY275</f>
      </c>
      <c r="AL275" s="46"/>
      <c r="AM275" s="1"/>
      <c r="AN275" s="1">
        <f>=COUNTIF(E275:AI275,"A")+COUNTIF(E275:AI275,"B")+COUNTIF(E275:AI275,"C")+COUNTIF(E275:AI275,"D")+COUNTIF(E275:AI275,"E")+COUNTIF(E275:AI275,"F")+COUNTIF(E275:AI275,"M")+COUNTIF(E275:AI275,"AB")+COUNTIF(E275:AI275,"UZ")+COUNTIF(E275:AI275,"G")+(COUNTIF(E275:AI275,"RT.")/2)+(COUNTIF(E275:AI275,"ÇRT.")/2)</f>
      </c>
      <c r="AO275" s="1">
        <f>=COUNTIF(E275:AI275,"O")</f>
      </c>
      <c r="AP275" s="1">
        <f>=COUNTIF(E275:AI275,"RT")+(COUNTIF(E275:AI275,"RT.")/2)</f>
      </c>
      <c r="AQ275" s="1">
        <f>=COUNTIF(E275:AI275,"ÇRT")+(COUNTIF(E275:AI275,"ÇRT.")/2)</f>
      </c>
      <c r="AR275" s="1">
        <f>=COUNTIF(E275:AI275,"ÇHT")</f>
      </c>
      <c r="AS275" s="1">
        <f>=COUNTIF(E275:AI275,"Ö")+COUNTIF(E275:AI275,"T")</f>
      </c>
      <c r="AT275" s="1">
        <f>=COUNTIF(E275:AI275,"Y")</f>
      </c>
      <c r="AU275" s="1">
        <f>=COUNTIF(E275:AI275,"R.")</f>
      </c>
      <c r="AV275" s="1">
        <f>=COUNTIF(E275:AI275,"Ü")</f>
      </c>
      <c r="AW275" s="1">
        <f>=COUNTIF(E275:AI275,"R")</f>
      </c>
      <c r="AX275" s="1">
        <f>=COUNTIF(E275:AI275,"DV")</f>
      </c>
      <c r="AY275" s="1">
        <f>=+AN275+AO275+AP275+AQ275+AR275+AS275+AT275+AU275</f>
      </c>
    </row>
    <row r="276" ht="16" customHeight="1" spans="1:51" x14ac:dyDescent="0.25">
      <c r="A276" s="46"/>
      <c r="B276" s="46"/>
      <c r="C276" s="46"/>
      <c r="D276" s="46" t="s">
        <v>32</v>
      </c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ht="16" customHeight="1" spans="1:51" x14ac:dyDescent="0.25">
      <c r="A277" s="46">
        <v>135</v>
      </c>
      <c r="B277" s="46" t="s">
        <v>311</v>
      </c>
      <c r="C277" s="46" t="s">
        <v>312</v>
      </c>
      <c r="D277" s="46" t="s">
        <v>28</v>
      </c>
      <c r="E277" s="46" t="s">
        <v>29</v>
      </c>
      <c r="F277" s="46" t="s">
        <v>30</v>
      </c>
      <c r="G277" s="46" t="s">
        <v>29</v>
      </c>
      <c r="H277" s="46" t="s">
        <v>30</v>
      </c>
      <c r="I277" s="46" t="s">
        <v>29</v>
      </c>
      <c r="J277" s="46" t="s">
        <v>29</v>
      </c>
      <c r="K277" s="46" t="s">
        <v>29</v>
      </c>
      <c r="L277" s="46" t="s">
        <v>29</v>
      </c>
      <c r="M277" s="46" t="s">
        <v>29</v>
      </c>
      <c r="N277" s="46" t="s">
        <v>29</v>
      </c>
      <c r="O277" s="46" t="s">
        <v>29</v>
      </c>
      <c r="P277" s="46" t="s">
        <v>29</v>
      </c>
      <c r="Q277" s="46" t="s">
        <v>29</v>
      </c>
      <c r="R277" s="46" t="s">
        <v>29</v>
      </c>
      <c r="S277" s="46" t="s">
        <v>30</v>
      </c>
      <c r="T277" s="46" t="s">
        <v>29</v>
      </c>
      <c r="U277" s="46" t="s">
        <v>29</v>
      </c>
      <c r="V277" s="46" t="s">
        <v>29</v>
      </c>
      <c r="W277" s="46" t="s">
        <v>29</v>
      </c>
      <c r="X277" s="46" t="s">
        <v>29</v>
      </c>
      <c r="Y277" s="46" t="s">
        <v>29</v>
      </c>
      <c r="Z277" s="46" t="s">
        <v>29</v>
      </c>
      <c r="AA277" s="46" t="s">
        <v>30</v>
      </c>
      <c r="AB277" s="46" t="s">
        <v>29</v>
      </c>
      <c r="AC277" s="46" t="s">
        <v>29</v>
      </c>
      <c r="AD277" s="46" t="s">
        <v>29</v>
      </c>
      <c r="AE277" s="46" t="s">
        <v>29</v>
      </c>
      <c r="AF277" s="46" t="s">
        <v>29</v>
      </c>
      <c r="AG277" s="46" t="s">
        <v>29</v>
      </c>
      <c r="AH277" s="46" t="s">
        <v>44</v>
      </c>
      <c r="AI277" s="46" t="s">
        <v>47</v>
      </c>
      <c r="AJ277" s="46">
        <f>=SUM(E278:AI278)</f>
      </c>
      <c r="AK277" s="46">
        <f>=+AY277</f>
      </c>
      <c r="AL277" s="46"/>
      <c r="AM277" s="1"/>
      <c r="AN277" s="1">
        <f>=COUNTIF(E277:AI277,"A")+COUNTIF(E277:AI277,"B")+COUNTIF(E277:AI277,"C")+COUNTIF(E277:AI277,"D")+COUNTIF(E277:AI277,"E")+COUNTIF(E277:AI277,"F")+COUNTIF(E277:AI277,"M")+COUNTIF(E277:AI277,"AB")+COUNTIF(E277:AI277,"UZ")+COUNTIF(E277:AI277,"G")+(COUNTIF(E277:AI277,"RT.")/2)+(COUNTIF(E277:AI277,"ÇRT.")/2)</f>
      </c>
      <c r="AO277" s="1">
        <f>=COUNTIF(E277:AI277,"O")</f>
      </c>
      <c r="AP277" s="1">
        <f>=COUNTIF(E277:AI277,"RT")+(COUNTIF(E277:AI277,"RT.")/2)</f>
      </c>
      <c r="AQ277" s="1">
        <f>=COUNTIF(E277:AI277,"ÇRT")+(COUNTIF(E277:AI277,"ÇRT.")/2)</f>
      </c>
      <c r="AR277" s="1">
        <f>=COUNTIF(E277:AI277,"ÇHT")</f>
      </c>
      <c r="AS277" s="1">
        <f>=COUNTIF(E277:AI277,"Ö")+COUNTIF(E277:AI277,"T")</f>
      </c>
      <c r="AT277" s="1">
        <f>=COUNTIF(E277:AI277,"Y")</f>
      </c>
      <c r="AU277" s="1">
        <f>=COUNTIF(E277:AI277,"R.")</f>
      </c>
      <c r="AV277" s="1">
        <f>=COUNTIF(E277:AI277,"Ü")</f>
      </c>
      <c r="AW277" s="1">
        <f>=COUNTIF(E277:AI277,"R")</f>
      </c>
      <c r="AX277" s="1">
        <f>=COUNTIF(E277:AI277,"DV")</f>
      </c>
      <c r="AY277" s="1">
        <f>=+AN277+AO277+AP277+AQ277+AR277+AS277+AT277+AU277</f>
      </c>
    </row>
    <row r="278" ht="16" customHeight="1" spans="1:51" x14ac:dyDescent="0.25">
      <c r="A278" s="46"/>
      <c r="B278" s="46"/>
      <c r="C278" s="46"/>
      <c r="D278" s="46" t="s">
        <v>32</v>
      </c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>
        <v>2</v>
      </c>
      <c r="AG278" s="46">
        <v>2</v>
      </c>
      <c r="AH278" s="46"/>
      <c r="AI278" s="46"/>
      <c r="AJ278" s="46"/>
      <c r="AK278" s="46"/>
      <c r="AL278" s="46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ht="16" customHeight="1" spans="1:51" x14ac:dyDescent="0.25">
      <c r="A279" s="46">
        <v>136</v>
      </c>
      <c r="B279" s="46" t="s">
        <v>313</v>
      </c>
      <c r="C279" s="46" t="s">
        <v>314</v>
      </c>
      <c r="D279" s="46" t="s">
        <v>28</v>
      </c>
      <c r="E279" s="46" t="s">
        <v>29</v>
      </c>
      <c r="F279" s="46" t="s">
        <v>29</v>
      </c>
      <c r="G279" s="46" t="s">
        <v>29</v>
      </c>
      <c r="H279" s="46" t="s">
        <v>30</v>
      </c>
      <c r="I279" s="46" t="s">
        <v>29</v>
      </c>
      <c r="J279" s="46" t="s">
        <v>29</v>
      </c>
      <c r="K279" s="46" t="s">
        <v>29</v>
      </c>
      <c r="L279" s="46" t="s">
        <v>29</v>
      </c>
      <c r="M279" s="46" t="s">
        <v>29</v>
      </c>
      <c r="N279" s="46" t="s">
        <v>29</v>
      </c>
      <c r="O279" s="46" t="s">
        <v>30</v>
      </c>
      <c r="P279" s="46" t="s">
        <v>29</v>
      </c>
      <c r="Q279" s="46" t="s">
        <v>29</v>
      </c>
      <c r="R279" s="46" t="s">
        <v>29</v>
      </c>
      <c r="S279" s="46" t="s">
        <v>29</v>
      </c>
      <c r="T279" s="46" t="s">
        <v>29</v>
      </c>
      <c r="U279" s="46" t="s">
        <v>29</v>
      </c>
      <c r="V279" s="46" t="s">
        <v>30</v>
      </c>
      <c r="W279" s="46" t="s">
        <v>29</v>
      </c>
      <c r="X279" s="46" t="s">
        <v>29</v>
      </c>
      <c r="Y279" s="46" t="s">
        <v>29</v>
      </c>
      <c r="Z279" s="46" t="s">
        <v>29</v>
      </c>
      <c r="AA279" s="46" t="s">
        <v>29</v>
      </c>
      <c r="AB279" s="46" t="s">
        <v>29</v>
      </c>
      <c r="AC279" s="46" t="s">
        <v>30</v>
      </c>
      <c r="AD279" s="46" t="s">
        <v>29</v>
      </c>
      <c r="AE279" s="46" t="s">
        <v>29</v>
      </c>
      <c r="AF279" s="46" t="s">
        <v>29</v>
      </c>
      <c r="AG279" s="46" t="s">
        <v>29</v>
      </c>
      <c r="AH279" s="46" t="s">
        <v>31</v>
      </c>
      <c r="AI279" s="46" t="s">
        <v>29</v>
      </c>
      <c r="AJ279" s="46">
        <f>=SUM(E280:AI280)</f>
      </c>
      <c r="AK279" s="46">
        <f>=+AY279</f>
      </c>
      <c r="AL279" s="46"/>
      <c r="AM279" s="1"/>
      <c r="AN279" s="1">
        <f>=COUNTIF(E279:AI279,"A")+COUNTIF(E279:AI279,"B")+COUNTIF(E279:AI279,"C")+COUNTIF(E279:AI279,"D")+COUNTIF(E279:AI279,"E")+COUNTIF(E279:AI279,"F")+COUNTIF(E279:AI279,"M")+COUNTIF(E279:AI279,"AB")+COUNTIF(E279:AI279,"UZ")+COUNTIF(E279:AI279,"G")+(COUNTIF(E279:AI279,"RT.")/2)+(COUNTIF(E279:AI279,"ÇRT.")/2)</f>
      </c>
      <c r="AO279" s="1">
        <f>=COUNTIF(E279:AI279,"O")</f>
      </c>
      <c r="AP279" s="1">
        <f>=COUNTIF(E279:AI279,"RT")+(COUNTIF(E279:AI279,"RT.")/2)</f>
      </c>
      <c r="AQ279" s="1">
        <f>=COUNTIF(E279:AI279,"ÇRT")+(COUNTIF(E279:AI279,"ÇRT.")/2)</f>
      </c>
      <c r="AR279" s="1">
        <f>=COUNTIF(E279:AI279,"ÇHT")</f>
      </c>
      <c r="AS279" s="1">
        <f>=COUNTIF(E279:AI279,"Ö")+COUNTIF(E279:AI279,"T")</f>
      </c>
      <c r="AT279" s="1">
        <f>=COUNTIF(E279:AI279,"Y")</f>
      </c>
      <c r="AU279" s="1">
        <f>=COUNTIF(E279:AI279,"R.")</f>
      </c>
      <c r="AV279" s="1">
        <f>=COUNTIF(E279:AI279,"Ü")</f>
      </c>
      <c r="AW279" s="1">
        <f>=COUNTIF(E279:AI279,"R")</f>
      </c>
      <c r="AX279" s="1">
        <f>=COUNTIF(E279:AI279,"DV")</f>
      </c>
      <c r="AY279" s="1">
        <f>=+AN279+AO279+AP279+AQ279+AR279+AS279+AT279+AU279</f>
      </c>
    </row>
    <row r="280" ht="16" customHeight="1" spans="1:51" x14ac:dyDescent="0.25">
      <c r="A280" s="46"/>
      <c r="B280" s="46"/>
      <c r="C280" s="46"/>
      <c r="D280" s="46" t="s">
        <v>32</v>
      </c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>
        <v>2</v>
      </c>
      <c r="AG280" s="46"/>
      <c r="AH280" s="46"/>
      <c r="AI280" s="46"/>
      <c r="AJ280" s="46"/>
      <c r="AK280" s="46"/>
      <c r="AL280" s="46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ht="16" customHeight="1" spans="1:51" x14ac:dyDescent="0.25">
      <c r="A281" s="46">
        <v>137</v>
      </c>
      <c r="B281" s="46" t="s">
        <v>315</v>
      </c>
      <c r="C281" s="46" t="s">
        <v>316</v>
      </c>
      <c r="D281" s="46" t="s">
        <v>28</v>
      </c>
      <c r="E281" s="46" t="s">
        <v>50</v>
      </c>
      <c r="F281" s="46" t="s">
        <v>50</v>
      </c>
      <c r="G281" s="46" t="s">
        <v>50</v>
      </c>
      <c r="H281" s="46" t="s">
        <v>50</v>
      </c>
      <c r="I281" s="46" t="s">
        <v>50</v>
      </c>
      <c r="J281" s="46" t="s">
        <v>50</v>
      </c>
      <c r="K281" s="46" t="s">
        <v>30</v>
      </c>
      <c r="L281" s="46" t="s">
        <v>50</v>
      </c>
      <c r="M281" s="46" t="s">
        <v>50</v>
      </c>
      <c r="N281" s="46" t="s">
        <v>50</v>
      </c>
      <c r="O281" s="46" t="s">
        <v>50</v>
      </c>
      <c r="P281" s="46" t="s">
        <v>50</v>
      </c>
      <c r="Q281" s="46" t="s">
        <v>50</v>
      </c>
      <c r="R281" s="46" t="s">
        <v>30</v>
      </c>
      <c r="S281" s="46" t="s">
        <v>50</v>
      </c>
      <c r="T281" s="46" t="s">
        <v>50</v>
      </c>
      <c r="U281" s="46" t="s">
        <v>50</v>
      </c>
      <c r="V281" s="46" t="s">
        <v>50</v>
      </c>
      <c r="W281" s="46" t="s">
        <v>50</v>
      </c>
      <c r="X281" s="46" t="s">
        <v>50</v>
      </c>
      <c r="Y281" s="46" t="s">
        <v>30</v>
      </c>
      <c r="Z281" s="46" t="s">
        <v>50</v>
      </c>
      <c r="AA281" s="46" t="s">
        <v>50</v>
      </c>
      <c r="AB281" s="46" t="s">
        <v>50</v>
      </c>
      <c r="AC281" s="46" t="s">
        <v>50</v>
      </c>
      <c r="AD281" s="46" t="s">
        <v>50</v>
      </c>
      <c r="AE281" s="46" t="s">
        <v>50</v>
      </c>
      <c r="AF281" s="46" t="s">
        <v>30</v>
      </c>
      <c r="AG281" s="46" t="s">
        <v>50</v>
      </c>
      <c r="AH281" s="46" t="s">
        <v>31</v>
      </c>
      <c r="AI281" s="46" t="s">
        <v>50</v>
      </c>
      <c r="AJ281" s="46">
        <f>=SUM(E282:AI282)</f>
      </c>
      <c r="AK281" s="46">
        <f>=+AY281</f>
      </c>
      <c r="AL281" s="46"/>
      <c r="AM281" s="1"/>
      <c r="AN281" s="1">
        <f>=COUNTIF(E281:AI281,"A")+COUNTIF(E281:AI281,"B")+COUNTIF(E281:AI281,"C")+COUNTIF(E281:AI281,"D")+COUNTIF(E281:AI281,"E")+COUNTIF(E281:AI281,"F")+COUNTIF(E281:AI281,"M")+COUNTIF(E281:AI281,"AB")+COUNTIF(E281:AI281,"UZ")+COUNTIF(E281:AI281,"G")+(COUNTIF(E281:AI281,"RT.")/2)+(COUNTIF(E281:AI281,"ÇRT.")/2)</f>
      </c>
      <c r="AO281" s="1">
        <f>=COUNTIF(E281:AI281,"O")</f>
      </c>
      <c r="AP281" s="1">
        <f>=COUNTIF(E281:AI281,"RT")+(COUNTIF(E281:AI281,"RT.")/2)</f>
      </c>
      <c r="AQ281" s="1">
        <f>=COUNTIF(E281:AI281,"ÇRT")+(COUNTIF(E281:AI281,"ÇRT.")/2)</f>
      </c>
      <c r="AR281" s="1">
        <f>=COUNTIF(E281:AI281,"ÇHT")</f>
      </c>
      <c r="AS281" s="1">
        <f>=COUNTIF(E281:AI281,"Ö")+COUNTIF(E281:AI281,"T")</f>
      </c>
      <c r="AT281" s="1">
        <f>=COUNTIF(E281:AI281,"Y")</f>
      </c>
      <c r="AU281" s="1">
        <f>=COUNTIF(E281:AI281,"R.")</f>
      </c>
      <c r="AV281" s="1">
        <f>=COUNTIF(E281:AI281,"Ü")</f>
      </c>
      <c r="AW281" s="1">
        <f>=COUNTIF(E281:AI281,"R")</f>
      </c>
      <c r="AX281" s="1">
        <f>=COUNTIF(E281:AI281,"DV")</f>
      </c>
      <c r="AY281" s="1">
        <f>=+AN281+AO281+AP281+AQ281+AR281+AS281+AT281+AU281</f>
      </c>
    </row>
    <row r="282" ht="16" customHeight="1" spans="1:51" x14ac:dyDescent="0.25">
      <c r="A282" s="46"/>
      <c r="B282" s="46"/>
      <c r="C282" s="46"/>
      <c r="D282" s="46" t="s">
        <v>32</v>
      </c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ht="16" customHeight="1" spans="1:51" x14ac:dyDescent="0.25">
      <c r="A283" s="46">
        <v>138</v>
      </c>
      <c r="B283" s="46" t="s">
        <v>317</v>
      </c>
      <c r="C283" s="46" t="s">
        <v>318</v>
      </c>
      <c r="D283" s="46" t="s">
        <v>28</v>
      </c>
      <c r="E283" s="46" t="s">
        <v>29</v>
      </c>
      <c r="F283" s="46" t="s">
        <v>29</v>
      </c>
      <c r="G283" s="46" t="s">
        <v>29</v>
      </c>
      <c r="H283" s="46" t="s">
        <v>29</v>
      </c>
      <c r="I283" s="46" t="s">
        <v>29</v>
      </c>
      <c r="J283" s="46" t="s">
        <v>29</v>
      </c>
      <c r="K283" s="46" t="s">
        <v>30</v>
      </c>
      <c r="L283" s="46" t="s">
        <v>29</v>
      </c>
      <c r="M283" s="46" t="s">
        <v>29</v>
      </c>
      <c r="N283" s="46" t="s">
        <v>29</v>
      </c>
      <c r="O283" s="46" t="s">
        <v>29</v>
      </c>
      <c r="P283" s="46" t="s">
        <v>29</v>
      </c>
      <c r="Q283" s="46" t="s">
        <v>29</v>
      </c>
      <c r="R283" s="46" t="s">
        <v>30</v>
      </c>
      <c r="S283" s="46" t="s">
        <v>29</v>
      </c>
      <c r="T283" s="46" t="s">
        <v>29</v>
      </c>
      <c r="U283" s="46" t="s">
        <v>29</v>
      </c>
      <c r="V283" s="46" t="s">
        <v>29</v>
      </c>
      <c r="W283" s="46" t="s">
        <v>29</v>
      </c>
      <c r="X283" s="46" t="s">
        <v>29</v>
      </c>
      <c r="Y283" s="46" t="s">
        <v>30</v>
      </c>
      <c r="Z283" s="46" t="s">
        <v>29</v>
      </c>
      <c r="AA283" s="46" t="s">
        <v>29</v>
      </c>
      <c r="AB283" s="46" t="s">
        <v>29</v>
      </c>
      <c r="AC283" s="46" t="s">
        <v>29</v>
      </c>
      <c r="AD283" s="46" t="s">
        <v>29</v>
      </c>
      <c r="AE283" s="46" t="s">
        <v>29</v>
      </c>
      <c r="AF283" s="46" t="s">
        <v>44</v>
      </c>
      <c r="AG283" s="46" t="s">
        <v>29</v>
      </c>
      <c r="AH283" s="46" t="s">
        <v>31</v>
      </c>
      <c r="AI283" s="46" t="s">
        <v>29</v>
      </c>
      <c r="AJ283" s="46">
        <f>=SUM(E284:AI284)</f>
      </c>
      <c r="AK283" s="46">
        <f>=+AY283</f>
      </c>
      <c r="AL283" s="46"/>
      <c r="AM283" s="1"/>
      <c r="AN283" s="1">
        <f>=COUNTIF(E283:AI283,"A")+COUNTIF(E283:AI283,"B")+COUNTIF(E283:AI283,"C")+COUNTIF(E283:AI283,"D")+COUNTIF(E283:AI283,"E")+COUNTIF(E283:AI283,"F")+COUNTIF(E283:AI283,"M")+COUNTIF(E283:AI283,"AB")+COUNTIF(E283:AI283,"UZ")+COUNTIF(E283:AI283,"G")+(COUNTIF(E283:AI283,"RT.")/2)+(COUNTIF(E283:AI283,"ÇRT.")/2)</f>
      </c>
      <c r="AO283" s="1">
        <f>=COUNTIF(E283:AI283,"O")</f>
      </c>
      <c r="AP283" s="1">
        <f>=COUNTIF(E283:AI283,"RT")+(COUNTIF(E283:AI283,"RT.")/2)</f>
      </c>
      <c r="AQ283" s="1">
        <f>=COUNTIF(E283:AI283,"ÇRT")+(COUNTIF(E283:AI283,"ÇRT.")/2)</f>
      </c>
      <c r="AR283" s="1">
        <f>=COUNTIF(E283:AI283,"ÇHT")</f>
      </c>
      <c r="AS283" s="1">
        <f>=COUNTIF(E283:AI283,"Ö")+COUNTIF(E283:AI283,"T")</f>
      </c>
      <c r="AT283" s="1">
        <f>=COUNTIF(E283:AI283,"Y")</f>
      </c>
      <c r="AU283" s="1">
        <f>=COUNTIF(E283:AI283,"R.")</f>
      </c>
      <c r="AV283" s="1">
        <f>=COUNTIF(E283:AI283,"Ü")</f>
      </c>
      <c r="AW283" s="1">
        <f>=COUNTIF(E283:AI283,"R")</f>
      </c>
      <c r="AX283" s="1">
        <f>=COUNTIF(E283:AI283,"DV")</f>
      </c>
      <c r="AY283" s="1">
        <f>=+AN283+AO283+AP283+AQ283+AR283+AS283+AT283+AU283</f>
      </c>
    </row>
    <row r="284" ht="16" customHeight="1" spans="1:51" x14ac:dyDescent="0.25">
      <c r="A284" s="46"/>
      <c r="B284" s="46"/>
      <c r="C284" s="46"/>
      <c r="D284" s="46" t="s">
        <v>32</v>
      </c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>
        <v>2</v>
      </c>
      <c r="AG284" s="46">
        <v>3</v>
      </c>
      <c r="AH284" s="46">
        <v>2</v>
      </c>
      <c r="AI284" s="46"/>
      <c r="AJ284" s="46"/>
      <c r="AK284" s="46"/>
      <c r="AL284" s="46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ht="16" customHeight="1" spans="1:51" x14ac:dyDescent="0.25">
      <c r="A285" s="46">
        <v>139</v>
      </c>
      <c r="B285" s="46" t="s">
        <v>319</v>
      </c>
      <c r="C285" s="46" t="s">
        <v>320</v>
      </c>
      <c r="D285" s="46" t="s">
        <v>28</v>
      </c>
      <c r="E285" s="46" t="s">
        <v>29</v>
      </c>
      <c r="F285" s="46" t="s">
        <v>29</v>
      </c>
      <c r="G285" s="46" t="s">
        <v>29</v>
      </c>
      <c r="H285" s="46" t="s">
        <v>29</v>
      </c>
      <c r="I285" s="46" t="s">
        <v>29</v>
      </c>
      <c r="J285" s="46" t="s">
        <v>30</v>
      </c>
      <c r="K285" s="46" t="s">
        <v>29</v>
      </c>
      <c r="L285" s="46" t="s">
        <v>29</v>
      </c>
      <c r="M285" s="46" t="s">
        <v>35</v>
      </c>
      <c r="N285" s="46" t="s">
        <v>30</v>
      </c>
      <c r="O285" s="46" t="s">
        <v>29</v>
      </c>
      <c r="P285" s="46" t="s">
        <v>29</v>
      </c>
      <c r="Q285" s="46" t="s">
        <v>29</v>
      </c>
      <c r="R285" s="46" t="s">
        <v>29</v>
      </c>
      <c r="S285" s="46" t="s">
        <v>29</v>
      </c>
      <c r="T285" s="46" t="s">
        <v>29</v>
      </c>
      <c r="U285" s="46" t="s">
        <v>29</v>
      </c>
      <c r="V285" s="46" t="s">
        <v>30</v>
      </c>
      <c r="W285" s="46" t="s">
        <v>29</v>
      </c>
      <c r="X285" s="46" t="s">
        <v>29</v>
      </c>
      <c r="Y285" s="46" t="s">
        <v>29</v>
      </c>
      <c r="Z285" s="46" t="s">
        <v>29</v>
      </c>
      <c r="AA285" s="46" t="s">
        <v>29</v>
      </c>
      <c r="AB285" s="46" t="s">
        <v>29</v>
      </c>
      <c r="AC285" s="46" t="s">
        <v>30</v>
      </c>
      <c r="AD285" s="46" t="s">
        <v>29</v>
      </c>
      <c r="AE285" s="46" t="s">
        <v>29</v>
      </c>
      <c r="AF285" s="46" t="s">
        <v>29</v>
      </c>
      <c r="AG285" s="46" t="s">
        <v>29</v>
      </c>
      <c r="AH285" s="46" t="s">
        <v>31</v>
      </c>
      <c r="AI285" s="46" t="s">
        <v>29</v>
      </c>
      <c r="AJ285" s="46">
        <f>=SUM(E286:AI286)</f>
      </c>
      <c r="AK285" s="46">
        <f>=+AY285</f>
      </c>
      <c r="AL285" s="46"/>
      <c r="AM285" s="1"/>
      <c r="AN285" s="1">
        <f>=COUNTIF(E285:AI285,"A")+COUNTIF(E285:AI285,"B")+COUNTIF(E285:AI285,"C")+COUNTIF(E285:AI285,"D")+COUNTIF(E285:AI285,"E")+COUNTIF(E285:AI285,"F")+COUNTIF(E285:AI285,"M")+COUNTIF(E285:AI285,"AB")+COUNTIF(E285:AI285,"UZ")+COUNTIF(E285:AI285,"G")+(COUNTIF(E285:AI285,"RT.")/2)+(COUNTIF(E285:AI285,"ÇRT.")/2)</f>
      </c>
      <c r="AO285" s="1">
        <f>=COUNTIF(E285:AI285,"O")</f>
      </c>
      <c r="AP285" s="1">
        <f>=COUNTIF(E285:AI285,"RT")+(COUNTIF(E285:AI285,"RT.")/2)</f>
      </c>
      <c r="AQ285" s="1">
        <f>=COUNTIF(E285:AI285,"ÇRT")+(COUNTIF(E285:AI285,"ÇRT.")/2)</f>
      </c>
      <c r="AR285" s="1">
        <f>=COUNTIF(E285:AI285,"ÇHT")</f>
      </c>
      <c r="AS285" s="1">
        <f>=COUNTIF(E285:AI285,"Ö")+COUNTIF(E285:AI285,"T")</f>
      </c>
      <c r="AT285" s="1">
        <f>=COUNTIF(E285:AI285,"Y")</f>
      </c>
      <c r="AU285" s="1">
        <f>=COUNTIF(E285:AI285,"R.")</f>
      </c>
      <c r="AV285" s="1">
        <f>=COUNTIF(E285:AI285,"Ü")</f>
      </c>
      <c r="AW285" s="1">
        <f>=COUNTIF(E285:AI285,"R")</f>
      </c>
      <c r="AX285" s="1">
        <f>=COUNTIF(E285:AI285,"DV")</f>
      </c>
      <c r="AY285" s="1">
        <f>=+AN285+AO285+AP285+AQ285+AR285+AS285+AT285+AU285</f>
      </c>
    </row>
    <row r="286" ht="16" customHeight="1" spans="1:51" x14ac:dyDescent="0.25">
      <c r="A286" s="46"/>
      <c r="B286" s="46"/>
      <c r="C286" s="46"/>
      <c r="D286" s="46" t="s">
        <v>32</v>
      </c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>
        <v>3</v>
      </c>
      <c r="AH286" s="46">
        <v>2</v>
      </c>
      <c r="AI286" s="46"/>
      <c r="AJ286" s="46"/>
      <c r="AK286" s="46"/>
      <c r="AL286" s="46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ht="16" customHeight="1" spans="1:51" x14ac:dyDescent="0.25">
      <c r="A287" s="46">
        <v>140</v>
      </c>
      <c r="B287" s="46" t="s">
        <v>321</v>
      </c>
      <c r="C287" s="46" t="s">
        <v>322</v>
      </c>
      <c r="D287" s="46" t="s">
        <v>28</v>
      </c>
      <c r="E287" s="46" t="s">
        <v>29</v>
      </c>
      <c r="F287" s="46" t="s">
        <v>29</v>
      </c>
      <c r="G287" s="46" t="s">
        <v>29</v>
      </c>
      <c r="H287" s="46" t="s">
        <v>29</v>
      </c>
      <c r="I287" s="46" t="s">
        <v>29</v>
      </c>
      <c r="J287" s="46" t="s">
        <v>29</v>
      </c>
      <c r="K287" s="46" t="s">
        <v>30</v>
      </c>
      <c r="L287" s="46" t="s">
        <v>29</v>
      </c>
      <c r="M287" s="46" t="s">
        <v>29</v>
      </c>
      <c r="N287" s="46" t="s">
        <v>29</v>
      </c>
      <c r="O287" s="46" t="s">
        <v>29</v>
      </c>
      <c r="P287" s="46" t="s">
        <v>29</v>
      </c>
      <c r="Q287" s="46" t="s">
        <v>29</v>
      </c>
      <c r="R287" s="46" t="s">
        <v>30</v>
      </c>
      <c r="S287" s="46" t="s">
        <v>29</v>
      </c>
      <c r="T287" s="46" t="s">
        <v>29</v>
      </c>
      <c r="U287" s="46" t="s">
        <v>29</v>
      </c>
      <c r="V287" s="46" t="s">
        <v>29</v>
      </c>
      <c r="W287" s="46" t="s">
        <v>29</v>
      </c>
      <c r="X287" s="46" t="s">
        <v>29</v>
      </c>
      <c r="Y287" s="46" t="s">
        <v>29</v>
      </c>
      <c r="Z287" s="46" t="s">
        <v>29</v>
      </c>
      <c r="AA287" s="46" t="s">
        <v>29</v>
      </c>
      <c r="AB287" s="46" t="s">
        <v>29</v>
      </c>
      <c r="AC287" s="46" t="s">
        <v>30</v>
      </c>
      <c r="AD287" s="46" t="s">
        <v>29</v>
      </c>
      <c r="AE287" s="46" t="s">
        <v>29</v>
      </c>
      <c r="AF287" s="46" t="s">
        <v>30</v>
      </c>
      <c r="AG287" s="46" t="s">
        <v>29</v>
      </c>
      <c r="AH287" s="46" t="s">
        <v>31</v>
      </c>
      <c r="AI287" s="46"/>
      <c r="AJ287" s="46">
        <f>=SUM(E288:AI288)</f>
      </c>
      <c r="AK287" s="46">
        <f>=+AY287</f>
      </c>
      <c r="AL287" s="46"/>
      <c r="AM287" s="1"/>
      <c r="AN287" s="1">
        <f>=COUNTIF(E287:AI287,"A")+COUNTIF(E287:AI287,"B")+COUNTIF(E287:AI287,"C")+COUNTIF(E287:AI287,"D")+COUNTIF(E287:AI287,"E")+COUNTIF(E287:AI287,"F")+COUNTIF(E287:AI287,"M")+COUNTIF(E287:AI287,"AB")+COUNTIF(E287:AI287,"UZ")+COUNTIF(E287:AI287,"G")+(COUNTIF(E287:AI287,"RT.")/2)+(COUNTIF(E287:AI287,"ÇRT.")/2)</f>
      </c>
      <c r="AO287" s="1">
        <f>=COUNTIF(E287:AI287,"O")</f>
      </c>
      <c r="AP287" s="1">
        <f>=COUNTIF(E287:AI287,"RT")+(COUNTIF(E287:AI287,"RT.")/2)</f>
      </c>
      <c r="AQ287" s="1">
        <f>=COUNTIF(E287:AI287,"ÇRT")+(COUNTIF(E287:AI287,"ÇRT.")/2)</f>
      </c>
      <c r="AR287" s="1">
        <f>=COUNTIF(E287:AI287,"ÇHT")</f>
      </c>
      <c r="AS287" s="1">
        <f>=COUNTIF(E287:AI287,"Ö")+COUNTIF(E287:AI287,"T")</f>
      </c>
      <c r="AT287" s="1">
        <f>=COUNTIF(E287:AI287,"Y")</f>
      </c>
      <c r="AU287" s="1">
        <f>=COUNTIF(E287:AI287,"R.")</f>
      </c>
      <c r="AV287" s="1">
        <f>=COUNTIF(E287:AI287,"Ü")</f>
      </c>
      <c r="AW287" s="1">
        <f>=COUNTIF(E287:AI287,"R")</f>
      </c>
      <c r="AX287" s="1">
        <f>=COUNTIF(E287:AI287,"DV")</f>
      </c>
      <c r="AY287" s="1">
        <f>=+AN287+AO287+AP287+AQ287+AR287+AS287+AT287+AU287</f>
      </c>
    </row>
    <row r="288" ht="16" customHeight="1" spans="1:51" x14ac:dyDescent="0.25">
      <c r="A288" s="46"/>
      <c r="B288" s="46"/>
      <c r="C288" s="46"/>
      <c r="D288" s="46" t="s">
        <v>32</v>
      </c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>
        <v>2</v>
      </c>
      <c r="Z288" s="46"/>
      <c r="AA288" s="46"/>
      <c r="AB288" s="46"/>
      <c r="AC288" s="46"/>
      <c r="AD288" s="46"/>
      <c r="AE288" s="46"/>
      <c r="AF288" s="46"/>
      <c r="AG288" s="46">
        <v>2</v>
      </c>
      <c r="AH288" s="46"/>
      <c r="AI288" s="46"/>
      <c r="AJ288" s="46"/>
      <c r="AK288" s="46"/>
      <c r="AL288" s="46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ht="16" customHeight="1" spans="1:51" x14ac:dyDescent="0.25">
      <c r="A289" s="46">
        <v>141</v>
      </c>
      <c r="B289" s="46" t="s">
        <v>323</v>
      </c>
      <c r="C289" s="46" t="s">
        <v>324</v>
      </c>
      <c r="D289" s="46" t="s">
        <v>28</v>
      </c>
      <c r="E289" s="46" t="s">
        <v>29</v>
      </c>
      <c r="F289" s="46" t="s">
        <v>29</v>
      </c>
      <c r="G289" s="46" t="s">
        <v>29</v>
      </c>
      <c r="H289" s="46" t="s">
        <v>29</v>
      </c>
      <c r="I289" s="46" t="s">
        <v>30</v>
      </c>
      <c r="J289" s="46" t="s">
        <v>29</v>
      </c>
      <c r="K289" s="46" t="s">
        <v>29</v>
      </c>
      <c r="L289" s="46" t="s">
        <v>29</v>
      </c>
      <c r="M289" s="46" t="s">
        <v>29</v>
      </c>
      <c r="N289" s="46" t="s">
        <v>29</v>
      </c>
      <c r="O289" s="46" t="s">
        <v>30</v>
      </c>
      <c r="P289" s="46" t="s">
        <v>29</v>
      </c>
      <c r="Q289" s="46" t="s">
        <v>29</v>
      </c>
      <c r="R289" s="46" t="s">
        <v>29</v>
      </c>
      <c r="S289" s="46" t="s">
        <v>29</v>
      </c>
      <c r="T289" s="46" t="s">
        <v>29</v>
      </c>
      <c r="U289" s="46" t="s">
        <v>29</v>
      </c>
      <c r="V289" s="46" t="s">
        <v>29</v>
      </c>
      <c r="W289" s="46" t="s">
        <v>30</v>
      </c>
      <c r="X289" s="46" t="s">
        <v>29</v>
      </c>
      <c r="Y289" s="46" t="s">
        <v>29</v>
      </c>
      <c r="Z289" s="46" t="s">
        <v>29</v>
      </c>
      <c r="AA289" s="46" t="s">
        <v>29</v>
      </c>
      <c r="AB289" s="46" t="s">
        <v>29</v>
      </c>
      <c r="AC289" s="46" t="s">
        <v>30</v>
      </c>
      <c r="AD289" s="46" t="s">
        <v>29</v>
      </c>
      <c r="AE289" s="46" t="s">
        <v>29</v>
      </c>
      <c r="AF289" s="46" t="s">
        <v>29</v>
      </c>
      <c r="AG289" s="46" t="s">
        <v>29</v>
      </c>
      <c r="AH289" s="46" t="s">
        <v>31</v>
      </c>
      <c r="AI289" s="46" t="s">
        <v>29</v>
      </c>
      <c r="AJ289" s="46">
        <f>=SUM(E290:AI290)</f>
      </c>
      <c r="AK289" s="46">
        <f>=+AY289</f>
      </c>
      <c r="AL289" s="46"/>
      <c r="AM289" s="1"/>
      <c r="AN289" s="1">
        <f>=COUNTIF(E289:AI289,"A")+COUNTIF(E289:AI289,"B")+COUNTIF(E289:AI289,"C")+COUNTIF(E289:AI289,"D")+COUNTIF(E289:AI289,"E")+COUNTIF(E289:AI289,"F")+COUNTIF(E289:AI289,"M")+COUNTIF(E289:AI289,"AB")+COUNTIF(E289:AI289,"UZ")+COUNTIF(E289:AI289,"G")+(COUNTIF(E289:AI289,"RT.")/2)+(COUNTIF(E289:AI289,"ÇRT.")/2)</f>
      </c>
      <c r="AO289" s="1">
        <f>=COUNTIF(E289:AI289,"O")</f>
      </c>
      <c r="AP289" s="1">
        <f>=COUNTIF(E289:AI289,"RT")+(COUNTIF(E289:AI289,"RT.")/2)</f>
      </c>
      <c r="AQ289" s="1">
        <f>=COUNTIF(E289:AI289,"ÇRT")+(COUNTIF(E289:AI289,"ÇRT.")/2)</f>
      </c>
      <c r="AR289" s="1">
        <f>=COUNTIF(E289:AI289,"ÇHT")</f>
      </c>
      <c r="AS289" s="1">
        <f>=COUNTIF(E289:AI289,"Ö")+COUNTIF(E289:AI289,"T")</f>
      </c>
      <c r="AT289" s="1">
        <f>=COUNTIF(E289:AI289,"Y")</f>
      </c>
      <c r="AU289" s="1">
        <f>=COUNTIF(E289:AI289,"R.")</f>
      </c>
      <c r="AV289" s="1">
        <f>=COUNTIF(E289:AI289,"Ü")</f>
      </c>
      <c r="AW289" s="1">
        <f>=COUNTIF(E289:AI289,"R")</f>
      </c>
      <c r="AX289" s="1">
        <f>=COUNTIF(E289:AI289,"DV")</f>
      </c>
      <c r="AY289" s="1">
        <f>=+AN289+AO289+AP289+AQ289+AR289+AS289+AT289+AU289</f>
      </c>
    </row>
    <row r="290" ht="16" customHeight="1" spans="1:51" x14ac:dyDescent="0.25">
      <c r="A290" s="46"/>
      <c r="B290" s="46"/>
      <c r="C290" s="46"/>
      <c r="D290" s="46" t="s">
        <v>32</v>
      </c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>
        <v>0</v>
      </c>
      <c r="AE290" s="46"/>
      <c r="AF290" s="46">
        <v>2</v>
      </c>
      <c r="AG290" s="46">
        <v>3</v>
      </c>
      <c r="AH290" s="46">
        <v>2</v>
      </c>
      <c r="AI290" s="46"/>
      <c r="AJ290" s="46"/>
      <c r="AK290" s="46"/>
      <c r="AL290" s="46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ht="16" customHeight="1" spans="1:51" x14ac:dyDescent="0.25">
      <c r="A291" s="46">
        <v>142</v>
      </c>
      <c r="B291" s="46" t="s">
        <v>325</v>
      </c>
      <c r="C291" s="46" t="s">
        <v>326</v>
      </c>
      <c r="D291" s="46" t="s">
        <v>28</v>
      </c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>
        <f>=SUM(E292:AI292)</f>
      </c>
      <c r="AK291" s="46">
        <f>=+AY291</f>
      </c>
      <c r="AL291" s="46"/>
      <c r="AM291" s="1"/>
      <c r="AN291" s="1">
        <f>=COUNTIF(E291:AI291,"A")+COUNTIF(E291:AI291,"B")+COUNTIF(E291:AI291,"C")+COUNTIF(E291:AI291,"D")+COUNTIF(E291:AI291,"E")+COUNTIF(E291:AI291,"F")+COUNTIF(E291:AI291,"M")+COUNTIF(E291:AI291,"AB")+COUNTIF(E291:AI291,"UZ")+COUNTIF(E291:AI291,"G")+(COUNTIF(E291:AI291,"RT.")/2)+(COUNTIF(E291:AI291,"ÇRT.")/2)</f>
      </c>
      <c r="AO291" s="1">
        <f>=COUNTIF(E291:AI291,"O")</f>
      </c>
      <c r="AP291" s="1">
        <f>=COUNTIF(E291:AI291,"RT")+(COUNTIF(E291:AI291,"RT.")/2)</f>
      </c>
      <c r="AQ291" s="1">
        <f>=COUNTIF(E291:AI291,"ÇRT")+(COUNTIF(E291:AI291,"ÇRT.")/2)</f>
      </c>
      <c r="AR291" s="1">
        <f>=COUNTIF(E291:AI291,"ÇHT")</f>
      </c>
      <c r="AS291" s="1">
        <f>=COUNTIF(E291:AI291,"Ö")+COUNTIF(E291:AI291,"T")</f>
      </c>
      <c r="AT291" s="1">
        <f>=COUNTIF(E291:AI291,"Y")</f>
      </c>
      <c r="AU291" s="1">
        <f>=COUNTIF(E291:AI291,"R.")</f>
      </c>
      <c r="AV291" s="1">
        <f>=COUNTIF(E291:AI291,"Ü")</f>
      </c>
      <c r="AW291" s="1">
        <f>=COUNTIF(E291:AI291,"R")</f>
      </c>
      <c r="AX291" s="1">
        <f>=COUNTIF(E291:AI291,"DV")</f>
      </c>
      <c r="AY291" s="1">
        <f>=+AN291+AO291+AP291+AQ291+AR291+AS291+AT291+AU291</f>
      </c>
    </row>
    <row r="292" ht="16" customHeight="1" spans="1:51" x14ac:dyDescent="0.25">
      <c r="A292" s="46"/>
      <c r="B292" s="46"/>
      <c r="C292" s="46"/>
      <c r="D292" s="46" t="s">
        <v>32</v>
      </c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ht="16" customHeight="1" spans="1:51" x14ac:dyDescent="0.25">
      <c r="A293" s="46">
        <v>143</v>
      </c>
      <c r="B293" s="46" t="s">
        <v>327</v>
      </c>
      <c r="C293" s="46" t="s">
        <v>328</v>
      </c>
      <c r="D293" s="46" t="s">
        <v>28</v>
      </c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>
        <f>=SUM(E294:AI294)</f>
      </c>
      <c r="AK293" s="46">
        <f>=+AY293</f>
      </c>
      <c r="AL293" s="46"/>
      <c r="AM293" s="1"/>
      <c r="AN293" s="1">
        <f>=COUNTIF(E293:AI293,"A")+COUNTIF(E293:AI293,"B")+COUNTIF(E293:AI293,"C")+COUNTIF(E293:AI293,"D")+COUNTIF(E293:AI293,"E")+COUNTIF(E293:AI293,"F")+COUNTIF(E293:AI293,"M")+COUNTIF(E293:AI293,"AB")+COUNTIF(E293:AI293,"UZ")+COUNTIF(E293:AI293,"G")+(COUNTIF(E293:AI293,"RT.")/2)+(COUNTIF(E293:AI293,"ÇRT.")/2)</f>
      </c>
      <c r="AO293" s="1">
        <f>=COUNTIF(E293:AI293,"O")</f>
      </c>
      <c r="AP293" s="1">
        <f>=COUNTIF(E293:AI293,"RT")+(COUNTIF(E293:AI293,"RT.")/2)</f>
      </c>
      <c r="AQ293" s="1">
        <f>=COUNTIF(E293:AI293,"ÇRT")+(COUNTIF(E293:AI293,"ÇRT.")/2)</f>
      </c>
      <c r="AR293" s="1">
        <f>=COUNTIF(E293:AI293,"ÇHT")</f>
      </c>
      <c r="AS293" s="1">
        <f>=COUNTIF(E293:AI293,"Ö")+COUNTIF(E293:AI293,"T")</f>
      </c>
      <c r="AT293" s="1">
        <f>=COUNTIF(E293:AI293,"Y")</f>
      </c>
      <c r="AU293" s="1">
        <f>=COUNTIF(E293:AI293,"R.")</f>
      </c>
      <c r="AV293" s="1">
        <f>=COUNTIF(E293:AI293,"Ü")</f>
      </c>
      <c r="AW293" s="1">
        <f>=COUNTIF(E293:AI293,"R")</f>
      </c>
      <c r="AX293" s="1">
        <f>=COUNTIF(E293:AI293,"DV")</f>
      </c>
      <c r="AY293" s="1">
        <f>=+AN293+AO293+AP293+AQ293+AR293+AS293+AT293+AU293</f>
      </c>
    </row>
    <row r="294" ht="16" customHeight="1" spans="1:51" x14ac:dyDescent="0.25">
      <c r="A294" s="46"/>
      <c r="B294" s="46"/>
      <c r="C294" s="46"/>
      <c r="D294" s="46" t="s">
        <v>32</v>
      </c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ht="16" customHeight="1" spans="1:51" x14ac:dyDescent="0.25">
      <c r="A295" s="46">
        <v>144</v>
      </c>
      <c r="B295" s="46" t="s">
        <v>329</v>
      </c>
      <c r="C295" s="46" t="s">
        <v>330</v>
      </c>
      <c r="D295" s="46" t="s">
        <v>28</v>
      </c>
      <c r="E295" s="46" t="s">
        <v>29</v>
      </c>
      <c r="F295" s="46" t="s">
        <v>29</v>
      </c>
      <c r="G295" s="46" t="s">
        <v>30</v>
      </c>
      <c r="H295" s="46" t="s">
        <v>29</v>
      </c>
      <c r="I295" s="46" t="s">
        <v>29</v>
      </c>
      <c r="J295" s="46" t="s">
        <v>29</v>
      </c>
      <c r="K295" s="46" t="s">
        <v>29</v>
      </c>
      <c r="L295" s="46" t="s">
        <v>29</v>
      </c>
      <c r="M295" s="46" t="s">
        <v>29</v>
      </c>
      <c r="N295" s="46" t="s">
        <v>30</v>
      </c>
      <c r="O295" s="46" t="s">
        <v>29</v>
      </c>
      <c r="P295" s="46" t="s">
        <v>29</v>
      </c>
      <c r="Q295" s="46" t="s">
        <v>29</v>
      </c>
      <c r="R295" s="46" t="s">
        <v>29</v>
      </c>
      <c r="S295" s="46" t="s">
        <v>29</v>
      </c>
      <c r="T295" s="46" t="s">
        <v>29</v>
      </c>
      <c r="U295" s="46" t="s">
        <v>29</v>
      </c>
      <c r="V295" s="46" t="s">
        <v>29</v>
      </c>
      <c r="W295" s="46" t="s">
        <v>29</v>
      </c>
      <c r="X295" s="46" t="s">
        <v>30</v>
      </c>
      <c r="Y295" s="46" t="s">
        <v>29</v>
      </c>
      <c r="Z295" s="46" t="s">
        <v>29</v>
      </c>
      <c r="AA295" s="46" t="s">
        <v>29</v>
      </c>
      <c r="AB295" s="46" t="s">
        <v>30</v>
      </c>
      <c r="AC295" s="46" t="s">
        <v>29</v>
      </c>
      <c r="AD295" s="46" t="s">
        <v>29</v>
      </c>
      <c r="AE295" s="46" t="s">
        <v>29</v>
      </c>
      <c r="AF295" s="46" t="s">
        <v>29</v>
      </c>
      <c r="AG295" s="46" t="s">
        <v>29</v>
      </c>
      <c r="AH295" s="46" t="s">
        <v>31</v>
      </c>
      <c r="AI295" s="46" t="s">
        <v>30</v>
      </c>
      <c r="AJ295" s="46">
        <f>=SUM(E296:AI296)</f>
      </c>
      <c r="AK295" s="46">
        <f>=+AY295</f>
      </c>
      <c r="AL295" s="46"/>
      <c r="AM295" s="1"/>
      <c r="AN295" s="1">
        <f>=COUNTIF(E295:AI295,"A")+COUNTIF(E295:AI295,"B")+COUNTIF(E295:AI295,"C")+COUNTIF(E295:AI295,"D")+COUNTIF(E295:AI295,"E")+COUNTIF(E295:AI295,"F")+COUNTIF(E295:AI295,"M")+COUNTIF(E295:AI295,"AB")+COUNTIF(E295:AI295,"UZ")+COUNTIF(E295:AI295,"G")+(COUNTIF(E295:AI295,"RT.")/2)+(COUNTIF(E295:AI295,"ÇRT.")/2)</f>
      </c>
      <c r="AO295" s="1">
        <f>=COUNTIF(E295:AI295,"O")</f>
      </c>
      <c r="AP295" s="1">
        <f>=COUNTIF(E295:AI295,"RT")+(COUNTIF(E295:AI295,"RT.")/2)</f>
      </c>
      <c r="AQ295" s="1">
        <f>=COUNTIF(E295:AI295,"ÇRT")+(COUNTIF(E295:AI295,"ÇRT.")/2)</f>
      </c>
      <c r="AR295" s="1">
        <f>=COUNTIF(E295:AI295,"ÇHT")</f>
      </c>
      <c r="AS295" s="1">
        <f>=COUNTIF(E295:AI295,"Ö")+COUNTIF(E295:AI295,"T")</f>
      </c>
      <c r="AT295" s="1">
        <f>=COUNTIF(E295:AI295,"Y")</f>
      </c>
      <c r="AU295" s="1">
        <f>=COUNTIF(E295:AI295,"R.")</f>
      </c>
      <c r="AV295" s="1">
        <f>=COUNTIF(E295:AI295,"Ü")</f>
      </c>
      <c r="AW295" s="1">
        <f>=COUNTIF(E295:AI295,"R")</f>
      </c>
      <c r="AX295" s="1">
        <f>=COUNTIF(E295:AI295,"DV")</f>
      </c>
      <c r="AY295" s="1">
        <f>=+AN295+AO295+AP295+AQ295+AR295+AS295+AT295+AU295</f>
      </c>
    </row>
    <row r="296" ht="16" customHeight="1" spans="1:51" x14ac:dyDescent="0.25">
      <c r="A296" s="46"/>
      <c r="B296" s="46"/>
      <c r="C296" s="46"/>
      <c r="D296" s="46" t="s">
        <v>32</v>
      </c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>
        <v>0</v>
      </c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>
        <v>2</v>
      </c>
      <c r="AG296" s="46">
        <v>3</v>
      </c>
      <c r="AH296" s="46">
        <v>2</v>
      </c>
      <c r="AI296" s="46"/>
      <c r="AJ296" s="46"/>
      <c r="AK296" s="46"/>
      <c r="AL296" s="46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ht="16" customHeight="1" spans="1:51" x14ac:dyDescent="0.25">
      <c r="A297" s="46">
        <v>145</v>
      </c>
      <c r="B297" s="46" t="s">
        <v>331</v>
      </c>
      <c r="C297" s="46" t="s">
        <v>332</v>
      </c>
      <c r="D297" s="46" t="s">
        <v>28</v>
      </c>
      <c r="E297" s="46" t="s">
        <v>50</v>
      </c>
      <c r="F297" s="46" t="s">
        <v>50</v>
      </c>
      <c r="G297" s="46" t="s">
        <v>50</v>
      </c>
      <c r="H297" s="46" t="s">
        <v>50</v>
      </c>
      <c r="I297" s="46" t="s">
        <v>30</v>
      </c>
      <c r="J297" s="46" t="s">
        <v>50</v>
      </c>
      <c r="K297" s="46" t="s">
        <v>50</v>
      </c>
      <c r="L297" s="46" t="s">
        <v>50</v>
      </c>
      <c r="M297" s="46" t="s">
        <v>50</v>
      </c>
      <c r="N297" s="46" t="s">
        <v>50</v>
      </c>
      <c r="O297" s="46" t="s">
        <v>50</v>
      </c>
      <c r="P297" s="46" t="s">
        <v>30</v>
      </c>
      <c r="Q297" s="46" t="s">
        <v>50</v>
      </c>
      <c r="R297" s="46" t="s">
        <v>50</v>
      </c>
      <c r="S297" s="46" t="s">
        <v>50</v>
      </c>
      <c r="T297" s="46" t="s">
        <v>50</v>
      </c>
      <c r="U297" s="46" t="s">
        <v>50</v>
      </c>
      <c r="V297" s="46" t="s">
        <v>50</v>
      </c>
      <c r="W297" s="46" t="s">
        <v>30</v>
      </c>
      <c r="X297" s="46" t="s">
        <v>50</v>
      </c>
      <c r="Y297" s="46" t="s">
        <v>50</v>
      </c>
      <c r="Z297" s="46" t="s">
        <v>50</v>
      </c>
      <c r="AA297" s="46" t="s">
        <v>50</v>
      </c>
      <c r="AB297" s="46" t="s">
        <v>50</v>
      </c>
      <c r="AC297" s="46" t="s">
        <v>50</v>
      </c>
      <c r="AD297" s="46" t="s">
        <v>30</v>
      </c>
      <c r="AE297" s="46" t="s">
        <v>50</v>
      </c>
      <c r="AF297" s="46" t="s">
        <v>50</v>
      </c>
      <c r="AG297" s="46" t="s">
        <v>50</v>
      </c>
      <c r="AH297" s="46" t="s">
        <v>31</v>
      </c>
      <c r="AI297" s="46" t="s">
        <v>50</v>
      </c>
      <c r="AJ297" s="46">
        <f>=SUM(E298:AI298)</f>
      </c>
      <c r="AK297" s="46">
        <f>=+AY297</f>
      </c>
      <c r="AL297" s="46"/>
      <c r="AM297" s="1"/>
      <c r="AN297" s="1">
        <f>=COUNTIF(E297:AI297,"A")+COUNTIF(E297:AI297,"B")+COUNTIF(E297:AI297,"C")+COUNTIF(E297:AI297,"D")+COUNTIF(E297:AI297,"E")+COUNTIF(E297:AI297,"F")+COUNTIF(E297:AI297,"M")+COUNTIF(E297:AI297,"AB")+COUNTIF(E297:AI297,"UZ")+COUNTIF(E297:AI297,"G")+(COUNTIF(E297:AI297,"RT.")/2)+(COUNTIF(E297:AI297,"ÇRT.")/2)</f>
      </c>
      <c r="AO297" s="1">
        <f>=COUNTIF(E297:AI297,"O")</f>
      </c>
      <c r="AP297" s="1">
        <f>=COUNTIF(E297:AI297,"RT")+(COUNTIF(E297:AI297,"RT.")/2)</f>
      </c>
      <c r="AQ297" s="1">
        <f>=COUNTIF(E297:AI297,"ÇRT")+(COUNTIF(E297:AI297,"ÇRT.")/2)</f>
      </c>
      <c r="AR297" s="1">
        <f>=COUNTIF(E297:AI297,"ÇHT")</f>
      </c>
      <c r="AS297" s="1">
        <f>=COUNTIF(E297:AI297,"Ö")+COUNTIF(E297:AI297,"T")</f>
      </c>
      <c r="AT297" s="1">
        <f>=COUNTIF(E297:AI297,"Y")</f>
      </c>
      <c r="AU297" s="1">
        <f>=COUNTIF(E297:AI297,"R.")</f>
      </c>
      <c r="AV297" s="1">
        <f>=COUNTIF(E297:AI297,"Ü")</f>
      </c>
      <c r="AW297" s="1">
        <f>=COUNTIF(E297:AI297,"R")</f>
      </c>
      <c r="AX297" s="1">
        <f>=COUNTIF(E297:AI297,"DV")</f>
      </c>
      <c r="AY297" s="1">
        <f>=+AN297+AO297+AP297+AQ297+AR297+AS297+AT297+AU297</f>
      </c>
    </row>
    <row r="298" ht="16" customHeight="1" spans="1:51" x14ac:dyDescent="0.25">
      <c r="A298" s="46"/>
      <c r="B298" s="46"/>
      <c r="C298" s="46"/>
      <c r="D298" s="46" t="s">
        <v>32</v>
      </c>
      <c r="E298" s="46"/>
      <c r="F298" s="46"/>
      <c r="G298" s="46"/>
      <c r="H298" s="46"/>
      <c r="I298" s="46"/>
      <c r="J298" s="46"/>
      <c r="K298" s="46"/>
      <c r="L298" s="46">
        <v>3</v>
      </c>
      <c r="M298" s="46">
        <v>2</v>
      </c>
      <c r="N298" s="46">
        <v>3</v>
      </c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>
        <v>0</v>
      </c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ht="16" customHeight="1" spans="1:51" x14ac:dyDescent="0.25">
      <c r="A299" s="46">
        <v>146</v>
      </c>
      <c r="B299" s="46" t="s">
        <v>333</v>
      </c>
      <c r="C299" s="46" t="s">
        <v>334</v>
      </c>
      <c r="D299" s="46" t="s">
        <v>28</v>
      </c>
      <c r="E299" s="46" t="s">
        <v>44</v>
      </c>
      <c r="F299" s="46" t="s">
        <v>29</v>
      </c>
      <c r="G299" s="46" t="s">
        <v>29</v>
      </c>
      <c r="H299" s="46" t="s">
        <v>29</v>
      </c>
      <c r="I299" s="46" t="s">
        <v>29</v>
      </c>
      <c r="J299" s="46" t="s">
        <v>29</v>
      </c>
      <c r="K299" s="46" t="s">
        <v>30</v>
      </c>
      <c r="L299" s="46" t="s">
        <v>29</v>
      </c>
      <c r="M299" s="46" t="s">
        <v>29</v>
      </c>
      <c r="N299" s="46" t="s">
        <v>29</v>
      </c>
      <c r="O299" s="46" t="s">
        <v>29</v>
      </c>
      <c r="P299" s="46" t="s">
        <v>29</v>
      </c>
      <c r="Q299" s="46" t="s">
        <v>29</v>
      </c>
      <c r="R299" s="46" t="s">
        <v>30</v>
      </c>
      <c r="S299" s="46" t="s">
        <v>29</v>
      </c>
      <c r="T299" s="46" t="s">
        <v>29</v>
      </c>
      <c r="U299" s="46" t="s">
        <v>29</v>
      </c>
      <c r="V299" s="46" t="s">
        <v>29</v>
      </c>
      <c r="W299" s="46" t="s">
        <v>29</v>
      </c>
      <c r="X299" s="46" t="s">
        <v>29</v>
      </c>
      <c r="Y299" s="46" t="s">
        <v>44</v>
      </c>
      <c r="Z299" s="46" t="s">
        <v>29</v>
      </c>
      <c r="AA299" s="46" t="s">
        <v>29</v>
      </c>
      <c r="AB299" s="46" t="s">
        <v>29</v>
      </c>
      <c r="AC299" s="46" t="s">
        <v>29</v>
      </c>
      <c r="AD299" s="46" t="s">
        <v>29</v>
      </c>
      <c r="AE299" s="46" t="s">
        <v>29</v>
      </c>
      <c r="AF299" s="46" t="s">
        <v>30</v>
      </c>
      <c r="AG299" s="46" t="s">
        <v>29</v>
      </c>
      <c r="AH299" s="46" t="s">
        <v>31</v>
      </c>
      <c r="AI299" s="46" t="s">
        <v>29</v>
      </c>
      <c r="AJ299" s="46">
        <f>=SUM(E300:AI300)</f>
      </c>
      <c r="AK299" s="46">
        <f>=+AY299</f>
      </c>
      <c r="AL299" s="46"/>
      <c r="AM299" s="1"/>
      <c r="AN299" s="1">
        <f>=COUNTIF(E299:AI299,"A")+COUNTIF(E299:AI299,"B")+COUNTIF(E299:AI299,"C")+COUNTIF(E299:AI299,"D")+COUNTIF(E299:AI299,"E")+COUNTIF(E299:AI299,"F")+COUNTIF(E299:AI299,"M")+COUNTIF(E299:AI299,"AB")+COUNTIF(E299:AI299,"UZ")+COUNTIF(E299:AI299,"G")+(COUNTIF(E299:AI299,"RT.")/2)+(COUNTIF(E299:AI299,"ÇRT.")/2)</f>
      </c>
      <c r="AO299" s="1">
        <f>=COUNTIF(E299:AI299,"O")</f>
      </c>
      <c r="AP299" s="1">
        <f>=COUNTIF(E299:AI299,"RT")+(COUNTIF(E299:AI299,"RT.")/2)</f>
      </c>
      <c r="AQ299" s="1">
        <f>=COUNTIF(E299:AI299,"ÇRT")+(COUNTIF(E299:AI299,"ÇRT.")/2)</f>
      </c>
      <c r="AR299" s="1">
        <f>=COUNTIF(E299:AI299,"ÇHT")</f>
      </c>
      <c r="AS299" s="1">
        <f>=COUNTIF(E299:AI299,"Ö")+COUNTIF(E299:AI299,"T")</f>
      </c>
      <c r="AT299" s="1">
        <f>=COUNTIF(E299:AI299,"Y")</f>
      </c>
      <c r="AU299" s="1">
        <f>=COUNTIF(E299:AI299,"R.")</f>
      </c>
      <c r="AV299" s="1">
        <f>=COUNTIF(E299:AI299,"Ü")</f>
      </c>
      <c r="AW299" s="1">
        <f>=COUNTIF(E299:AI299,"R")</f>
      </c>
      <c r="AX299" s="1">
        <f>=COUNTIF(E299:AI299,"DV")</f>
      </c>
      <c r="AY299" s="1">
        <f>=+AN299+AO299+AP299+AQ299+AR299+AS299+AT299+AU299</f>
      </c>
    </row>
    <row r="300" ht="16" customHeight="1" spans="1:51" x14ac:dyDescent="0.25">
      <c r="A300" s="46"/>
      <c r="B300" s="46"/>
      <c r="C300" s="46"/>
      <c r="D300" s="46" t="s">
        <v>32</v>
      </c>
      <c r="E300" s="46"/>
      <c r="F300" s="46"/>
      <c r="G300" s="46"/>
      <c r="H300" s="46"/>
      <c r="I300" s="46"/>
      <c r="J300" s="46"/>
      <c r="K300" s="46"/>
      <c r="L300" s="46"/>
      <c r="M300" s="46"/>
      <c r="N300" s="46">
        <v>1</v>
      </c>
      <c r="O300" s="46"/>
      <c r="P300" s="46"/>
      <c r="Q300" s="46"/>
      <c r="R300" s="46"/>
      <c r="S300" s="46"/>
      <c r="T300" s="46"/>
      <c r="U300" s="46">
        <v>0</v>
      </c>
      <c r="V300" s="46"/>
      <c r="W300" s="46">
        <v>0</v>
      </c>
      <c r="X300" s="46"/>
      <c r="Y300" s="46"/>
      <c r="Z300" s="46"/>
      <c r="AA300" s="46"/>
      <c r="AB300" s="46"/>
      <c r="AC300" s="46"/>
      <c r="AD300" s="46">
        <v>0</v>
      </c>
      <c r="AE300" s="46"/>
      <c r="AF300" s="46"/>
      <c r="AG300" s="46"/>
      <c r="AH300" s="46"/>
      <c r="AI300" s="46"/>
      <c r="AJ300" s="46"/>
      <c r="AK300" s="46"/>
      <c r="AL300" s="46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ht="16" customHeight="1" spans="1:51" x14ac:dyDescent="0.25">
      <c r="A301" s="46">
        <v>147</v>
      </c>
      <c r="B301" s="46" t="s">
        <v>335</v>
      </c>
      <c r="C301" s="46" t="s">
        <v>336</v>
      </c>
      <c r="D301" s="46" t="s">
        <v>28</v>
      </c>
      <c r="E301" s="46" t="s">
        <v>29</v>
      </c>
      <c r="F301" s="46" t="s">
        <v>30</v>
      </c>
      <c r="G301" s="46" t="s">
        <v>29</v>
      </c>
      <c r="H301" s="46" t="s">
        <v>29</v>
      </c>
      <c r="I301" s="46" t="s">
        <v>29</v>
      </c>
      <c r="J301" s="46" t="s">
        <v>29</v>
      </c>
      <c r="K301" s="46" t="s">
        <v>29</v>
      </c>
      <c r="L301" s="46" t="s">
        <v>29</v>
      </c>
      <c r="M301" s="46" t="s">
        <v>30</v>
      </c>
      <c r="N301" s="46" t="s">
        <v>29</v>
      </c>
      <c r="O301" s="46" t="s">
        <v>29</v>
      </c>
      <c r="P301" s="46" t="s">
        <v>29</v>
      </c>
      <c r="Q301" s="46" t="s">
        <v>29</v>
      </c>
      <c r="R301" s="46" t="s">
        <v>29</v>
      </c>
      <c r="S301" s="46" t="s">
        <v>29</v>
      </c>
      <c r="T301" s="46" t="s">
        <v>30</v>
      </c>
      <c r="U301" s="46" t="s">
        <v>29</v>
      </c>
      <c r="V301" s="46" t="s">
        <v>29</v>
      </c>
      <c r="W301" s="46" t="s">
        <v>29</v>
      </c>
      <c r="X301" s="46" t="s">
        <v>29</v>
      </c>
      <c r="Y301" s="46" t="s">
        <v>29</v>
      </c>
      <c r="Z301" s="46" t="s">
        <v>29</v>
      </c>
      <c r="AA301" s="46" t="s">
        <v>30</v>
      </c>
      <c r="AB301" s="46" t="s">
        <v>29</v>
      </c>
      <c r="AC301" s="46" t="s">
        <v>29</v>
      </c>
      <c r="AD301" s="46" t="s">
        <v>29</v>
      </c>
      <c r="AE301" s="46" t="s">
        <v>29</v>
      </c>
      <c r="AF301" s="46" t="s">
        <v>29</v>
      </c>
      <c r="AG301" s="46" t="s">
        <v>29</v>
      </c>
      <c r="AH301" s="46" t="s">
        <v>44</v>
      </c>
      <c r="AI301" s="46" t="s">
        <v>29</v>
      </c>
      <c r="AJ301" s="46">
        <f>=SUM(E302:AI302)</f>
      </c>
      <c r="AK301" s="46">
        <f>=+AY301</f>
      </c>
      <c r="AL301" s="46"/>
      <c r="AM301" s="1"/>
      <c r="AN301" s="1">
        <f>=COUNTIF(E301:AI301,"A")+COUNTIF(E301:AI301,"B")+COUNTIF(E301:AI301,"C")+COUNTIF(E301:AI301,"D")+COUNTIF(E301:AI301,"E")+COUNTIF(E301:AI301,"F")+COUNTIF(E301:AI301,"M")+COUNTIF(E301:AI301,"AB")+COUNTIF(E301:AI301,"UZ")+COUNTIF(E301:AI301,"G")+(COUNTIF(E301:AI301,"RT.")/2)+(COUNTIF(E301:AI301,"ÇRT.")/2)</f>
      </c>
      <c r="AO301" s="1">
        <f>=COUNTIF(E301:AI301,"O")</f>
      </c>
      <c r="AP301" s="1">
        <f>=COUNTIF(E301:AI301,"RT")+(COUNTIF(E301:AI301,"RT.")/2)</f>
      </c>
      <c r="AQ301" s="1">
        <f>=COUNTIF(E301:AI301,"ÇRT")+(COUNTIF(E301:AI301,"ÇRT.")/2)</f>
      </c>
      <c r="AR301" s="1">
        <f>=COUNTIF(E301:AI301,"ÇHT")</f>
      </c>
      <c r="AS301" s="1">
        <f>=COUNTIF(E301:AI301,"Ö")+COUNTIF(E301:AI301,"T")</f>
      </c>
      <c r="AT301" s="1">
        <f>=COUNTIF(E301:AI301,"Y")</f>
      </c>
      <c r="AU301" s="1">
        <f>=COUNTIF(E301:AI301,"R.")</f>
      </c>
      <c r="AV301" s="1">
        <f>=COUNTIF(E301:AI301,"Ü")</f>
      </c>
      <c r="AW301" s="1">
        <f>=COUNTIF(E301:AI301,"R")</f>
      </c>
      <c r="AX301" s="1">
        <f>=COUNTIF(E301:AI301,"DV")</f>
      </c>
      <c r="AY301" s="1">
        <f>=+AN301+AO301+AP301+AQ301+AR301+AS301+AT301+AU301</f>
      </c>
    </row>
    <row r="302" ht="16" customHeight="1" spans="1:51" x14ac:dyDescent="0.25">
      <c r="A302" s="46"/>
      <c r="B302" s="46"/>
      <c r="C302" s="46"/>
      <c r="D302" s="46" t="s">
        <v>32</v>
      </c>
      <c r="E302" s="46">
        <v>0</v>
      </c>
      <c r="F302" s="46"/>
      <c r="G302" s="46">
        <v>0</v>
      </c>
      <c r="H302" s="46">
        <v>0</v>
      </c>
      <c r="I302" s="46">
        <v>0</v>
      </c>
      <c r="J302" s="46"/>
      <c r="K302" s="46">
        <v>0</v>
      </c>
      <c r="L302" s="46">
        <v>3</v>
      </c>
      <c r="M302" s="46"/>
      <c r="N302" s="46">
        <v>3</v>
      </c>
      <c r="O302" s="46">
        <v>1</v>
      </c>
      <c r="P302" s="46"/>
      <c r="Q302" s="46"/>
      <c r="R302" s="46"/>
      <c r="S302" s="46"/>
      <c r="T302" s="46"/>
      <c r="U302" s="46">
        <v>1</v>
      </c>
      <c r="V302" s="46">
        <v>1</v>
      </c>
      <c r="W302" s="46"/>
      <c r="X302" s="46">
        <v>0</v>
      </c>
      <c r="Y302" s="46">
        <v>1</v>
      </c>
      <c r="Z302" s="46">
        <v>0</v>
      </c>
      <c r="AA302" s="46"/>
      <c r="AB302" s="46"/>
      <c r="AC302" s="46">
        <v>0</v>
      </c>
      <c r="AD302" s="46"/>
      <c r="AE302" s="46">
        <v>0</v>
      </c>
      <c r="AF302" s="46">
        <v>0</v>
      </c>
      <c r="AG302" s="46">
        <v>3</v>
      </c>
      <c r="AH302" s="46">
        <v>3</v>
      </c>
      <c r="AI302" s="46">
        <v>0</v>
      </c>
      <c r="AJ302" s="46"/>
      <c r="AK302" s="46"/>
      <c r="AL302" s="46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ht="16" customHeight="1" spans="1:51" x14ac:dyDescent="0.25">
      <c r="A303" s="46">
        <v>148</v>
      </c>
      <c r="B303" s="46" t="s">
        <v>337</v>
      </c>
      <c r="C303" s="46" t="s">
        <v>338</v>
      </c>
      <c r="D303" s="46" t="s">
        <v>28</v>
      </c>
      <c r="E303" s="46" t="s">
        <v>29</v>
      </c>
      <c r="F303" s="46" t="s">
        <v>30</v>
      </c>
      <c r="G303" s="46" t="s">
        <v>29</v>
      </c>
      <c r="H303" s="46" t="s">
        <v>29</v>
      </c>
      <c r="I303" s="46" t="s">
        <v>29</v>
      </c>
      <c r="J303" s="46" t="s">
        <v>29</v>
      </c>
      <c r="K303" s="46" t="s">
        <v>29</v>
      </c>
      <c r="L303" s="46" t="s">
        <v>29</v>
      </c>
      <c r="M303" s="46" t="s">
        <v>30</v>
      </c>
      <c r="N303" s="46" t="s">
        <v>29</v>
      </c>
      <c r="O303" s="46" t="s">
        <v>29</v>
      </c>
      <c r="P303" s="46" t="s">
        <v>29</v>
      </c>
      <c r="Q303" s="46" t="s">
        <v>29</v>
      </c>
      <c r="R303" s="46" t="s">
        <v>29</v>
      </c>
      <c r="S303" s="46" t="s">
        <v>29</v>
      </c>
      <c r="T303" s="46" t="s">
        <v>30</v>
      </c>
      <c r="U303" s="46" t="s">
        <v>29</v>
      </c>
      <c r="V303" s="46" t="s">
        <v>29</v>
      </c>
      <c r="W303" s="46" t="s">
        <v>47</v>
      </c>
      <c r="X303" s="46" t="s">
        <v>29</v>
      </c>
      <c r="Y303" s="46" t="s">
        <v>29</v>
      </c>
      <c r="Z303" s="46" t="s">
        <v>29</v>
      </c>
      <c r="AA303" s="46" t="s">
        <v>30</v>
      </c>
      <c r="AB303" s="46" t="s">
        <v>29</v>
      </c>
      <c r="AC303" s="46" t="s">
        <v>29</v>
      </c>
      <c r="AD303" s="46" t="s">
        <v>29</v>
      </c>
      <c r="AE303" s="46" t="s">
        <v>29</v>
      </c>
      <c r="AF303" s="46" t="s">
        <v>29</v>
      </c>
      <c r="AG303" s="46" t="s">
        <v>29</v>
      </c>
      <c r="AH303" s="46" t="s">
        <v>44</v>
      </c>
      <c r="AI303" s="46" t="s">
        <v>29</v>
      </c>
      <c r="AJ303" s="46">
        <f>=SUM(E304:AI304)</f>
      </c>
      <c r="AK303" s="46">
        <f>=+AY303</f>
      </c>
      <c r="AL303" s="46"/>
      <c r="AM303" s="1"/>
      <c r="AN303" s="1">
        <f>=COUNTIF(E303:AI303,"A")+COUNTIF(E303:AI303,"B")+COUNTIF(E303:AI303,"C")+COUNTIF(E303:AI303,"D")+COUNTIF(E303:AI303,"E")+COUNTIF(E303:AI303,"F")+COUNTIF(E303:AI303,"M")+COUNTIF(E303:AI303,"AB")+COUNTIF(E303:AI303,"UZ")+COUNTIF(E303:AI303,"G")+(COUNTIF(E303:AI303,"RT.")/2)+(COUNTIF(E303:AI303,"ÇRT.")/2)</f>
      </c>
      <c r="AO303" s="1">
        <f>=COUNTIF(E303:AI303,"O")</f>
      </c>
      <c r="AP303" s="1">
        <f>=COUNTIF(E303:AI303,"RT")+(COUNTIF(E303:AI303,"RT.")/2)</f>
      </c>
      <c r="AQ303" s="1">
        <f>=COUNTIF(E303:AI303,"ÇRT")+(COUNTIF(E303:AI303,"ÇRT.")/2)</f>
      </c>
      <c r="AR303" s="1">
        <f>=COUNTIF(E303:AI303,"ÇHT")</f>
      </c>
      <c r="AS303" s="1">
        <f>=COUNTIF(E303:AI303,"Ö")+COUNTIF(E303:AI303,"T")</f>
      </c>
      <c r="AT303" s="1">
        <f>=COUNTIF(E303:AI303,"Y")</f>
      </c>
      <c r="AU303" s="1">
        <f>=COUNTIF(E303:AI303,"R.")</f>
      </c>
      <c r="AV303" s="1">
        <f>=COUNTIF(E303:AI303,"Ü")</f>
      </c>
      <c r="AW303" s="1">
        <f>=COUNTIF(E303:AI303,"R")</f>
      </c>
      <c r="AX303" s="1">
        <f>=COUNTIF(E303:AI303,"DV")</f>
      </c>
      <c r="AY303" s="1">
        <f>=+AN303+AO303+AP303+AQ303+AR303+AS303+AT303+AU303</f>
      </c>
    </row>
    <row r="304" ht="16" customHeight="1" spans="1:51" x14ac:dyDescent="0.25">
      <c r="A304" s="46"/>
      <c r="B304" s="46"/>
      <c r="C304" s="46"/>
      <c r="D304" s="46" t="s">
        <v>32</v>
      </c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>
        <v>2</v>
      </c>
      <c r="AG304" s="46">
        <v>3</v>
      </c>
      <c r="AH304" s="46">
        <v>2</v>
      </c>
      <c r="AI304" s="46"/>
      <c r="AJ304" s="46"/>
      <c r="AK304" s="46"/>
      <c r="AL304" s="46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38" x14ac:dyDescent="0.25">
      <c r="A305" s="47" t="s">
        <v>339</v>
      </c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 t="s">
        <v>340</v>
      </c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</row>
    <row r="306" spans="1:38" x14ac:dyDescent="0.25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</row>
    <row r="308" spans="7:38" x14ac:dyDescent="0.25">
      <c r="G308" s="48" t="s">
        <v>341</v>
      </c>
      <c r="H308" s="48" t="s">
        <v>342</v>
      </c>
      <c r="M308" s="48" t="s">
        <v>343</v>
      </c>
      <c r="N308" s="48" t="s">
        <v>344</v>
      </c>
      <c r="R308" s="48" t="s">
        <v>345</v>
      </c>
      <c r="S308" s="48" t="s">
        <v>346</v>
      </c>
      <c r="W308" s="48" t="s">
        <v>347</v>
      </c>
      <c r="X308" s="48" t="s">
        <v>348</v>
      </c>
      <c r="AB308" s="48" t="s">
        <v>349</v>
      </c>
      <c r="AC308" s="48" t="s">
        <v>350</v>
      </c>
      <c r="AG308" s="48" t="s">
        <v>351</v>
      </c>
      <c r="AH308" s="48" t="s">
        <v>352</v>
      </c>
      <c r="AK308" s="48" t="s">
        <v>353</v>
      </c>
      <c r="AL308" s="48" t="s">
        <v>354</v>
      </c>
    </row>
    <row r="309" spans="7:38" x14ac:dyDescent="0.25">
      <c r="G309" s="48" t="s">
        <v>355</v>
      </c>
      <c r="H309" s="48" t="s">
        <v>356</v>
      </c>
      <c r="M309" s="48" t="s">
        <v>357</v>
      </c>
      <c r="N309" s="48" t="s">
        <v>358</v>
      </c>
      <c r="R309" s="48" t="s">
        <v>359</v>
      </c>
      <c r="S309" s="48" t="s">
        <v>20</v>
      </c>
      <c r="W309" s="48" t="s">
        <v>360</v>
      </c>
      <c r="X309" s="48" t="s">
        <v>22</v>
      </c>
      <c r="AB309" s="48" t="s">
        <v>361</v>
      </c>
      <c r="AC309" s="48" t="s">
        <v>362</v>
      </c>
      <c r="AG309" s="48" t="s">
        <v>363</v>
      </c>
      <c r="AH309" s="48" t="s">
        <v>364</v>
      </c>
      <c r="AK309" s="48"/>
      <c r="AL309" s="48"/>
    </row>
    <row r="310" spans="7:38" x14ac:dyDescent="0.25">
      <c r="G310" s="48" t="s">
        <v>365</v>
      </c>
      <c r="H310" s="48" t="s">
        <v>366</v>
      </c>
      <c r="M310" s="48" t="s">
        <v>367</v>
      </c>
      <c r="N310" s="48" t="s">
        <v>368</v>
      </c>
      <c r="R310" s="48" t="s">
        <v>369</v>
      </c>
      <c r="S310" s="48" t="s">
        <v>24</v>
      </c>
      <c r="W310" s="48" t="s">
        <v>370</v>
      </c>
      <c r="X310" s="48" t="s">
        <v>21</v>
      </c>
      <c r="AB310" s="48" t="s">
        <v>371</v>
      </c>
      <c r="AC310" s="48" t="s">
        <v>372</v>
      </c>
      <c r="AG310" s="48" t="s">
        <v>373</v>
      </c>
      <c r="AH310" s="48" t="s">
        <v>374</v>
      </c>
      <c r="AK310" s="48"/>
      <c r="AL310" s="48"/>
    </row>
  </sheetData>
  <mergeCells count="903">
    <mergeCell ref="AJ1:AL1"/>
    <mergeCell ref="AZ1:BE1"/>
    <mergeCell ref="AJ2:AL2"/>
    <mergeCell ref="AZ2:BE2"/>
    <mergeCell ref="A3:AL3"/>
    <mergeCell ref="E7:AI7"/>
    <mergeCell ref="A7:A8"/>
    <mergeCell ref="B7:B8"/>
    <mergeCell ref="C7:C8"/>
    <mergeCell ref="D7:D8"/>
    <mergeCell ref="AJ7:AJ8"/>
    <mergeCell ref="AK7:AK8"/>
    <mergeCell ref="AL7:AL8"/>
    <mergeCell ref="A9:A10"/>
    <mergeCell ref="B9:B10"/>
    <mergeCell ref="C9:C10"/>
    <mergeCell ref="AJ9:AJ10"/>
    <mergeCell ref="AK9:AK10"/>
    <mergeCell ref="AL9:AL10"/>
    <mergeCell ref="A11:A12"/>
    <mergeCell ref="B11:B12"/>
    <mergeCell ref="C11:C12"/>
    <mergeCell ref="AJ11:AJ12"/>
    <mergeCell ref="AK11:AK12"/>
    <mergeCell ref="AL11:AL12"/>
    <mergeCell ref="A13:A14"/>
    <mergeCell ref="B13:B14"/>
    <mergeCell ref="C13:C14"/>
    <mergeCell ref="AJ13:AJ14"/>
    <mergeCell ref="AK13:AK14"/>
    <mergeCell ref="AL13:AL14"/>
    <mergeCell ref="A15:A16"/>
    <mergeCell ref="B15:B16"/>
    <mergeCell ref="C15:C16"/>
    <mergeCell ref="AJ15:AJ16"/>
    <mergeCell ref="AK15:AK16"/>
    <mergeCell ref="AL15:AL16"/>
    <mergeCell ref="A17:A18"/>
    <mergeCell ref="B17:B18"/>
    <mergeCell ref="C17:C18"/>
    <mergeCell ref="AJ17:AJ18"/>
    <mergeCell ref="AK17:AK18"/>
    <mergeCell ref="AL17:AL18"/>
    <mergeCell ref="A19:A20"/>
    <mergeCell ref="B19:B20"/>
    <mergeCell ref="C19:C20"/>
    <mergeCell ref="AJ19:AJ20"/>
    <mergeCell ref="AK19:AK20"/>
    <mergeCell ref="AL19:AL20"/>
    <mergeCell ref="A21:A22"/>
    <mergeCell ref="B21:B22"/>
    <mergeCell ref="C21:C22"/>
    <mergeCell ref="AJ21:AJ22"/>
    <mergeCell ref="AK21:AK22"/>
    <mergeCell ref="AL21:AL22"/>
    <mergeCell ref="A23:A24"/>
    <mergeCell ref="B23:B24"/>
    <mergeCell ref="C23:C24"/>
    <mergeCell ref="AJ23:AJ24"/>
    <mergeCell ref="AK23:AK24"/>
    <mergeCell ref="AL23:AL24"/>
    <mergeCell ref="A25:A26"/>
    <mergeCell ref="B25:B26"/>
    <mergeCell ref="C25:C26"/>
    <mergeCell ref="AJ25:AJ26"/>
    <mergeCell ref="AK25:AK26"/>
    <mergeCell ref="AL25:AL26"/>
    <mergeCell ref="A27:A28"/>
    <mergeCell ref="B27:B28"/>
    <mergeCell ref="C27:C28"/>
    <mergeCell ref="AJ27:AJ28"/>
    <mergeCell ref="AK27:AK28"/>
    <mergeCell ref="AL27:AL28"/>
    <mergeCell ref="A29:A30"/>
    <mergeCell ref="B29:B30"/>
    <mergeCell ref="C29:C30"/>
    <mergeCell ref="AJ29:AJ30"/>
    <mergeCell ref="AK29:AK30"/>
    <mergeCell ref="AL29:AL30"/>
    <mergeCell ref="A31:A32"/>
    <mergeCell ref="B31:B32"/>
    <mergeCell ref="C31:C32"/>
    <mergeCell ref="AJ31:AJ32"/>
    <mergeCell ref="AK31:AK32"/>
    <mergeCell ref="AL31:AL32"/>
    <mergeCell ref="A33:A34"/>
    <mergeCell ref="B33:B34"/>
    <mergeCell ref="C33:C34"/>
    <mergeCell ref="AJ33:AJ34"/>
    <mergeCell ref="AK33:AK34"/>
    <mergeCell ref="AL33:AL34"/>
    <mergeCell ref="A35:A36"/>
    <mergeCell ref="B35:B36"/>
    <mergeCell ref="C35:C36"/>
    <mergeCell ref="AJ35:AJ36"/>
    <mergeCell ref="AK35:AK36"/>
    <mergeCell ref="AL35:AL36"/>
    <mergeCell ref="A37:A38"/>
    <mergeCell ref="B37:B38"/>
    <mergeCell ref="C37:C38"/>
    <mergeCell ref="AJ37:AJ38"/>
    <mergeCell ref="AK37:AK38"/>
    <mergeCell ref="AL37:AL38"/>
    <mergeCell ref="A39:A40"/>
    <mergeCell ref="B39:B40"/>
    <mergeCell ref="C39:C40"/>
    <mergeCell ref="AJ39:AJ40"/>
    <mergeCell ref="AK39:AK40"/>
    <mergeCell ref="AL39:AL40"/>
    <mergeCell ref="A41:A42"/>
    <mergeCell ref="B41:B42"/>
    <mergeCell ref="C41:C42"/>
    <mergeCell ref="AJ41:AJ42"/>
    <mergeCell ref="AK41:AK42"/>
    <mergeCell ref="AL41:AL42"/>
    <mergeCell ref="A43:A44"/>
    <mergeCell ref="B43:B44"/>
    <mergeCell ref="C43:C44"/>
    <mergeCell ref="AJ43:AJ44"/>
    <mergeCell ref="AK43:AK44"/>
    <mergeCell ref="AL43:AL44"/>
    <mergeCell ref="A45:A46"/>
    <mergeCell ref="B45:B46"/>
    <mergeCell ref="C45:C46"/>
    <mergeCell ref="AJ45:AJ46"/>
    <mergeCell ref="AK45:AK46"/>
    <mergeCell ref="AL45:AL46"/>
    <mergeCell ref="A47:A48"/>
    <mergeCell ref="B47:B48"/>
    <mergeCell ref="C47:C48"/>
    <mergeCell ref="AJ47:AJ48"/>
    <mergeCell ref="AK47:AK48"/>
    <mergeCell ref="AL47:AL48"/>
    <mergeCell ref="A49:A50"/>
    <mergeCell ref="B49:B50"/>
    <mergeCell ref="C49:C50"/>
    <mergeCell ref="AJ49:AJ50"/>
    <mergeCell ref="AK49:AK50"/>
    <mergeCell ref="AL49:AL50"/>
    <mergeCell ref="A51:A52"/>
    <mergeCell ref="B51:B52"/>
    <mergeCell ref="C51:C52"/>
    <mergeCell ref="AJ51:AJ52"/>
    <mergeCell ref="AK51:AK52"/>
    <mergeCell ref="AL51:AL52"/>
    <mergeCell ref="A53:A54"/>
    <mergeCell ref="B53:B54"/>
    <mergeCell ref="C53:C54"/>
    <mergeCell ref="AJ53:AJ54"/>
    <mergeCell ref="AK53:AK54"/>
    <mergeCell ref="AL53:AL54"/>
    <mergeCell ref="A55:A56"/>
    <mergeCell ref="B55:B56"/>
    <mergeCell ref="C55:C56"/>
    <mergeCell ref="AJ55:AJ56"/>
    <mergeCell ref="AK55:AK56"/>
    <mergeCell ref="AL55:AL56"/>
    <mergeCell ref="A57:A58"/>
    <mergeCell ref="B57:B58"/>
    <mergeCell ref="C57:C58"/>
    <mergeCell ref="AJ57:AJ58"/>
    <mergeCell ref="AK57:AK58"/>
    <mergeCell ref="AL57:AL58"/>
    <mergeCell ref="A59:A60"/>
    <mergeCell ref="B59:B60"/>
    <mergeCell ref="C59:C60"/>
    <mergeCell ref="AJ59:AJ60"/>
    <mergeCell ref="AK59:AK60"/>
    <mergeCell ref="AL59:AL60"/>
    <mergeCell ref="A61:A62"/>
    <mergeCell ref="B61:B62"/>
    <mergeCell ref="C61:C62"/>
    <mergeCell ref="AJ61:AJ62"/>
    <mergeCell ref="AK61:AK62"/>
    <mergeCell ref="AL61:AL62"/>
    <mergeCell ref="A63:A64"/>
    <mergeCell ref="B63:B64"/>
    <mergeCell ref="C63:C64"/>
    <mergeCell ref="AJ63:AJ64"/>
    <mergeCell ref="AK63:AK64"/>
    <mergeCell ref="AL63:AL64"/>
    <mergeCell ref="A65:A66"/>
    <mergeCell ref="B65:B66"/>
    <mergeCell ref="C65:C66"/>
    <mergeCell ref="AJ65:AJ66"/>
    <mergeCell ref="AK65:AK66"/>
    <mergeCell ref="AL65:AL66"/>
    <mergeCell ref="A67:A68"/>
    <mergeCell ref="B67:B68"/>
    <mergeCell ref="C67:C68"/>
    <mergeCell ref="AJ67:AJ68"/>
    <mergeCell ref="AK67:AK68"/>
    <mergeCell ref="AL67:AL68"/>
    <mergeCell ref="A69:A70"/>
    <mergeCell ref="B69:B70"/>
    <mergeCell ref="C69:C70"/>
    <mergeCell ref="AJ69:AJ70"/>
    <mergeCell ref="AK69:AK70"/>
    <mergeCell ref="AL69:AL70"/>
    <mergeCell ref="A71:A72"/>
    <mergeCell ref="B71:B72"/>
    <mergeCell ref="C71:C72"/>
    <mergeCell ref="AJ71:AJ72"/>
    <mergeCell ref="AK71:AK72"/>
    <mergeCell ref="AL71:AL72"/>
    <mergeCell ref="A73:A74"/>
    <mergeCell ref="B73:B74"/>
    <mergeCell ref="C73:C74"/>
    <mergeCell ref="AJ73:AJ74"/>
    <mergeCell ref="AK73:AK74"/>
    <mergeCell ref="AL73:AL74"/>
    <mergeCell ref="A75:A76"/>
    <mergeCell ref="B75:B76"/>
    <mergeCell ref="C75:C76"/>
    <mergeCell ref="AJ75:AJ76"/>
    <mergeCell ref="AK75:AK76"/>
    <mergeCell ref="AL75:AL76"/>
    <mergeCell ref="A77:A78"/>
    <mergeCell ref="B77:B78"/>
    <mergeCell ref="C77:C78"/>
    <mergeCell ref="AJ77:AJ78"/>
    <mergeCell ref="AK77:AK78"/>
    <mergeCell ref="AL77:AL78"/>
    <mergeCell ref="A79:A80"/>
    <mergeCell ref="B79:B80"/>
    <mergeCell ref="C79:C80"/>
    <mergeCell ref="AJ79:AJ80"/>
    <mergeCell ref="AK79:AK80"/>
    <mergeCell ref="AL79:AL80"/>
    <mergeCell ref="A81:A82"/>
    <mergeCell ref="B81:B82"/>
    <mergeCell ref="C81:C82"/>
    <mergeCell ref="AJ81:AJ82"/>
    <mergeCell ref="AK81:AK82"/>
    <mergeCell ref="AL81:AL82"/>
    <mergeCell ref="A83:A84"/>
    <mergeCell ref="B83:B84"/>
    <mergeCell ref="C83:C84"/>
    <mergeCell ref="AJ83:AJ84"/>
    <mergeCell ref="AK83:AK84"/>
    <mergeCell ref="AL83:AL84"/>
    <mergeCell ref="A85:A86"/>
    <mergeCell ref="B85:B86"/>
    <mergeCell ref="C85:C86"/>
    <mergeCell ref="AJ85:AJ86"/>
    <mergeCell ref="AK85:AK86"/>
    <mergeCell ref="AL85:AL86"/>
    <mergeCell ref="A87:A88"/>
    <mergeCell ref="B87:B88"/>
    <mergeCell ref="C87:C88"/>
    <mergeCell ref="AJ87:AJ88"/>
    <mergeCell ref="AK87:AK88"/>
    <mergeCell ref="AL87:AL88"/>
    <mergeCell ref="A89:A90"/>
    <mergeCell ref="B89:B90"/>
    <mergeCell ref="C89:C90"/>
    <mergeCell ref="AJ89:AJ90"/>
    <mergeCell ref="AK89:AK90"/>
    <mergeCell ref="AL89:AL90"/>
    <mergeCell ref="A91:A92"/>
    <mergeCell ref="B91:B92"/>
    <mergeCell ref="C91:C92"/>
    <mergeCell ref="AJ91:AJ92"/>
    <mergeCell ref="AK91:AK92"/>
    <mergeCell ref="AL91:AL92"/>
    <mergeCell ref="A93:A94"/>
    <mergeCell ref="B93:B94"/>
    <mergeCell ref="C93:C94"/>
    <mergeCell ref="AJ93:AJ94"/>
    <mergeCell ref="AK93:AK94"/>
    <mergeCell ref="AL93:AL94"/>
    <mergeCell ref="A95:A96"/>
    <mergeCell ref="B95:B96"/>
    <mergeCell ref="C95:C96"/>
    <mergeCell ref="AJ95:AJ96"/>
    <mergeCell ref="AK95:AK96"/>
    <mergeCell ref="AL95:AL96"/>
    <mergeCell ref="A97:A98"/>
    <mergeCell ref="B97:B98"/>
    <mergeCell ref="C97:C98"/>
    <mergeCell ref="AJ97:AJ98"/>
    <mergeCell ref="AK97:AK98"/>
    <mergeCell ref="AL97:AL98"/>
    <mergeCell ref="A99:A100"/>
    <mergeCell ref="B99:B100"/>
    <mergeCell ref="C99:C100"/>
    <mergeCell ref="AJ99:AJ100"/>
    <mergeCell ref="AK99:AK100"/>
    <mergeCell ref="AL99:AL100"/>
    <mergeCell ref="A101:A102"/>
    <mergeCell ref="B101:B102"/>
    <mergeCell ref="C101:C102"/>
    <mergeCell ref="AJ101:AJ102"/>
    <mergeCell ref="AK101:AK102"/>
    <mergeCell ref="AL101:AL102"/>
    <mergeCell ref="A103:A104"/>
    <mergeCell ref="B103:B104"/>
    <mergeCell ref="C103:C104"/>
    <mergeCell ref="AJ103:AJ104"/>
    <mergeCell ref="AK103:AK104"/>
    <mergeCell ref="AL103:AL104"/>
    <mergeCell ref="A105:A106"/>
    <mergeCell ref="B105:B106"/>
    <mergeCell ref="C105:C106"/>
    <mergeCell ref="AJ105:AJ106"/>
    <mergeCell ref="AK105:AK106"/>
    <mergeCell ref="AL105:AL106"/>
    <mergeCell ref="A107:A108"/>
    <mergeCell ref="B107:B108"/>
    <mergeCell ref="C107:C108"/>
    <mergeCell ref="AJ107:AJ108"/>
    <mergeCell ref="AK107:AK108"/>
    <mergeCell ref="AL107:AL108"/>
    <mergeCell ref="A109:A110"/>
    <mergeCell ref="B109:B110"/>
    <mergeCell ref="C109:C110"/>
    <mergeCell ref="AJ109:AJ110"/>
    <mergeCell ref="AK109:AK110"/>
    <mergeCell ref="AL109:AL110"/>
    <mergeCell ref="A111:A112"/>
    <mergeCell ref="B111:B112"/>
    <mergeCell ref="C111:C112"/>
    <mergeCell ref="AJ111:AJ112"/>
    <mergeCell ref="AK111:AK112"/>
    <mergeCell ref="AL111:AL112"/>
    <mergeCell ref="A113:A114"/>
    <mergeCell ref="B113:B114"/>
    <mergeCell ref="C113:C114"/>
    <mergeCell ref="AJ113:AJ114"/>
    <mergeCell ref="AK113:AK114"/>
    <mergeCell ref="AL113:AL114"/>
    <mergeCell ref="A115:A116"/>
    <mergeCell ref="B115:B116"/>
    <mergeCell ref="C115:C116"/>
    <mergeCell ref="AJ115:AJ116"/>
    <mergeCell ref="AK115:AK116"/>
    <mergeCell ref="AL115:AL116"/>
    <mergeCell ref="A117:A118"/>
    <mergeCell ref="B117:B118"/>
    <mergeCell ref="C117:C118"/>
    <mergeCell ref="AJ117:AJ118"/>
    <mergeCell ref="AK117:AK118"/>
    <mergeCell ref="AL117:AL118"/>
    <mergeCell ref="A119:A120"/>
    <mergeCell ref="B119:B120"/>
    <mergeCell ref="C119:C120"/>
    <mergeCell ref="AJ119:AJ120"/>
    <mergeCell ref="AK119:AK120"/>
    <mergeCell ref="AL119:AL120"/>
    <mergeCell ref="A121:A122"/>
    <mergeCell ref="B121:B122"/>
    <mergeCell ref="C121:C122"/>
    <mergeCell ref="AJ121:AJ122"/>
    <mergeCell ref="AK121:AK122"/>
    <mergeCell ref="AL121:AL122"/>
    <mergeCell ref="A123:A124"/>
    <mergeCell ref="B123:B124"/>
    <mergeCell ref="C123:C124"/>
    <mergeCell ref="AJ123:AJ124"/>
    <mergeCell ref="AK123:AK124"/>
    <mergeCell ref="AL123:AL124"/>
    <mergeCell ref="A125:A126"/>
    <mergeCell ref="B125:B126"/>
    <mergeCell ref="C125:C126"/>
    <mergeCell ref="AJ125:AJ126"/>
    <mergeCell ref="AK125:AK126"/>
    <mergeCell ref="AL125:AL126"/>
    <mergeCell ref="A127:A128"/>
    <mergeCell ref="B127:B128"/>
    <mergeCell ref="C127:C128"/>
    <mergeCell ref="AJ127:AJ128"/>
    <mergeCell ref="AK127:AK128"/>
    <mergeCell ref="AL127:AL128"/>
    <mergeCell ref="A129:A130"/>
    <mergeCell ref="B129:B130"/>
    <mergeCell ref="C129:C130"/>
    <mergeCell ref="AJ129:AJ130"/>
    <mergeCell ref="AK129:AK130"/>
    <mergeCell ref="AL129:AL130"/>
    <mergeCell ref="A131:A132"/>
    <mergeCell ref="B131:B132"/>
    <mergeCell ref="C131:C132"/>
    <mergeCell ref="AJ131:AJ132"/>
    <mergeCell ref="AK131:AK132"/>
    <mergeCell ref="AL131:AL132"/>
    <mergeCell ref="A133:A134"/>
    <mergeCell ref="B133:B134"/>
    <mergeCell ref="C133:C134"/>
    <mergeCell ref="AJ133:AJ134"/>
    <mergeCell ref="AK133:AK134"/>
    <mergeCell ref="AL133:AL134"/>
    <mergeCell ref="A135:A136"/>
    <mergeCell ref="B135:B136"/>
    <mergeCell ref="C135:C136"/>
    <mergeCell ref="AJ135:AJ136"/>
    <mergeCell ref="AK135:AK136"/>
    <mergeCell ref="AL135:AL136"/>
    <mergeCell ref="A137:A138"/>
    <mergeCell ref="B137:B138"/>
    <mergeCell ref="C137:C138"/>
    <mergeCell ref="AJ137:AJ138"/>
    <mergeCell ref="AK137:AK138"/>
    <mergeCell ref="AL137:AL138"/>
    <mergeCell ref="A139:A140"/>
    <mergeCell ref="B139:B140"/>
    <mergeCell ref="C139:C140"/>
    <mergeCell ref="AJ139:AJ140"/>
    <mergeCell ref="AK139:AK140"/>
    <mergeCell ref="AL139:AL140"/>
    <mergeCell ref="A141:A142"/>
    <mergeCell ref="B141:B142"/>
    <mergeCell ref="C141:C142"/>
    <mergeCell ref="AJ141:AJ142"/>
    <mergeCell ref="AK141:AK142"/>
    <mergeCell ref="AL141:AL142"/>
    <mergeCell ref="A143:A144"/>
    <mergeCell ref="B143:B144"/>
    <mergeCell ref="C143:C144"/>
    <mergeCell ref="AJ143:AJ144"/>
    <mergeCell ref="AK143:AK144"/>
    <mergeCell ref="AL143:AL144"/>
    <mergeCell ref="A145:A146"/>
    <mergeCell ref="B145:B146"/>
    <mergeCell ref="C145:C146"/>
    <mergeCell ref="AJ145:AJ146"/>
    <mergeCell ref="AK145:AK146"/>
    <mergeCell ref="AL145:AL146"/>
    <mergeCell ref="A147:A148"/>
    <mergeCell ref="B147:B148"/>
    <mergeCell ref="C147:C148"/>
    <mergeCell ref="AJ147:AJ148"/>
    <mergeCell ref="AK147:AK148"/>
    <mergeCell ref="AL147:AL148"/>
    <mergeCell ref="A149:A150"/>
    <mergeCell ref="B149:B150"/>
    <mergeCell ref="C149:C150"/>
    <mergeCell ref="AJ149:AJ150"/>
    <mergeCell ref="AK149:AK150"/>
    <mergeCell ref="AL149:AL150"/>
    <mergeCell ref="A151:A152"/>
    <mergeCell ref="B151:B152"/>
    <mergeCell ref="C151:C152"/>
    <mergeCell ref="AJ151:AJ152"/>
    <mergeCell ref="AK151:AK152"/>
    <mergeCell ref="AL151:AL152"/>
    <mergeCell ref="A153:A154"/>
    <mergeCell ref="B153:B154"/>
    <mergeCell ref="C153:C154"/>
    <mergeCell ref="AJ153:AJ154"/>
    <mergeCell ref="AK153:AK154"/>
    <mergeCell ref="AL153:AL154"/>
    <mergeCell ref="A155:A156"/>
    <mergeCell ref="B155:B156"/>
    <mergeCell ref="C155:C156"/>
    <mergeCell ref="AJ155:AJ156"/>
    <mergeCell ref="AK155:AK156"/>
    <mergeCell ref="AL155:AL156"/>
    <mergeCell ref="A157:A158"/>
    <mergeCell ref="B157:B158"/>
    <mergeCell ref="C157:C158"/>
    <mergeCell ref="AJ157:AJ158"/>
    <mergeCell ref="AK157:AK158"/>
    <mergeCell ref="AL157:AL158"/>
    <mergeCell ref="A159:A160"/>
    <mergeCell ref="B159:B160"/>
    <mergeCell ref="C159:C160"/>
    <mergeCell ref="AJ159:AJ160"/>
    <mergeCell ref="AK159:AK160"/>
    <mergeCell ref="AL159:AL160"/>
    <mergeCell ref="A161:A162"/>
    <mergeCell ref="B161:B162"/>
    <mergeCell ref="C161:C162"/>
    <mergeCell ref="AJ161:AJ162"/>
    <mergeCell ref="AK161:AK162"/>
    <mergeCell ref="AL161:AL162"/>
    <mergeCell ref="A163:A164"/>
    <mergeCell ref="B163:B164"/>
    <mergeCell ref="C163:C164"/>
    <mergeCell ref="AJ163:AJ164"/>
    <mergeCell ref="AK163:AK164"/>
    <mergeCell ref="AL163:AL164"/>
    <mergeCell ref="A165:A166"/>
    <mergeCell ref="B165:B166"/>
    <mergeCell ref="C165:C166"/>
    <mergeCell ref="AJ165:AJ166"/>
    <mergeCell ref="AK165:AK166"/>
    <mergeCell ref="AL165:AL166"/>
    <mergeCell ref="A167:A168"/>
    <mergeCell ref="B167:B168"/>
    <mergeCell ref="C167:C168"/>
    <mergeCell ref="AJ167:AJ168"/>
    <mergeCell ref="AK167:AK168"/>
    <mergeCell ref="AL167:AL168"/>
    <mergeCell ref="A169:A170"/>
    <mergeCell ref="B169:B170"/>
    <mergeCell ref="C169:C170"/>
    <mergeCell ref="AJ169:AJ170"/>
    <mergeCell ref="AK169:AK170"/>
    <mergeCell ref="AL169:AL170"/>
    <mergeCell ref="A171:A172"/>
    <mergeCell ref="B171:B172"/>
    <mergeCell ref="C171:C172"/>
    <mergeCell ref="AJ171:AJ172"/>
    <mergeCell ref="AK171:AK172"/>
    <mergeCell ref="AL171:AL172"/>
    <mergeCell ref="A173:A174"/>
    <mergeCell ref="B173:B174"/>
    <mergeCell ref="C173:C174"/>
    <mergeCell ref="AJ173:AJ174"/>
    <mergeCell ref="AK173:AK174"/>
    <mergeCell ref="AL173:AL174"/>
    <mergeCell ref="A175:A176"/>
    <mergeCell ref="B175:B176"/>
    <mergeCell ref="C175:C176"/>
    <mergeCell ref="AJ175:AJ176"/>
    <mergeCell ref="AK175:AK176"/>
    <mergeCell ref="AL175:AL176"/>
    <mergeCell ref="A177:A178"/>
    <mergeCell ref="B177:B178"/>
    <mergeCell ref="C177:C178"/>
    <mergeCell ref="AJ177:AJ178"/>
    <mergeCell ref="AK177:AK178"/>
    <mergeCell ref="AL177:AL178"/>
    <mergeCell ref="A179:A180"/>
    <mergeCell ref="B179:B180"/>
    <mergeCell ref="C179:C180"/>
    <mergeCell ref="AJ179:AJ180"/>
    <mergeCell ref="AK179:AK180"/>
    <mergeCell ref="AL179:AL180"/>
    <mergeCell ref="A181:A182"/>
    <mergeCell ref="B181:B182"/>
    <mergeCell ref="C181:C182"/>
    <mergeCell ref="AJ181:AJ182"/>
    <mergeCell ref="AK181:AK182"/>
    <mergeCell ref="AL181:AL182"/>
    <mergeCell ref="A183:A184"/>
    <mergeCell ref="B183:B184"/>
    <mergeCell ref="C183:C184"/>
    <mergeCell ref="AJ183:AJ184"/>
    <mergeCell ref="AK183:AK184"/>
    <mergeCell ref="AL183:AL184"/>
    <mergeCell ref="A185:A186"/>
    <mergeCell ref="B185:B186"/>
    <mergeCell ref="C185:C186"/>
    <mergeCell ref="AJ185:AJ186"/>
    <mergeCell ref="AK185:AK186"/>
    <mergeCell ref="AL185:AL186"/>
    <mergeCell ref="A187:A188"/>
    <mergeCell ref="B187:B188"/>
    <mergeCell ref="C187:C188"/>
    <mergeCell ref="AJ187:AJ188"/>
    <mergeCell ref="AK187:AK188"/>
    <mergeCell ref="AL187:AL188"/>
    <mergeCell ref="A189:A190"/>
    <mergeCell ref="B189:B190"/>
    <mergeCell ref="C189:C190"/>
    <mergeCell ref="AJ189:AJ190"/>
    <mergeCell ref="AK189:AK190"/>
    <mergeCell ref="AL189:AL190"/>
    <mergeCell ref="A191:A192"/>
    <mergeCell ref="B191:B192"/>
    <mergeCell ref="C191:C192"/>
    <mergeCell ref="AJ191:AJ192"/>
    <mergeCell ref="AK191:AK192"/>
    <mergeCell ref="AL191:AL192"/>
    <mergeCell ref="A193:A194"/>
    <mergeCell ref="B193:B194"/>
    <mergeCell ref="C193:C194"/>
    <mergeCell ref="AJ193:AJ194"/>
    <mergeCell ref="AK193:AK194"/>
    <mergeCell ref="AL193:AL194"/>
    <mergeCell ref="A195:A196"/>
    <mergeCell ref="B195:B196"/>
    <mergeCell ref="C195:C196"/>
    <mergeCell ref="AJ195:AJ196"/>
    <mergeCell ref="AK195:AK196"/>
    <mergeCell ref="AL195:AL196"/>
    <mergeCell ref="A197:A198"/>
    <mergeCell ref="B197:B198"/>
    <mergeCell ref="C197:C198"/>
    <mergeCell ref="AJ197:AJ198"/>
    <mergeCell ref="AK197:AK198"/>
    <mergeCell ref="AL197:AL198"/>
    <mergeCell ref="A199:A200"/>
    <mergeCell ref="B199:B200"/>
    <mergeCell ref="C199:C200"/>
    <mergeCell ref="AJ199:AJ200"/>
    <mergeCell ref="AK199:AK200"/>
    <mergeCell ref="AL199:AL200"/>
    <mergeCell ref="A201:A202"/>
    <mergeCell ref="B201:B202"/>
    <mergeCell ref="C201:C202"/>
    <mergeCell ref="AJ201:AJ202"/>
    <mergeCell ref="AK201:AK202"/>
    <mergeCell ref="AL201:AL202"/>
    <mergeCell ref="A203:A204"/>
    <mergeCell ref="B203:B204"/>
    <mergeCell ref="C203:C204"/>
    <mergeCell ref="AJ203:AJ204"/>
    <mergeCell ref="AK203:AK204"/>
    <mergeCell ref="AL203:AL204"/>
    <mergeCell ref="A205:A206"/>
    <mergeCell ref="B205:B206"/>
    <mergeCell ref="C205:C206"/>
    <mergeCell ref="AJ205:AJ206"/>
    <mergeCell ref="AK205:AK206"/>
    <mergeCell ref="AL205:AL206"/>
    <mergeCell ref="A207:A208"/>
    <mergeCell ref="B207:B208"/>
    <mergeCell ref="C207:C208"/>
    <mergeCell ref="AJ207:AJ208"/>
    <mergeCell ref="AK207:AK208"/>
    <mergeCell ref="AL207:AL208"/>
    <mergeCell ref="A209:A210"/>
    <mergeCell ref="B209:B210"/>
    <mergeCell ref="C209:C210"/>
    <mergeCell ref="AJ209:AJ210"/>
    <mergeCell ref="AK209:AK210"/>
    <mergeCell ref="AL209:AL210"/>
    <mergeCell ref="A211:A212"/>
    <mergeCell ref="B211:B212"/>
    <mergeCell ref="C211:C212"/>
    <mergeCell ref="AJ211:AJ212"/>
    <mergeCell ref="AK211:AK212"/>
    <mergeCell ref="AL211:AL212"/>
    <mergeCell ref="A213:A214"/>
    <mergeCell ref="B213:B214"/>
    <mergeCell ref="C213:C214"/>
    <mergeCell ref="AJ213:AJ214"/>
    <mergeCell ref="AK213:AK214"/>
    <mergeCell ref="AL213:AL214"/>
    <mergeCell ref="A215:A216"/>
    <mergeCell ref="B215:B216"/>
    <mergeCell ref="C215:C216"/>
    <mergeCell ref="AJ215:AJ216"/>
    <mergeCell ref="AK215:AK216"/>
    <mergeCell ref="AL215:AL216"/>
    <mergeCell ref="A217:A218"/>
    <mergeCell ref="B217:B218"/>
    <mergeCell ref="C217:C218"/>
    <mergeCell ref="AJ217:AJ218"/>
    <mergeCell ref="AK217:AK218"/>
    <mergeCell ref="AL217:AL218"/>
    <mergeCell ref="A219:A220"/>
    <mergeCell ref="B219:B220"/>
    <mergeCell ref="C219:C220"/>
    <mergeCell ref="AJ219:AJ220"/>
    <mergeCell ref="AK219:AK220"/>
    <mergeCell ref="AL219:AL220"/>
    <mergeCell ref="A221:A222"/>
    <mergeCell ref="B221:B222"/>
    <mergeCell ref="C221:C222"/>
    <mergeCell ref="AJ221:AJ222"/>
    <mergeCell ref="AK221:AK222"/>
    <mergeCell ref="AL221:AL222"/>
    <mergeCell ref="A223:A224"/>
    <mergeCell ref="B223:B224"/>
    <mergeCell ref="C223:C224"/>
    <mergeCell ref="AJ223:AJ224"/>
    <mergeCell ref="AK223:AK224"/>
    <mergeCell ref="AL223:AL224"/>
    <mergeCell ref="A225:A226"/>
    <mergeCell ref="B225:B226"/>
    <mergeCell ref="C225:C226"/>
    <mergeCell ref="AJ225:AJ226"/>
    <mergeCell ref="AK225:AK226"/>
    <mergeCell ref="AL225:AL226"/>
    <mergeCell ref="A227:A228"/>
    <mergeCell ref="B227:B228"/>
    <mergeCell ref="C227:C228"/>
    <mergeCell ref="AJ227:AJ228"/>
    <mergeCell ref="AK227:AK228"/>
    <mergeCell ref="AL227:AL228"/>
    <mergeCell ref="A229:A230"/>
    <mergeCell ref="B229:B230"/>
    <mergeCell ref="C229:C230"/>
    <mergeCell ref="AJ229:AJ230"/>
    <mergeCell ref="AK229:AK230"/>
    <mergeCell ref="AL229:AL230"/>
    <mergeCell ref="A231:A232"/>
    <mergeCell ref="B231:B232"/>
    <mergeCell ref="C231:C232"/>
    <mergeCell ref="AJ231:AJ232"/>
    <mergeCell ref="AK231:AK232"/>
    <mergeCell ref="AL231:AL232"/>
    <mergeCell ref="A233:A234"/>
    <mergeCell ref="B233:B234"/>
    <mergeCell ref="C233:C234"/>
    <mergeCell ref="AJ233:AJ234"/>
    <mergeCell ref="AK233:AK234"/>
    <mergeCell ref="AL233:AL234"/>
    <mergeCell ref="A235:A236"/>
    <mergeCell ref="B235:B236"/>
    <mergeCell ref="C235:C236"/>
    <mergeCell ref="AJ235:AJ236"/>
    <mergeCell ref="AK235:AK236"/>
    <mergeCell ref="AL235:AL236"/>
    <mergeCell ref="A237:A238"/>
    <mergeCell ref="B237:B238"/>
    <mergeCell ref="C237:C238"/>
    <mergeCell ref="AJ237:AJ238"/>
    <mergeCell ref="AK237:AK238"/>
    <mergeCell ref="AL237:AL238"/>
    <mergeCell ref="A239:A240"/>
    <mergeCell ref="B239:B240"/>
    <mergeCell ref="C239:C240"/>
    <mergeCell ref="AJ239:AJ240"/>
    <mergeCell ref="AK239:AK240"/>
    <mergeCell ref="AL239:AL240"/>
    <mergeCell ref="A241:A242"/>
    <mergeCell ref="B241:B242"/>
    <mergeCell ref="C241:C242"/>
    <mergeCell ref="AJ241:AJ242"/>
    <mergeCell ref="AK241:AK242"/>
    <mergeCell ref="AL241:AL242"/>
    <mergeCell ref="A243:A244"/>
    <mergeCell ref="B243:B244"/>
    <mergeCell ref="C243:C244"/>
    <mergeCell ref="AJ243:AJ244"/>
    <mergeCell ref="AK243:AK244"/>
    <mergeCell ref="AL243:AL244"/>
    <mergeCell ref="A245:A246"/>
    <mergeCell ref="B245:B246"/>
    <mergeCell ref="C245:C246"/>
    <mergeCell ref="AJ245:AJ246"/>
    <mergeCell ref="AK245:AK246"/>
    <mergeCell ref="AL245:AL246"/>
    <mergeCell ref="A247:A248"/>
    <mergeCell ref="B247:B248"/>
    <mergeCell ref="C247:C248"/>
    <mergeCell ref="AJ247:AJ248"/>
    <mergeCell ref="AK247:AK248"/>
    <mergeCell ref="AL247:AL248"/>
    <mergeCell ref="A249:A250"/>
    <mergeCell ref="B249:B250"/>
    <mergeCell ref="C249:C250"/>
    <mergeCell ref="AJ249:AJ250"/>
    <mergeCell ref="AK249:AK250"/>
    <mergeCell ref="AL249:AL250"/>
    <mergeCell ref="A251:A252"/>
    <mergeCell ref="B251:B252"/>
    <mergeCell ref="C251:C252"/>
    <mergeCell ref="AJ251:AJ252"/>
    <mergeCell ref="AK251:AK252"/>
    <mergeCell ref="AL251:AL252"/>
    <mergeCell ref="A253:A254"/>
    <mergeCell ref="B253:B254"/>
    <mergeCell ref="C253:C254"/>
    <mergeCell ref="AJ253:AJ254"/>
    <mergeCell ref="AK253:AK254"/>
    <mergeCell ref="AL253:AL254"/>
    <mergeCell ref="A255:A256"/>
    <mergeCell ref="B255:B256"/>
    <mergeCell ref="C255:C256"/>
    <mergeCell ref="AJ255:AJ256"/>
    <mergeCell ref="AK255:AK256"/>
    <mergeCell ref="AL255:AL256"/>
    <mergeCell ref="A257:A258"/>
    <mergeCell ref="B257:B258"/>
    <mergeCell ref="C257:C258"/>
    <mergeCell ref="AJ257:AJ258"/>
    <mergeCell ref="AK257:AK258"/>
    <mergeCell ref="AL257:AL258"/>
    <mergeCell ref="A259:A260"/>
    <mergeCell ref="B259:B260"/>
    <mergeCell ref="C259:C260"/>
    <mergeCell ref="AJ259:AJ260"/>
    <mergeCell ref="AK259:AK260"/>
    <mergeCell ref="AL259:AL260"/>
    <mergeCell ref="A261:A262"/>
    <mergeCell ref="B261:B262"/>
    <mergeCell ref="C261:C262"/>
    <mergeCell ref="AJ261:AJ262"/>
    <mergeCell ref="AK261:AK262"/>
    <mergeCell ref="AL261:AL262"/>
    <mergeCell ref="A263:A264"/>
    <mergeCell ref="B263:B264"/>
    <mergeCell ref="C263:C264"/>
    <mergeCell ref="AJ263:AJ264"/>
    <mergeCell ref="AK263:AK264"/>
    <mergeCell ref="AL263:AL264"/>
    <mergeCell ref="A265:A266"/>
    <mergeCell ref="B265:B266"/>
    <mergeCell ref="C265:C266"/>
    <mergeCell ref="AJ265:AJ266"/>
    <mergeCell ref="AK265:AK266"/>
    <mergeCell ref="AL265:AL266"/>
    <mergeCell ref="A267:A268"/>
    <mergeCell ref="B267:B268"/>
    <mergeCell ref="C267:C268"/>
    <mergeCell ref="AJ267:AJ268"/>
    <mergeCell ref="AK267:AK268"/>
    <mergeCell ref="AL267:AL268"/>
    <mergeCell ref="A269:A270"/>
    <mergeCell ref="B269:B270"/>
    <mergeCell ref="C269:C270"/>
    <mergeCell ref="AJ269:AJ270"/>
    <mergeCell ref="AK269:AK270"/>
    <mergeCell ref="AL269:AL270"/>
    <mergeCell ref="A271:A272"/>
    <mergeCell ref="B271:B272"/>
    <mergeCell ref="C271:C272"/>
    <mergeCell ref="AJ271:AJ272"/>
    <mergeCell ref="AK271:AK272"/>
    <mergeCell ref="AL271:AL272"/>
    <mergeCell ref="A273:A274"/>
    <mergeCell ref="B273:B274"/>
    <mergeCell ref="C273:C274"/>
    <mergeCell ref="AJ273:AJ274"/>
    <mergeCell ref="AK273:AK274"/>
    <mergeCell ref="AL273:AL274"/>
    <mergeCell ref="A275:A276"/>
    <mergeCell ref="B275:B276"/>
    <mergeCell ref="C275:C276"/>
    <mergeCell ref="AJ275:AJ276"/>
    <mergeCell ref="AK275:AK276"/>
    <mergeCell ref="AL275:AL276"/>
    <mergeCell ref="A277:A278"/>
    <mergeCell ref="B277:B278"/>
    <mergeCell ref="C277:C278"/>
    <mergeCell ref="AJ277:AJ278"/>
    <mergeCell ref="AK277:AK278"/>
    <mergeCell ref="AL277:AL278"/>
    <mergeCell ref="A279:A280"/>
    <mergeCell ref="B279:B280"/>
    <mergeCell ref="C279:C280"/>
    <mergeCell ref="AJ279:AJ280"/>
    <mergeCell ref="AK279:AK280"/>
    <mergeCell ref="AL279:AL280"/>
    <mergeCell ref="A281:A282"/>
    <mergeCell ref="B281:B282"/>
    <mergeCell ref="C281:C282"/>
    <mergeCell ref="AJ281:AJ282"/>
    <mergeCell ref="AK281:AK282"/>
    <mergeCell ref="AL281:AL282"/>
    <mergeCell ref="A283:A284"/>
    <mergeCell ref="B283:B284"/>
    <mergeCell ref="C283:C284"/>
    <mergeCell ref="AJ283:AJ284"/>
    <mergeCell ref="AK283:AK284"/>
    <mergeCell ref="AL283:AL284"/>
    <mergeCell ref="A285:A286"/>
    <mergeCell ref="B285:B286"/>
    <mergeCell ref="C285:C286"/>
    <mergeCell ref="AJ285:AJ286"/>
    <mergeCell ref="AK285:AK286"/>
    <mergeCell ref="AL285:AL286"/>
    <mergeCell ref="A287:A288"/>
    <mergeCell ref="B287:B288"/>
    <mergeCell ref="C287:C288"/>
    <mergeCell ref="AJ287:AJ288"/>
    <mergeCell ref="AK287:AK288"/>
    <mergeCell ref="AL287:AL288"/>
    <mergeCell ref="A289:A290"/>
    <mergeCell ref="B289:B290"/>
    <mergeCell ref="C289:C290"/>
    <mergeCell ref="AJ289:AJ290"/>
    <mergeCell ref="AK289:AK290"/>
    <mergeCell ref="AL289:AL290"/>
    <mergeCell ref="A291:A292"/>
    <mergeCell ref="B291:B292"/>
    <mergeCell ref="C291:C292"/>
    <mergeCell ref="AJ291:AJ292"/>
    <mergeCell ref="AK291:AK292"/>
    <mergeCell ref="AL291:AL292"/>
    <mergeCell ref="A293:A294"/>
    <mergeCell ref="B293:B294"/>
    <mergeCell ref="C293:C294"/>
    <mergeCell ref="AJ293:AJ294"/>
    <mergeCell ref="AK293:AK294"/>
    <mergeCell ref="AL293:AL294"/>
    <mergeCell ref="A295:A296"/>
    <mergeCell ref="B295:B296"/>
    <mergeCell ref="C295:C296"/>
    <mergeCell ref="AJ295:AJ296"/>
    <mergeCell ref="AK295:AK296"/>
    <mergeCell ref="AL295:AL296"/>
    <mergeCell ref="A297:A298"/>
    <mergeCell ref="B297:B298"/>
    <mergeCell ref="C297:C298"/>
    <mergeCell ref="AJ297:AJ298"/>
    <mergeCell ref="AK297:AK298"/>
    <mergeCell ref="AL297:AL298"/>
    <mergeCell ref="A299:A300"/>
    <mergeCell ref="B299:B300"/>
    <mergeCell ref="C299:C300"/>
    <mergeCell ref="AJ299:AJ300"/>
    <mergeCell ref="AK299:AK300"/>
    <mergeCell ref="AL299:AL300"/>
    <mergeCell ref="A301:A302"/>
    <mergeCell ref="B301:B302"/>
    <mergeCell ref="C301:C302"/>
    <mergeCell ref="AJ301:AJ302"/>
    <mergeCell ref="AK301:AK302"/>
    <mergeCell ref="AL301:AL302"/>
    <mergeCell ref="A303:A304"/>
    <mergeCell ref="B303:B304"/>
    <mergeCell ref="C303:C304"/>
    <mergeCell ref="AJ303:AJ304"/>
    <mergeCell ref="AK303:AK304"/>
    <mergeCell ref="AL303:AL304"/>
    <mergeCell ref="A305:M306"/>
    <mergeCell ref="N305:AL306"/>
  </mergeCells>
  <printOptions horizontalCentered="1"/>
  <pageMargins left="0.31496062992125984" right="0.2362204724409449" top="0.3937007874015748" bottom="0.07874015748031496" header="0.31496062992125984" footer="0.15748031496062992"/>
  <pageSetup paperSize="9" orientation="landscape" horizontalDpi="4294967295" verticalDpi="4294967295" scale="54" fitToWidth="1" fitToHeight="2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workbookViewId="0" zoomScale="100" zoomScaleNormal="100">
      <selection activeCell="H15" sqref="H15"/>
    </sheetView>
  </sheetViews>
  <sheetFormatPr defaultRowHeight="13" outlineLevelRow="0" outlineLevelCol="0" x14ac:dyDescent="0" defaultColWidth="8.83203125" customHeight="1"/>
  <cols>
    <col min="1" max="1" width="14.33203125" customWidth="1"/>
    <col min="2" max="2" width="10.33203125" customWidth="1"/>
    <col min="3" max="3" width="42.33203125" customWidth="1"/>
    <col min="4" max="4" width="23.5" customWidth="1"/>
  </cols>
  <sheetData>
    <row r="1" ht="16" customHeight="1" spans="1:19" x14ac:dyDescent="0.25">
      <c r="A1" s="49" t="s">
        <v>0</v>
      </c>
      <c r="B1" s="50"/>
      <c r="C1" s="51"/>
      <c r="D1" s="52" t="s">
        <v>375</v>
      </c>
      <c r="E1" s="53"/>
      <c r="F1" s="53"/>
      <c r="G1" s="53"/>
      <c r="H1" s="54">
        <v>0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ht="16" customHeight="1" spans="1:19" x14ac:dyDescent="0.25">
      <c r="A2" s="55" t="s">
        <v>376</v>
      </c>
      <c r="B2" s="56"/>
      <c r="C2" s="57" t="s">
        <v>377</v>
      </c>
      <c r="D2" s="57"/>
      <c r="E2" s="58"/>
      <c r="F2" s="58"/>
      <c r="G2" s="58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</row>
    <row r="3" ht="14" customHeight="1" spans="1:4" x14ac:dyDescent="0.25">
      <c r="A3" s="60"/>
      <c r="B3" s="60"/>
      <c r="C3" s="60"/>
      <c r="D3" s="60"/>
    </row>
    <row r="4" ht="29" customHeight="1" spans="1:4" x14ac:dyDescent="0.25">
      <c r="A4" s="61" t="s">
        <v>378</v>
      </c>
      <c r="B4" s="61" t="s">
        <v>379</v>
      </c>
      <c r="C4" s="61" t="s">
        <v>380</v>
      </c>
      <c r="D4" s="62" t="s">
        <v>381</v>
      </c>
    </row>
    <row r="5" ht="18.75" customHeight="1" spans="1:4" x14ac:dyDescent="0.25">
      <c r="A5" s="63" t="s">
        <v>382</v>
      </c>
      <c r="B5" s="64">
        <v>40265</v>
      </c>
      <c r="C5" s="65" t="s">
        <v>383</v>
      </c>
      <c r="D5" s="66" t="s">
        <v>384</v>
      </c>
    </row>
    <row r="6" ht="18.75" customHeight="1" spans="1:4" x14ac:dyDescent="0.25">
      <c r="A6" s="67" t="s">
        <v>385</v>
      </c>
      <c r="B6" s="68">
        <v>40638</v>
      </c>
      <c r="C6" s="69" t="s">
        <v>386</v>
      </c>
      <c r="D6" s="70" t="s">
        <v>387</v>
      </c>
    </row>
    <row r="7" ht="18.75" customHeight="1" spans="1:4" x14ac:dyDescent="0.25">
      <c r="A7" s="71" t="s">
        <v>388</v>
      </c>
      <c r="B7" s="72">
        <v>40738</v>
      </c>
      <c r="C7" s="73" t="s">
        <v>389</v>
      </c>
      <c r="D7" s="73" t="s">
        <v>387</v>
      </c>
    </row>
    <row r="8" ht="18.75" customHeight="1" spans="1:4" x14ac:dyDescent="0.25">
      <c r="A8" s="74" t="s">
        <v>390</v>
      </c>
      <c r="B8" s="64">
        <v>41310</v>
      </c>
      <c r="C8" s="65" t="s">
        <v>391</v>
      </c>
      <c r="D8" s="66" t="s">
        <v>392</v>
      </c>
    </row>
    <row r="9" ht="18.75" customHeight="1" spans="1:4" x14ac:dyDescent="0.25">
      <c r="A9" s="67" t="s">
        <v>393</v>
      </c>
      <c r="B9" s="68">
        <v>43169</v>
      </c>
      <c r="C9" s="69" t="s">
        <v>394</v>
      </c>
      <c r="D9" s="70" t="s">
        <v>395</v>
      </c>
    </row>
    <row r="10" ht="18.75" customHeight="1" spans="1:4" x14ac:dyDescent="0.25">
      <c r="A10" s="71" t="s">
        <v>396</v>
      </c>
      <c r="B10" s="72">
        <v>45068</v>
      </c>
      <c r="C10" s="73" t="s">
        <v>397</v>
      </c>
      <c r="D10" s="70" t="s">
        <v>395</v>
      </c>
    </row>
    <row r="11" ht="18.75" customHeight="1" spans="1:4" x14ac:dyDescent="0.25">
      <c r="A11" s="63" t="s">
        <v>398</v>
      </c>
      <c r="B11" s="64">
        <v>45506</v>
      </c>
      <c r="C11" s="65" t="s">
        <v>399</v>
      </c>
      <c r="D11" s="70" t="s">
        <v>395</v>
      </c>
    </row>
    <row r="12" ht="18.75" customHeight="1" spans="1:4" x14ac:dyDescent="0.25">
      <c r="A12" s="75"/>
      <c r="B12" s="73"/>
      <c r="C12" s="73"/>
      <c r="D12" s="76"/>
    </row>
    <row r="13" ht="18.75" customHeight="1" spans="1:4" x14ac:dyDescent="0.25">
      <c r="A13" s="77"/>
      <c r="B13" s="65"/>
      <c r="C13" s="65"/>
      <c r="D13" s="66"/>
    </row>
    <row r="14" ht="18.75" customHeight="1" spans="1:4" x14ac:dyDescent="0.25">
      <c r="A14" s="75"/>
      <c r="B14" s="73"/>
      <c r="C14" s="73"/>
      <c r="D14" s="76"/>
    </row>
    <row r="15" ht="18.75" customHeight="1" spans="1:4" x14ac:dyDescent="0.25">
      <c r="A15" s="78"/>
      <c r="B15" s="79"/>
      <c r="C15" s="79"/>
      <c r="D15" s="80"/>
    </row>
    <row r="16" ht="18.75" customHeight="1" spans="1:4" x14ac:dyDescent="0.25">
      <c r="A16" s="78"/>
      <c r="B16" s="79"/>
      <c r="C16" s="79"/>
      <c r="D16" s="80"/>
    </row>
    <row r="17" ht="18.75" customHeight="1" spans="1:4" x14ac:dyDescent="0.25">
      <c r="A17" s="78"/>
      <c r="B17" s="79"/>
      <c r="C17" s="79"/>
      <c r="D17" s="80"/>
    </row>
    <row r="18" ht="18.75" customHeight="1" spans="1:4" x14ac:dyDescent="0.25">
      <c r="A18" s="78"/>
      <c r="B18" s="79"/>
      <c r="C18" s="79"/>
      <c r="D18" s="80"/>
    </row>
    <row r="19" ht="18.75" customHeight="1" spans="1:4" x14ac:dyDescent="0.25">
      <c r="A19" s="78"/>
      <c r="B19" s="79"/>
      <c r="C19" s="79"/>
      <c r="D19" s="80"/>
    </row>
    <row r="25" spans="1:4" x14ac:dyDescent="0.25">
      <c r="A25" s="81" t="s">
        <v>400</v>
      </c>
      <c r="B25" s="81"/>
      <c r="C25" s="7" t="s">
        <v>401</v>
      </c>
      <c r="D25" s="7"/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81" t="s">
        <v>402</v>
      </c>
      <c r="B28" s="7" t="s">
        <v>403</v>
      </c>
      <c r="C28" s="7"/>
      <c r="D28" s="7"/>
    </row>
    <row r="29" spans="1:4" x14ac:dyDescent="0.25">
      <c r="A29" s="2"/>
      <c r="B29" s="2"/>
      <c r="C29" s="2"/>
      <c r="D29" s="2"/>
    </row>
    <row r="30" spans="1:4" x14ac:dyDescent="0.25">
      <c r="A30" s="2"/>
      <c r="B30" s="2"/>
      <c r="C30" s="2"/>
      <c r="D30" s="2"/>
    </row>
    <row r="31" spans="1:4" x14ac:dyDescent="0.25">
      <c r="A31" s="81" t="s">
        <v>404</v>
      </c>
      <c r="B31" s="7"/>
      <c r="C31" s="7"/>
      <c r="D31" s="7"/>
    </row>
    <row r="32" spans="1:4" x14ac:dyDescent="0.25">
      <c r="A32" s="2"/>
      <c r="B32" s="2"/>
      <c r="C32" s="2"/>
      <c r="D32" s="2"/>
    </row>
    <row r="33" spans="1:4" x14ac:dyDescent="0.25">
      <c r="A33" s="2"/>
      <c r="B33" s="2"/>
      <c r="C33" s="2"/>
      <c r="D33" s="2"/>
    </row>
    <row r="34" spans="1:4" x14ac:dyDescent="0.25">
      <c r="A34" s="81" t="s">
        <v>405</v>
      </c>
      <c r="B34" s="7"/>
      <c r="C34" s="7"/>
      <c r="D34" s="7"/>
    </row>
  </sheetData>
  <mergeCells count="3">
    <mergeCell ref="H1:S1"/>
    <mergeCell ref="C2:D2"/>
    <mergeCell ref="H2:S2"/>
  </mergeCells>
  <pageMargins left="0.7" right="0.18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AYLIK</vt:lpstr>
      <vt:lpstr>KAPAK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İlkay Erginoz</dc:creator>
  <cp:lastModifiedBy>Hüseyin Özgül</cp:lastModifiedBy>
  <cp:lastPrinted>2023-05-05T06:53:05Z</cp:lastPrinted>
  <dcterms:created xsi:type="dcterms:W3CDTF">1998-04-27T07:32:34Z</dcterms:created>
  <dcterms:modified xsi:type="dcterms:W3CDTF">2024-08-14T10:11:50Z</dcterms:modified>
</cp:coreProperties>
</file>