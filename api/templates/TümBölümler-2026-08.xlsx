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0720" windowHeight="17700"/>
  </bookViews>
  <sheets>
    <sheet sheetId="1" name="AYLIK" state="visible" r:id="rId4"/>
    <sheet sheetId="2" name="KAPAK" state="visible" r:id="rId5"/>
  </sheets>
  <definedNames>
    <definedName name="_xlnm._FilterDatabase">AYLIK!$A$7:$AL$8</definedName>
    <definedName name="_xlnm.Print_Area" localSheetId="0">'AYLIK'!$A1:$AL8</definedName>
    <definedName name="_xlnm.Print_Titles" localSheetId="0">'AYLIK'!$1:$8</definedName>
  </definedNames>
  <calcPr calcId="171027"/>
</workbook>
</file>

<file path=xl/sharedStrings.xml><?xml version="1.0" encoding="utf-8"?>
<sst xmlns="http://schemas.openxmlformats.org/spreadsheetml/2006/main" count="28533" uniqueCount="1875">
  <si>
    <t>Aylık Puantaj Çizelgesi</t>
  </si>
  <si>
    <t>Doküman No: FR/HR/009</t>
  </si>
  <si>
    <t xml:space="preserve">Aylık Puantaj Çizelgesi </t>
  </si>
  <si>
    <t xml:space="preserve"> </t>
  </si>
  <si>
    <t>BÖLÜM ADI: TümBölümler</t>
  </si>
  <si>
    <t>PUANTAJ AYI/YILI: AĞUSTOS 2026</t>
  </si>
  <si>
    <t>SIRA NO</t>
  </si>
  <si>
    <t xml:space="preserve">Sicil No            </t>
  </si>
  <si>
    <t xml:space="preserve">Adı - Soyadı              </t>
  </si>
  <si>
    <t>Çalışma</t>
  </si>
  <si>
    <t>GÜNLER</t>
  </si>
  <si>
    <t xml:space="preserve">Fazla Mesai Saati Toplamı </t>
  </si>
  <si>
    <t>Toplam Gün</t>
  </si>
  <si>
    <t>Personel İmza</t>
  </si>
  <si>
    <t>Normal</t>
  </si>
  <si>
    <t>Hafta Tatili</t>
  </si>
  <si>
    <t>resmi Tatil</t>
  </si>
  <si>
    <t>Resmi Tatil Çalışması</t>
  </si>
  <si>
    <t>Çalışılan Hafta Tatili</t>
  </si>
  <si>
    <t>Ücretli İzin</t>
  </si>
  <si>
    <t>Yıllık İzin</t>
  </si>
  <si>
    <t>Raporlu</t>
  </si>
  <si>
    <t>Ücretsiz İzin</t>
  </si>
  <si>
    <t>Ücretsiz  Raporlu</t>
  </si>
  <si>
    <t>Devamsızlık</t>
  </si>
  <si>
    <t>Toplam</t>
  </si>
  <si>
    <t>ANA MUTFAK</t>
  </si>
  <si>
    <t>486463</t>
  </si>
  <si>
    <t>Abdil Hoplar</t>
  </si>
  <si>
    <t>N.M</t>
  </si>
  <si>
    <t>C</t>
  </si>
  <si>
    <t>R.</t>
  </si>
  <si>
    <t>R</t>
  </si>
  <si>
    <t>F.M</t>
  </si>
  <si>
    <t>488001</t>
  </si>
  <si>
    <t>Abdullatif Gültekin</t>
  </si>
  <si>
    <t>A</t>
  </si>
  <si>
    <t>O</t>
  </si>
  <si>
    <t>DV</t>
  </si>
  <si>
    <t>488011</t>
  </si>
  <si>
    <t>Adil Öztürk</t>
  </si>
  <si>
    <t>D</t>
  </si>
  <si>
    <t>M</t>
  </si>
  <si>
    <t>ÇRT</t>
  </si>
  <si>
    <t>487833</t>
  </si>
  <si>
    <t>Afra Nur Şenkul</t>
  </si>
  <si>
    <t>F</t>
  </si>
  <si>
    <t>486737</t>
  </si>
  <si>
    <t>Alaattin Özen</t>
  </si>
  <si>
    <t>485411</t>
  </si>
  <si>
    <t>Alev Biçer</t>
  </si>
  <si>
    <t>487236</t>
  </si>
  <si>
    <t>Ali Ak</t>
  </si>
  <si>
    <t>483857</t>
  </si>
  <si>
    <t>Ali Danışkan</t>
  </si>
  <si>
    <t>484457</t>
  </si>
  <si>
    <t>Ali Kılıç</t>
  </si>
  <si>
    <t>485746</t>
  </si>
  <si>
    <t>Alicem Biçer</t>
  </si>
  <si>
    <t>B</t>
  </si>
  <si>
    <t>486035</t>
  </si>
  <si>
    <t>Ayşen Akçakaya</t>
  </si>
  <si>
    <t>487827</t>
  </si>
  <si>
    <t>Ayşen Selek</t>
  </si>
  <si>
    <t>487647</t>
  </si>
  <si>
    <t>Bayram Ay</t>
  </si>
  <si>
    <t>487666</t>
  </si>
  <si>
    <t>Belgin Kaplan</t>
  </si>
  <si>
    <t>487993</t>
  </si>
  <si>
    <t>Berfin Naz Temel</t>
  </si>
  <si>
    <t>488007</t>
  </si>
  <si>
    <t>Beyza Biter</t>
  </si>
  <si>
    <t>487237</t>
  </si>
  <si>
    <t>Bora Şengül</t>
  </si>
  <si>
    <t>485923</t>
  </si>
  <si>
    <t>Buğra Çark</t>
  </si>
  <si>
    <t>487606</t>
  </si>
  <si>
    <t>Bülent Seven</t>
  </si>
  <si>
    <t>485682</t>
  </si>
  <si>
    <t>Büşra Cebeci</t>
  </si>
  <si>
    <t>487213</t>
  </si>
  <si>
    <t>Caner Açar</t>
  </si>
  <si>
    <t>487245</t>
  </si>
  <si>
    <t>Caner Sarı</t>
  </si>
  <si>
    <t>487726</t>
  </si>
  <si>
    <t>Canpolat Karaman</t>
  </si>
  <si>
    <t>487830</t>
  </si>
  <si>
    <t>Ceren Arslan</t>
  </si>
  <si>
    <t>487904</t>
  </si>
  <si>
    <t>Ceylin Özbağ</t>
  </si>
  <si>
    <t>486548</t>
  </si>
  <si>
    <t>Cüneyt Avcı</t>
  </si>
  <si>
    <t>487222</t>
  </si>
  <si>
    <t>Dede Firmasyah</t>
  </si>
  <si>
    <t>487203</t>
  </si>
  <si>
    <t>Deniz Demir</t>
  </si>
  <si>
    <t>486487</t>
  </si>
  <si>
    <t>Deniz Tümkaya</t>
  </si>
  <si>
    <t>Y</t>
  </si>
  <si>
    <t>487681</t>
  </si>
  <si>
    <t>Dilfuza Ibragımova</t>
  </si>
  <si>
    <t>487571</t>
  </si>
  <si>
    <t>Dudu Kayış</t>
  </si>
  <si>
    <t>487758</t>
  </si>
  <si>
    <t>Duhan Samet Karakoç</t>
  </si>
  <si>
    <t>487209</t>
  </si>
  <si>
    <t>Durmuş Ali Orhan</t>
  </si>
  <si>
    <t>487829</t>
  </si>
  <si>
    <t>Ebru Aslantekin</t>
  </si>
  <si>
    <t>485930</t>
  </si>
  <si>
    <t>Ebru Kocabaş</t>
  </si>
  <si>
    <t>487749</t>
  </si>
  <si>
    <t>Elif Aydın</t>
  </si>
  <si>
    <t>487926</t>
  </si>
  <si>
    <t>Elif Reyhani</t>
  </si>
  <si>
    <t>488048</t>
  </si>
  <si>
    <t>Elvan Ayhan</t>
  </si>
  <si>
    <t>487649</t>
  </si>
  <si>
    <t>Emine Demir</t>
  </si>
  <si>
    <t>487641</t>
  </si>
  <si>
    <t>Emirhan Çetinkaya</t>
  </si>
  <si>
    <t>487957</t>
  </si>
  <si>
    <t>Emirhan Çoban</t>
  </si>
  <si>
    <t>488012</t>
  </si>
  <si>
    <t>Emre Uğur</t>
  </si>
  <si>
    <t>0002710</t>
  </si>
  <si>
    <t>Engin Aydın</t>
  </si>
  <si>
    <t>485125</t>
  </si>
  <si>
    <t>Erhan Kaya</t>
  </si>
  <si>
    <t>487206</t>
  </si>
  <si>
    <t>Esen Gerçek</t>
  </si>
  <si>
    <t>487650</t>
  </si>
  <si>
    <t>Esra Karaca</t>
  </si>
  <si>
    <t>487639</t>
  </si>
  <si>
    <t>Eyüp Altun</t>
  </si>
  <si>
    <t>487340</t>
  </si>
  <si>
    <t>Ezgi Kaya</t>
  </si>
  <si>
    <t>487903</t>
  </si>
  <si>
    <t>Fatih Gülenç</t>
  </si>
  <si>
    <t>487645</t>
  </si>
  <si>
    <t>Fatih Keskin</t>
  </si>
  <si>
    <t>0002078</t>
  </si>
  <si>
    <t>Fatih Turbalıoğlu</t>
  </si>
  <si>
    <t>0000624</t>
  </si>
  <si>
    <t>Fatma Rahşan Anlı</t>
  </si>
  <si>
    <t>487070</t>
  </si>
  <si>
    <t>Feriştah Yavuz</t>
  </si>
  <si>
    <t>0001248</t>
  </si>
  <si>
    <t>Gülden Orhan</t>
  </si>
  <si>
    <t>483106</t>
  </si>
  <si>
    <t>Gülfiye Daşdemir</t>
  </si>
  <si>
    <t>487659</t>
  </si>
  <si>
    <t>Gülsüm Kılınç</t>
  </si>
  <si>
    <t>Ü</t>
  </si>
  <si>
    <t>RT</t>
  </si>
  <si>
    <t>0001147</t>
  </si>
  <si>
    <t>Günay Yiğit</t>
  </si>
  <si>
    <t>483851</t>
  </si>
  <si>
    <t>Gürhan Demir</t>
  </si>
  <si>
    <t>0001573</t>
  </si>
  <si>
    <t>Güven Tozkar</t>
  </si>
  <si>
    <t>487631</t>
  </si>
  <si>
    <t>Güven Yıldız</t>
  </si>
  <si>
    <t>485684</t>
  </si>
  <si>
    <t>Hacer Kurt</t>
  </si>
  <si>
    <t>487646</t>
  </si>
  <si>
    <t>Haci Katlav</t>
  </si>
  <si>
    <t>487668</t>
  </si>
  <si>
    <t>Hale Üzüm</t>
  </si>
  <si>
    <t>487343</t>
  </si>
  <si>
    <t>Halil Emre Demiray</t>
  </si>
  <si>
    <t>487813</t>
  </si>
  <si>
    <t>Hamza Mert Ersoy</t>
  </si>
  <si>
    <t/>
  </si>
  <si>
    <t>0002547</t>
  </si>
  <si>
    <t>Hasan Kıroğlan</t>
  </si>
  <si>
    <t>486456</t>
  </si>
  <si>
    <t>Hikmet Korkmaz</t>
  </si>
  <si>
    <t>487242</t>
  </si>
  <si>
    <t>Hilalnur Şimşekgil</t>
  </si>
  <si>
    <t>487156</t>
  </si>
  <si>
    <t>Hüseyin Önder</t>
  </si>
  <si>
    <t>0001059</t>
  </si>
  <si>
    <t>İbrahim Aslan</t>
  </si>
  <si>
    <t>483640</t>
  </si>
  <si>
    <t>İlyas Altın</t>
  </si>
  <si>
    <t>0000576</t>
  </si>
  <si>
    <t>İrfan Demir</t>
  </si>
  <si>
    <t>487234</t>
  </si>
  <si>
    <t>İsmail Yıldırım</t>
  </si>
  <si>
    <t>0001315</t>
  </si>
  <si>
    <t>Kadir Bulut</t>
  </si>
  <si>
    <t>487495</t>
  </si>
  <si>
    <t>Kadir Karaboğa</t>
  </si>
  <si>
    <t>484290</t>
  </si>
  <si>
    <t>Kahraman Arslantaş</t>
  </si>
  <si>
    <t>487404</t>
  </si>
  <si>
    <t>Kamala Zarif</t>
  </si>
  <si>
    <t>485851</t>
  </si>
  <si>
    <t>Mehmet Ali Çoban</t>
  </si>
  <si>
    <t>486323</t>
  </si>
  <si>
    <t>Mehmet Çelen</t>
  </si>
  <si>
    <t>487339</t>
  </si>
  <si>
    <t>Mehmet Kaya</t>
  </si>
  <si>
    <t>0002281</t>
  </si>
  <si>
    <t>Mehmet Yıldız</t>
  </si>
  <si>
    <t>486087</t>
  </si>
  <si>
    <t>Melih Arda Okul</t>
  </si>
  <si>
    <t>487660</t>
  </si>
  <si>
    <t>Melike Nur Toraman</t>
  </si>
  <si>
    <t>487149</t>
  </si>
  <si>
    <t>Mert Mevlüt Doğan</t>
  </si>
  <si>
    <t>487625</t>
  </si>
  <si>
    <t>Mert Müküs</t>
  </si>
  <si>
    <t>487629</t>
  </si>
  <si>
    <t>Mert Türk</t>
  </si>
  <si>
    <t>487970</t>
  </si>
  <si>
    <t>Metin Tilki</t>
  </si>
  <si>
    <t>487857</t>
  </si>
  <si>
    <t>Miray Paye Önal</t>
  </si>
  <si>
    <t>487669</t>
  </si>
  <si>
    <t>Muhammed Ali Sarıbaş</t>
  </si>
  <si>
    <t>ÇHT</t>
  </si>
  <si>
    <t>487644</t>
  </si>
  <si>
    <t>Musa Demir</t>
  </si>
  <si>
    <t>487754</t>
  </si>
  <si>
    <t>Mustafa Bozboğa</t>
  </si>
  <si>
    <t>487744</t>
  </si>
  <si>
    <t>Mustafa Bozyel</t>
  </si>
  <si>
    <t>486259</t>
  </si>
  <si>
    <t>Mustafa Efe Deniz</t>
  </si>
  <si>
    <t>487627</t>
  </si>
  <si>
    <t>Mustafa Eşmeli</t>
  </si>
  <si>
    <t>487814</t>
  </si>
  <si>
    <t>Mustafa Karaağaç</t>
  </si>
  <si>
    <t>487210</t>
  </si>
  <si>
    <t>Mustafa Keleş</t>
  </si>
  <si>
    <t>486955</t>
  </si>
  <si>
    <t>Mustafa Tokta</t>
  </si>
  <si>
    <t>486575</t>
  </si>
  <si>
    <t>Nafriansyah Nafriansyah</t>
  </si>
  <si>
    <t>487981</t>
  </si>
  <si>
    <t>Necmiye Göret</t>
  </si>
  <si>
    <t>487233</t>
  </si>
  <si>
    <t>Neslihan Uygun</t>
  </si>
  <si>
    <t>487626</t>
  </si>
  <si>
    <t>Nurhat Bal</t>
  </si>
  <si>
    <t>487249</t>
  </si>
  <si>
    <t>Olcay Kayış</t>
  </si>
  <si>
    <t>484266</t>
  </si>
  <si>
    <t>Ömer Faruk Çelik</t>
  </si>
  <si>
    <t>0002261</t>
  </si>
  <si>
    <t>Ömer Okur</t>
  </si>
  <si>
    <t>484351</t>
  </si>
  <si>
    <t>Onur Keskin</t>
  </si>
  <si>
    <t>484797</t>
  </si>
  <si>
    <t>Osman Yetik</t>
  </si>
  <si>
    <t>487818</t>
  </si>
  <si>
    <t>Özen Yavuz</t>
  </si>
  <si>
    <t>487722</t>
  </si>
  <si>
    <t>Özge Tümkaya</t>
  </si>
  <si>
    <t>487831</t>
  </si>
  <si>
    <t>Özgün Ata Akkoç</t>
  </si>
  <si>
    <t>0001655</t>
  </si>
  <si>
    <t>Özgür Tekin</t>
  </si>
  <si>
    <t>483462</t>
  </si>
  <si>
    <t>Özkan Okur</t>
  </si>
  <si>
    <t>487741</t>
  </si>
  <si>
    <t>Rabia Akkuş</t>
  </si>
  <si>
    <t>487637</t>
  </si>
  <si>
    <t>Ramazan Cin</t>
  </si>
  <si>
    <t>487603</t>
  </si>
  <si>
    <t>Ramazan Dikmen</t>
  </si>
  <si>
    <t>487204</t>
  </si>
  <si>
    <t>Ramazan Kayış</t>
  </si>
  <si>
    <t>487628</t>
  </si>
  <si>
    <t>Rasim Tümkaya</t>
  </si>
  <si>
    <t>487832</t>
  </si>
  <si>
    <t>Samet Halil Ünlü</t>
  </si>
  <si>
    <t>487935</t>
  </si>
  <si>
    <t>Seda Döner</t>
  </si>
  <si>
    <t>487240</t>
  </si>
  <si>
    <t>Seher Ünlü</t>
  </si>
  <si>
    <t>486630</t>
  </si>
  <si>
    <t>Şengül Özcan</t>
  </si>
  <si>
    <t>486571</t>
  </si>
  <si>
    <t>Sevilay Türkmen</t>
  </si>
  <si>
    <t>485232</t>
  </si>
  <si>
    <t>Sibel Kambur</t>
  </si>
  <si>
    <t>486337</t>
  </si>
  <si>
    <t>Şilan Şengül</t>
  </si>
  <si>
    <t>487828</t>
  </si>
  <si>
    <t>Simay Nur Zehir</t>
  </si>
  <si>
    <t>487214</t>
  </si>
  <si>
    <t>Songül Tosun</t>
  </si>
  <si>
    <t>487851</t>
  </si>
  <si>
    <t>Sudenaz Usta</t>
  </si>
  <si>
    <t>487231</t>
  </si>
  <si>
    <t>Süleyman Eray Bağcı</t>
  </si>
  <si>
    <t>AB</t>
  </si>
  <si>
    <t>487774</t>
  </si>
  <si>
    <t>Talha Keleş</t>
  </si>
  <si>
    <t>487333</t>
  </si>
  <si>
    <t>Tarık Delen</t>
  </si>
  <si>
    <t>487991</t>
  </si>
  <si>
    <t>Tayfun Tümkaya</t>
  </si>
  <si>
    <t>488009</t>
  </si>
  <si>
    <t>Tuğba Aydın</t>
  </si>
  <si>
    <t>487638</t>
  </si>
  <si>
    <t>Tuğba Bulut</t>
  </si>
  <si>
    <t>487640</t>
  </si>
  <si>
    <t>Tuğçe Zan</t>
  </si>
  <si>
    <t>488034</t>
  </si>
  <si>
    <t>Ümmühan Şeşen</t>
  </si>
  <si>
    <t>487381</t>
  </si>
  <si>
    <t>Umut Barut</t>
  </si>
  <si>
    <t>485237</t>
  </si>
  <si>
    <t>Vechi Karaman</t>
  </si>
  <si>
    <t>486723</t>
  </si>
  <si>
    <t>Vishal Singh Payal</t>
  </si>
  <si>
    <t>487922</t>
  </si>
  <si>
    <t>Yeşim Kara</t>
  </si>
  <si>
    <t>487612</t>
  </si>
  <si>
    <t>Yusuf Arıkan</t>
  </si>
  <si>
    <t>486535</t>
  </si>
  <si>
    <t>Zayide Seçer</t>
  </si>
  <si>
    <t>487671</t>
  </si>
  <si>
    <t>Zekeriya Avcı</t>
  </si>
  <si>
    <t>484616</t>
  </si>
  <si>
    <t>Zekeriya Bolat</t>
  </si>
  <si>
    <t>487834</t>
  </si>
  <si>
    <t>Zeynep Atabey</t>
  </si>
  <si>
    <t>488008</t>
  </si>
  <si>
    <t>Zeynep İnce</t>
  </si>
  <si>
    <t>ANİMASYON</t>
  </si>
  <si>
    <t>484552</t>
  </si>
  <si>
    <t>Alihan Mülayim</t>
  </si>
  <si>
    <t>Ö</t>
  </si>
  <si>
    <t>487912</t>
  </si>
  <si>
    <t>Ayşegül Başer</t>
  </si>
  <si>
    <t>487589</t>
  </si>
  <si>
    <t>Aysima Sönmez</t>
  </si>
  <si>
    <t>487737</t>
  </si>
  <si>
    <t>Batuhan Turan</t>
  </si>
  <si>
    <t>487401</t>
  </si>
  <si>
    <t>Emirhan Hotduk</t>
  </si>
  <si>
    <t>487402</t>
  </si>
  <si>
    <t>Fethi Akçil</t>
  </si>
  <si>
    <t>487170</t>
  </si>
  <si>
    <t>Lütfü Övünç Özeye</t>
  </si>
  <si>
    <t>487661</t>
  </si>
  <si>
    <t>Margarıta Kuznetsova</t>
  </si>
  <si>
    <t>483377</t>
  </si>
  <si>
    <t>Mehmet Ali Budak</t>
  </si>
  <si>
    <t>487221</t>
  </si>
  <si>
    <t>Mustafa Atahan Uğur</t>
  </si>
  <si>
    <t>487875</t>
  </si>
  <si>
    <t>Necdet Efe Şentürk</t>
  </si>
  <si>
    <t>487937</t>
  </si>
  <si>
    <t>Nurten Uzungeliş</t>
  </si>
  <si>
    <t>487590</t>
  </si>
  <si>
    <t>Oktay Gülbay</t>
  </si>
  <si>
    <t>486558</t>
  </si>
  <si>
    <t>Sebla Çadırcı</t>
  </si>
  <si>
    <t>487724</t>
  </si>
  <si>
    <t>Sürgün Akbudak</t>
  </si>
  <si>
    <t>486888</t>
  </si>
  <si>
    <t>Yağmur Ak</t>
  </si>
  <si>
    <t>485479</t>
  </si>
  <si>
    <t>Yulııa Kolesnik</t>
  </si>
  <si>
    <t>487896</t>
  </si>
  <si>
    <t>Zeki Yüceer</t>
  </si>
  <si>
    <t>BAHÇE</t>
  </si>
  <si>
    <t>483392</t>
  </si>
  <si>
    <t>Ayşe Keskin</t>
  </si>
  <si>
    <t>487167</t>
  </si>
  <si>
    <t>Can Kol</t>
  </si>
  <si>
    <t>484655</t>
  </si>
  <si>
    <t>Cemil Kırmızı</t>
  </si>
  <si>
    <t>482967</t>
  </si>
  <si>
    <t>Cemile Yılmaz</t>
  </si>
  <si>
    <t>0001258</t>
  </si>
  <si>
    <t>Çetin Acar</t>
  </si>
  <si>
    <t>484267</t>
  </si>
  <si>
    <t>Cumali Doğan</t>
  </si>
  <si>
    <t>487602</t>
  </si>
  <si>
    <t>Hasan Aslan</t>
  </si>
  <si>
    <t>486024</t>
  </si>
  <si>
    <t>Hasan Demir</t>
  </si>
  <si>
    <t>483093</t>
  </si>
  <si>
    <t>İsmail Öztürk</t>
  </si>
  <si>
    <t>0000696</t>
  </si>
  <si>
    <t>0000956</t>
  </si>
  <si>
    <t>Kadir Yanık</t>
  </si>
  <si>
    <t>487387</t>
  </si>
  <si>
    <t>Lütfi Demir</t>
  </si>
  <si>
    <t>487653</t>
  </si>
  <si>
    <t>Mehmet Akçal</t>
  </si>
  <si>
    <t>486180</t>
  </si>
  <si>
    <t>Meltem Yıldırım</t>
  </si>
  <si>
    <t>487268</t>
  </si>
  <si>
    <t>Mestan İpek</t>
  </si>
  <si>
    <t>486974</t>
  </si>
  <si>
    <t>Mesut Yıldırım</t>
  </si>
  <si>
    <t>484644</t>
  </si>
  <si>
    <t>Metin Karahan</t>
  </si>
  <si>
    <t>484030</t>
  </si>
  <si>
    <t>Murat Özden</t>
  </si>
  <si>
    <t>484921</t>
  </si>
  <si>
    <t>Mustafa Bozkır</t>
  </si>
  <si>
    <t>485079</t>
  </si>
  <si>
    <t>Sadık Sarıtaş</t>
  </si>
  <si>
    <t>483362</t>
  </si>
  <si>
    <t>Sevgül Çakır</t>
  </si>
  <si>
    <t>487267</t>
  </si>
  <si>
    <t>Umut Aydoğan</t>
  </si>
  <si>
    <t>487683</t>
  </si>
  <si>
    <t>Zilan Çakan</t>
  </si>
  <si>
    <t>BİLGİ İŞLEM</t>
  </si>
  <si>
    <t>486223</t>
  </si>
  <si>
    <t>Gülfer Rahime Fili Gezgin</t>
  </si>
  <si>
    <t>486454</t>
  </si>
  <si>
    <t>Muhlis Özkan</t>
  </si>
  <si>
    <t>485892</t>
  </si>
  <si>
    <t>Tanju Yüce</t>
  </si>
  <si>
    <t>CONCİERGE</t>
  </si>
  <si>
    <t>487882</t>
  </si>
  <si>
    <t>Ahmet Eren Topal</t>
  </si>
  <si>
    <t>488049</t>
  </si>
  <si>
    <t>Kübra Elif İpek</t>
  </si>
  <si>
    <t>484982</t>
  </si>
  <si>
    <t>Nazlı Coşkun</t>
  </si>
  <si>
    <t>EĞİTİM VE KALİTE</t>
  </si>
  <si>
    <t>487703</t>
  </si>
  <si>
    <t>Ebru Aydın</t>
  </si>
  <si>
    <t>486688</t>
  </si>
  <si>
    <t>Nurel Güneylioğlu</t>
  </si>
  <si>
    <t>486417</t>
  </si>
  <si>
    <t>Osman Melih Akın</t>
  </si>
  <si>
    <t>487266</t>
  </si>
  <si>
    <t>Selin Nur Çataltepe</t>
  </si>
  <si>
    <t>GENEL MÜDÜRLÜK</t>
  </si>
  <si>
    <t>487721</t>
  </si>
  <si>
    <t>Aslı Dinçer</t>
  </si>
  <si>
    <t>486450</t>
  </si>
  <si>
    <t>Bahar Sinemce</t>
  </si>
  <si>
    <t>UZ</t>
  </si>
  <si>
    <t>483069</t>
  </si>
  <si>
    <t>Dilbar Mamazhanova Ölmez</t>
  </si>
  <si>
    <t>0001510</t>
  </si>
  <si>
    <t>Gülgün Ünlü</t>
  </si>
  <si>
    <t>486473</t>
  </si>
  <si>
    <t>Pelin Bengisu</t>
  </si>
  <si>
    <t>482595</t>
  </si>
  <si>
    <t>Semih Taşcan</t>
  </si>
  <si>
    <t>485859</t>
  </si>
  <si>
    <t>Soner Tezgah</t>
  </si>
  <si>
    <t>485822</t>
  </si>
  <si>
    <t>Ümit Yaşar Atalay</t>
  </si>
  <si>
    <t>GOLF</t>
  </si>
  <si>
    <t>488026</t>
  </si>
  <si>
    <t>Ahmet Temel</t>
  </si>
  <si>
    <t>487822</t>
  </si>
  <si>
    <t>Akif Karahan</t>
  </si>
  <si>
    <t>487971</t>
  </si>
  <si>
    <t>Ali Ünal</t>
  </si>
  <si>
    <t>487846</t>
  </si>
  <si>
    <t>Ayberk Dölek</t>
  </si>
  <si>
    <t>487872</t>
  </si>
  <si>
    <t>Bekir Kara</t>
  </si>
  <si>
    <t>487821</t>
  </si>
  <si>
    <t>Berk Şengül</t>
  </si>
  <si>
    <t>487847</t>
  </si>
  <si>
    <t>Burak Çakıroğlu</t>
  </si>
  <si>
    <t>487693</t>
  </si>
  <si>
    <t>Çağrı Ceylan</t>
  </si>
  <si>
    <t>486869</t>
  </si>
  <si>
    <t>Çilem Ermiş</t>
  </si>
  <si>
    <t>487995</t>
  </si>
  <si>
    <t>Efe Işıksel</t>
  </si>
  <si>
    <t>487996</t>
  </si>
  <si>
    <t>Elif Beyza Tanrıverdi</t>
  </si>
  <si>
    <t>487691</t>
  </si>
  <si>
    <t>Emre Tosun</t>
  </si>
  <si>
    <t>488047</t>
  </si>
  <si>
    <t>Esma Gümüş</t>
  </si>
  <si>
    <t>487695</t>
  </si>
  <si>
    <t>Eylem Tepecik</t>
  </si>
  <si>
    <t>487689</t>
  </si>
  <si>
    <t>Gökhan Kırmızı</t>
  </si>
  <si>
    <t>487686</t>
  </si>
  <si>
    <t>Hayri Tan</t>
  </si>
  <si>
    <t>488000</t>
  </si>
  <si>
    <t>İbrahim Fidan</t>
  </si>
  <si>
    <t>487700</t>
  </si>
  <si>
    <t>İrem Akyol</t>
  </si>
  <si>
    <t>487685</t>
  </si>
  <si>
    <t>Mitat Batır</t>
  </si>
  <si>
    <t>487690</t>
  </si>
  <si>
    <t>Murat Can Yorulmaz</t>
  </si>
  <si>
    <t>487699</t>
  </si>
  <si>
    <t>Murat Karagöz</t>
  </si>
  <si>
    <t>487702</t>
  </si>
  <si>
    <t>Murat Özkır</t>
  </si>
  <si>
    <t>487692</t>
  </si>
  <si>
    <t>Murtaza Aydın</t>
  </si>
  <si>
    <t>487999</t>
  </si>
  <si>
    <t>Mustafa Buğra Acar</t>
  </si>
  <si>
    <t>487696</t>
  </si>
  <si>
    <t>Nazmi Duran</t>
  </si>
  <si>
    <t>487998</t>
  </si>
  <si>
    <t>Okan İrfan</t>
  </si>
  <si>
    <t>487824</t>
  </si>
  <si>
    <t>Ömer Şahin Ocak</t>
  </si>
  <si>
    <t>487823</t>
  </si>
  <si>
    <t>Ömer Yıldırım</t>
  </si>
  <si>
    <t>487687</t>
  </si>
  <si>
    <t>Orhan Çetin</t>
  </si>
  <si>
    <t>487697</t>
  </si>
  <si>
    <t>Osman Ayyıldız</t>
  </si>
  <si>
    <t>487698</t>
  </si>
  <si>
    <t>Osman Kül</t>
  </si>
  <si>
    <t>487143</t>
  </si>
  <si>
    <t>Ramazan Kaan Uslu</t>
  </si>
  <si>
    <t>487701</t>
  </si>
  <si>
    <t>Semahat Türker</t>
  </si>
  <si>
    <t>487997</t>
  </si>
  <si>
    <t>Sibel Duman</t>
  </si>
  <si>
    <t>487688</t>
  </si>
  <si>
    <t>Tarık Buğra Tabak</t>
  </si>
  <si>
    <t>GOLF İNŞAATI</t>
  </si>
  <si>
    <t>0600</t>
  </si>
  <si>
    <t>Mehmet Erkaragülle</t>
  </si>
  <si>
    <t>0601</t>
  </si>
  <si>
    <t>Savaş Zengin</t>
  </si>
  <si>
    <t>0602</t>
  </si>
  <si>
    <t>Soner Zengin</t>
  </si>
  <si>
    <t>0624</t>
  </si>
  <si>
    <t>Yusuf Emin Çadıroğlu</t>
  </si>
  <si>
    <t>0603</t>
  </si>
  <si>
    <t>Yusuf Yıldız</t>
  </si>
  <si>
    <t>GÜVENLİK</t>
  </si>
  <si>
    <t>Aliye ÇETİN</t>
  </si>
  <si>
    <t>485377</t>
  </si>
  <si>
    <t>Korkut Akman</t>
  </si>
  <si>
    <t>Mahmut Abay</t>
  </si>
  <si>
    <t>Mehmet Önal</t>
  </si>
  <si>
    <t>Merve DOYLAN</t>
  </si>
  <si>
    <t>Mete ÇOBAN</t>
  </si>
  <si>
    <t>Mutlu Başar TÜREYEN</t>
  </si>
  <si>
    <t>Osman Ertuğrul</t>
  </si>
  <si>
    <t>İNSAN KAYNAKLARI</t>
  </si>
  <si>
    <t>487911</t>
  </si>
  <si>
    <t>Ahmet Emir Mercan</t>
  </si>
  <si>
    <t>487720</t>
  </si>
  <si>
    <t>Burcu İlhan</t>
  </si>
  <si>
    <t>486449</t>
  </si>
  <si>
    <t>Hilal Kula</t>
  </si>
  <si>
    <t>487840</t>
  </si>
  <si>
    <t>Kerem Kutay Kasapoğlu</t>
  </si>
  <si>
    <t>485862</t>
  </si>
  <si>
    <t>Mehmet Sağlam</t>
  </si>
  <si>
    <t>483041</t>
  </si>
  <si>
    <t>Mine Ekli</t>
  </si>
  <si>
    <t>486452</t>
  </si>
  <si>
    <t>Rukiye Özdemir</t>
  </si>
  <si>
    <t>KAT HİZMETLERİ</t>
  </si>
  <si>
    <t>485315</t>
  </si>
  <si>
    <t>Alev Yüksel</t>
  </si>
  <si>
    <t>487893</t>
  </si>
  <si>
    <t>Arda Yasak</t>
  </si>
  <si>
    <t>486634</t>
  </si>
  <si>
    <t>Arif Ceyhan</t>
  </si>
  <si>
    <t>0001241</t>
  </si>
  <si>
    <t>Arife Güzel</t>
  </si>
  <si>
    <t>484705</t>
  </si>
  <si>
    <t>Aygül Uysal</t>
  </si>
  <si>
    <t>484891</t>
  </si>
  <si>
    <t>Ayşe Aydın</t>
  </si>
  <si>
    <t>484746</t>
  </si>
  <si>
    <t>Ayşe Çalık</t>
  </si>
  <si>
    <t>487287</t>
  </si>
  <si>
    <t>Ayşe Karahan</t>
  </si>
  <si>
    <t>482604</t>
  </si>
  <si>
    <t>Ayşe Orhan</t>
  </si>
  <si>
    <t>485278</t>
  </si>
  <si>
    <t>Ayşe Sarak</t>
  </si>
  <si>
    <t>0001633</t>
  </si>
  <si>
    <t>Ayşegül Bayraktar</t>
  </si>
  <si>
    <t>487948</t>
  </si>
  <si>
    <t>Ayşegül Gök</t>
  </si>
  <si>
    <t>486289</t>
  </si>
  <si>
    <t>Aytekin Uryan</t>
  </si>
  <si>
    <t>485326</t>
  </si>
  <si>
    <t>Ayten Özkaya</t>
  </si>
  <si>
    <t>487358</t>
  </si>
  <si>
    <t>Barış Yılmazkara</t>
  </si>
  <si>
    <t>487308</t>
  </si>
  <si>
    <t>Begzod Jurakulov</t>
  </si>
  <si>
    <t>486460</t>
  </si>
  <si>
    <t>Bektımur Rozmetov</t>
  </si>
  <si>
    <t>487286</t>
  </si>
  <si>
    <t>Bülent Dursun</t>
  </si>
  <si>
    <t>486632</t>
  </si>
  <si>
    <t>Çağlar Özcan</t>
  </si>
  <si>
    <t>0001826</t>
  </si>
  <si>
    <t>Cevriye Sarıoğlu</t>
  </si>
  <si>
    <t>487955</t>
  </si>
  <si>
    <t>Cihangir Vural</t>
  </si>
  <si>
    <t>487863</t>
  </si>
  <si>
    <t>Çilem Özbek</t>
  </si>
  <si>
    <t>485963</t>
  </si>
  <si>
    <t>Dilek Demir</t>
  </si>
  <si>
    <t>485972</t>
  </si>
  <si>
    <t>Dilek Şimşek</t>
  </si>
  <si>
    <t>487310</t>
  </si>
  <si>
    <t>Dılmurodjon Azızov</t>
  </si>
  <si>
    <t>487816</t>
  </si>
  <si>
    <t>Dıyar Hayrullayev</t>
  </si>
  <si>
    <t>0001243</t>
  </si>
  <si>
    <t>Dudu Bozoğlu</t>
  </si>
  <si>
    <t>485197</t>
  </si>
  <si>
    <t>Dürdane Açıkgöz</t>
  </si>
  <si>
    <t>486076</t>
  </si>
  <si>
    <t>Durdu Yitim</t>
  </si>
  <si>
    <t>484800</t>
  </si>
  <si>
    <t>Durkadın Varol</t>
  </si>
  <si>
    <t>487796</t>
  </si>
  <si>
    <t>Elem Günal</t>
  </si>
  <si>
    <t>486467</t>
  </si>
  <si>
    <t>Elif Acar</t>
  </si>
  <si>
    <t>488025</t>
  </si>
  <si>
    <t>Elif Kırbaş</t>
  </si>
  <si>
    <t>0001040</t>
  </si>
  <si>
    <t>Elif Olgun</t>
  </si>
  <si>
    <t>487662</t>
  </si>
  <si>
    <t>Emir Ayşe Tutal</t>
  </si>
  <si>
    <t>487858</t>
  </si>
  <si>
    <t>Emir Denizkaya</t>
  </si>
  <si>
    <t>487953</t>
  </si>
  <si>
    <t>Enver Bağatır</t>
  </si>
  <si>
    <t>486777</t>
  </si>
  <si>
    <t>Esengül Yüksek</t>
  </si>
  <si>
    <t>487795</t>
  </si>
  <si>
    <t>Esra Unutmaz</t>
  </si>
  <si>
    <t>486776</t>
  </si>
  <si>
    <t>Fadıl Benk</t>
  </si>
  <si>
    <t>487215</t>
  </si>
  <si>
    <t>Fatih Şahin</t>
  </si>
  <si>
    <t>487677</t>
  </si>
  <si>
    <t>Fatma Boru</t>
  </si>
  <si>
    <t>485805</t>
  </si>
  <si>
    <t>Fatma Irkara</t>
  </si>
  <si>
    <t>485385</t>
  </si>
  <si>
    <t>Fatma Yilmaz</t>
  </si>
  <si>
    <t>488019</t>
  </si>
  <si>
    <t>Fatmana Özütemiz</t>
  </si>
  <si>
    <t>487173</t>
  </si>
  <si>
    <t>Ferhat Burhan</t>
  </si>
  <si>
    <t>487361</t>
  </si>
  <si>
    <t>Ferudun Karaduman</t>
  </si>
  <si>
    <t>485201</t>
  </si>
  <si>
    <t>Filiz Güleç</t>
  </si>
  <si>
    <t>486595</t>
  </si>
  <si>
    <t>Göknur Erdal</t>
  </si>
  <si>
    <t>484017</t>
  </si>
  <si>
    <t>Gülcan Akın</t>
  </si>
  <si>
    <t>0001838</t>
  </si>
  <si>
    <t>Gülfen Eser</t>
  </si>
  <si>
    <t>482477</t>
  </si>
  <si>
    <t>Gülizar Aydın</t>
  </si>
  <si>
    <t>486253</t>
  </si>
  <si>
    <t>Gülşah Kılınç</t>
  </si>
  <si>
    <t>485333</t>
  </si>
  <si>
    <t>0002236</t>
  </si>
  <si>
    <t>Gürcan Basut</t>
  </si>
  <si>
    <t>487949</t>
  </si>
  <si>
    <t>Hacer Kaçgın</t>
  </si>
  <si>
    <t>487185</t>
  </si>
  <si>
    <t>Halime Özekinci</t>
  </si>
  <si>
    <t>0001703</t>
  </si>
  <si>
    <t>Hanife Şahin</t>
  </si>
  <si>
    <t>485403</t>
  </si>
  <si>
    <t>Hasan Ergen</t>
  </si>
  <si>
    <t>485890</t>
  </si>
  <si>
    <t>Hasan Gül</t>
  </si>
  <si>
    <t>487961</t>
  </si>
  <si>
    <t>Hatice Hoplar</t>
  </si>
  <si>
    <t>487563</t>
  </si>
  <si>
    <t>Hatice Mutlu</t>
  </si>
  <si>
    <t>484703</t>
  </si>
  <si>
    <t>Hatice Önür</t>
  </si>
  <si>
    <t>486754</t>
  </si>
  <si>
    <t>Hayriye Orhan</t>
  </si>
  <si>
    <t>487281</t>
  </si>
  <si>
    <t>Hülya Keklikçi</t>
  </si>
  <si>
    <t>487732</t>
  </si>
  <si>
    <t>Hülya Ulutaş</t>
  </si>
  <si>
    <t>487780</t>
  </si>
  <si>
    <t>Hüseyin Aysan</t>
  </si>
  <si>
    <t>486977</t>
  </si>
  <si>
    <t>Ihlasbek Kuljanov</t>
  </si>
  <si>
    <t>487746</t>
  </si>
  <si>
    <t>Ihlasmyrat Atayev</t>
  </si>
  <si>
    <t>484623</t>
  </si>
  <si>
    <t>İklime Kavak</t>
  </si>
  <si>
    <t>487825</t>
  </si>
  <si>
    <t>İlayda Gülban</t>
  </si>
  <si>
    <t>486978</t>
  </si>
  <si>
    <t>Izzat Kurambayev</t>
  </si>
  <si>
    <t>487748</t>
  </si>
  <si>
    <t>Jemal Charyyeva</t>
  </si>
  <si>
    <t>487987</t>
  </si>
  <si>
    <t>Kadir Berme</t>
  </si>
  <si>
    <t>487766</t>
  </si>
  <si>
    <t>Kazım Ahmedov</t>
  </si>
  <si>
    <t>488018</t>
  </si>
  <si>
    <t>Leyla Kızıltaş</t>
  </si>
  <si>
    <t>487494</t>
  </si>
  <si>
    <t>Leyla Yaşar</t>
  </si>
  <si>
    <t>487635</t>
  </si>
  <si>
    <t>Lütfi Karık</t>
  </si>
  <si>
    <t>487973</t>
  </si>
  <si>
    <t>Mahmut Enes Aladağ</t>
  </si>
  <si>
    <t>487767</t>
  </si>
  <si>
    <t>Malıuda Baktyıarov Turgunbekova</t>
  </si>
  <si>
    <t>487172</t>
  </si>
  <si>
    <t>Mehmet Duman</t>
  </si>
  <si>
    <t>487775</t>
  </si>
  <si>
    <t>Mehmet Yıldırım</t>
  </si>
  <si>
    <t>487797</t>
  </si>
  <si>
    <t>Melike Topal</t>
  </si>
  <si>
    <t>486756</t>
  </si>
  <si>
    <t>Metin Çakır</t>
  </si>
  <si>
    <t>487711</t>
  </si>
  <si>
    <t>Mukaddaskhon Sultanova</t>
  </si>
  <si>
    <t>487843</t>
  </si>
  <si>
    <t>Mukam Ashırov</t>
  </si>
  <si>
    <t>487709</t>
  </si>
  <si>
    <t>Mukhammadjon Alıjonzoda</t>
  </si>
  <si>
    <t>486159</t>
  </si>
  <si>
    <t>Mustafa Doğan</t>
  </si>
  <si>
    <t>487033</t>
  </si>
  <si>
    <t>Naci Oğuz</t>
  </si>
  <si>
    <t>485736</t>
  </si>
  <si>
    <t>Nermin Olgun</t>
  </si>
  <si>
    <t>485997</t>
  </si>
  <si>
    <t>Nesibe Koşar</t>
  </si>
  <si>
    <t>485509</t>
  </si>
  <si>
    <t>Nihal Baylan</t>
  </si>
  <si>
    <t>485361</t>
  </si>
  <si>
    <t>Nılüfer Özdemır</t>
  </si>
  <si>
    <t>488031</t>
  </si>
  <si>
    <t>Nuran Çınar</t>
  </si>
  <si>
    <t>485866</t>
  </si>
  <si>
    <t>Nuray Sarı</t>
  </si>
  <si>
    <t>487931</t>
  </si>
  <si>
    <t>Nurgül Kaya</t>
  </si>
  <si>
    <t>485211</t>
  </si>
  <si>
    <t>Nurgül Kenar</t>
  </si>
  <si>
    <t>484681</t>
  </si>
  <si>
    <t>Orhan Ertuğrul</t>
  </si>
  <si>
    <t>0002605</t>
  </si>
  <si>
    <t>Osman Demir</t>
  </si>
  <si>
    <t>487325</t>
  </si>
  <si>
    <t>Oya Akkurt</t>
  </si>
  <si>
    <t>484821</t>
  </si>
  <si>
    <t>Özge Çöllü Yiğit</t>
  </si>
  <si>
    <t>487324</t>
  </si>
  <si>
    <t>Özgül Koçar</t>
  </si>
  <si>
    <t>486726</t>
  </si>
  <si>
    <t>Özlem İnce</t>
  </si>
  <si>
    <t>487798</t>
  </si>
  <si>
    <t>Pembe Yılmaz</t>
  </si>
  <si>
    <t>487739</t>
  </si>
  <si>
    <t>Pınar Gözel</t>
  </si>
  <si>
    <t>0001204</t>
  </si>
  <si>
    <t>Rabiye Şahin</t>
  </si>
  <si>
    <t>487769</t>
  </si>
  <si>
    <t>Rayhon Matyazova</t>
  </si>
  <si>
    <t>487772</t>
  </si>
  <si>
    <t>Ruslan Kuljanov</t>
  </si>
  <si>
    <t>486392</t>
  </si>
  <si>
    <t>Saadet Gül</t>
  </si>
  <si>
    <t>487916</t>
  </si>
  <si>
    <t>Sabahat Demirci</t>
  </si>
  <si>
    <t>486580</t>
  </si>
  <si>
    <t>Sabahnur Gürbüz</t>
  </si>
  <si>
    <t>488030</t>
  </si>
  <si>
    <t>Şaban Atabek</t>
  </si>
  <si>
    <t>487714</t>
  </si>
  <si>
    <t>Sapargylych Paltayev</t>
  </si>
  <si>
    <t>487620</t>
  </si>
  <si>
    <t>Sara Zhelkushınova</t>
  </si>
  <si>
    <t>486588</t>
  </si>
  <si>
    <t>Savaş Zeybek</t>
  </si>
  <si>
    <t>484016</t>
  </si>
  <si>
    <t>Sefa Gökkaya</t>
  </si>
  <si>
    <t>485277</t>
  </si>
  <si>
    <t>Şehriban Demirtaş</t>
  </si>
  <si>
    <t>487285</t>
  </si>
  <si>
    <t>Selda Alkan</t>
  </si>
  <si>
    <t>487359</t>
  </si>
  <si>
    <t>Selin Beyaztaş</t>
  </si>
  <si>
    <t>486921</t>
  </si>
  <si>
    <t>Selma Akça</t>
  </si>
  <si>
    <t>486813</t>
  </si>
  <si>
    <t>Selva Cengiz</t>
  </si>
  <si>
    <t>0001751</t>
  </si>
  <si>
    <t>Semra Aslan</t>
  </si>
  <si>
    <t>484630</t>
  </si>
  <si>
    <t>Semra Özcan</t>
  </si>
  <si>
    <t>488016</t>
  </si>
  <si>
    <t>Sergül Karagöz</t>
  </si>
  <si>
    <t>484863</t>
  </si>
  <si>
    <t>Sevgi Arslan</t>
  </si>
  <si>
    <t>487947</t>
  </si>
  <si>
    <t>Sevilay Çakır</t>
  </si>
  <si>
    <t>487815</t>
  </si>
  <si>
    <t>Shahla Rajapova</t>
  </si>
  <si>
    <t>487771</t>
  </si>
  <si>
    <t>Shatlyk Tuvakov</t>
  </si>
  <si>
    <t>487770</t>
  </si>
  <si>
    <t>Shemshat Ashyrbayeva</t>
  </si>
  <si>
    <t>487609</t>
  </si>
  <si>
    <t>Sinem Acar</t>
  </si>
  <si>
    <t>485322</t>
  </si>
  <si>
    <t>Songül Ayhan</t>
  </si>
  <si>
    <t>485744</t>
  </si>
  <si>
    <t>Songül Gün</t>
  </si>
  <si>
    <t>484704</t>
  </si>
  <si>
    <t>Songül Yılmaz</t>
  </si>
  <si>
    <t>486957</t>
  </si>
  <si>
    <t>Sultan Erikçi</t>
  </si>
  <si>
    <t>0001039</t>
  </si>
  <si>
    <t>Teslime Takar</t>
  </si>
  <si>
    <t>485701</t>
  </si>
  <si>
    <t>Tuğba Kahraman</t>
  </si>
  <si>
    <t>0001487</t>
  </si>
  <si>
    <t>Tülay Özçaputoğlu</t>
  </si>
  <si>
    <t>484077</t>
  </si>
  <si>
    <t>Ulkiye Durna</t>
  </si>
  <si>
    <t>0001709</t>
  </si>
  <si>
    <t>Ummahan Güçlü</t>
  </si>
  <si>
    <t>487990</t>
  </si>
  <si>
    <t>Yaşar Eğri</t>
  </si>
  <si>
    <t>487036</t>
  </si>
  <si>
    <t>Yasemin Yurt</t>
  </si>
  <si>
    <t>488051</t>
  </si>
  <si>
    <t>Yiğit Kolçak</t>
  </si>
  <si>
    <t>487408</t>
  </si>
  <si>
    <t>Yıldız Uslu</t>
  </si>
  <si>
    <t>483367</t>
  </si>
  <si>
    <t>Yunus Emre Erpek</t>
  </si>
  <si>
    <t>487768</t>
  </si>
  <si>
    <t>Zharkynaı Berdıbek Kyzy</t>
  </si>
  <si>
    <t>485994</t>
  </si>
  <si>
    <t>Zinnet Baylan</t>
  </si>
  <si>
    <t>486366</t>
  </si>
  <si>
    <t>Zişan Tekerek</t>
  </si>
  <si>
    <t>486002</t>
  </si>
  <si>
    <t>Zümran Manav</t>
  </si>
  <si>
    <t>MALİ İŞLER</t>
  </si>
  <si>
    <t>485857</t>
  </si>
  <si>
    <t>Ali Kaya</t>
  </si>
  <si>
    <t>484203</t>
  </si>
  <si>
    <t>Alperan Aydın</t>
  </si>
  <si>
    <t>0002239</t>
  </si>
  <si>
    <t>Azize Akşit</t>
  </si>
  <si>
    <t>487910</t>
  </si>
  <si>
    <t>Cem Hiçyılmaz</t>
  </si>
  <si>
    <t>487614</t>
  </si>
  <si>
    <t>Eyüp Şevket Yılmaz</t>
  </si>
  <si>
    <t>485863</t>
  </si>
  <si>
    <t>Gökhan Koç</t>
  </si>
  <si>
    <t>487604</t>
  </si>
  <si>
    <t>Hüseyin Adnan Başak</t>
  </si>
  <si>
    <t>487866</t>
  </si>
  <si>
    <t>İlkay Bıyık</t>
  </si>
  <si>
    <t>485438</t>
  </si>
  <si>
    <t>İrem Seçer Özdem</t>
  </si>
  <si>
    <t>487152</t>
  </si>
  <si>
    <t>İsmet Evren</t>
  </si>
  <si>
    <t>486819</t>
  </si>
  <si>
    <t>Mehmet Tekvin Öztaş</t>
  </si>
  <si>
    <t>484545</t>
  </si>
  <si>
    <t>Murat Peker</t>
  </si>
  <si>
    <t>487723</t>
  </si>
  <si>
    <t>Sami Çetin</t>
  </si>
  <si>
    <t>487943</t>
  </si>
  <si>
    <t>Taha Batanay Ocak</t>
  </si>
  <si>
    <t>484868</t>
  </si>
  <si>
    <t>Yılmaz Çoban</t>
  </si>
  <si>
    <t>MINI CLUB</t>
  </si>
  <si>
    <t>487785</t>
  </si>
  <si>
    <t>Abdullah Nasıruddi İlkun</t>
  </si>
  <si>
    <t>486520</t>
  </si>
  <si>
    <t>Ahmet Hantaş</t>
  </si>
  <si>
    <t>482573</t>
  </si>
  <si>
    <t>Ayşe Şahin</t>
  </si>
  <si>
    <t>486821</t>
  </si>
  <si>
    <t>Efsun Esen</t>
  </si>
  <si>
    <t>487879</t>
  </si>
  <si>
    <t>Ela Eksin</t>
  </si>
  <si>
    <t>488002</t>
  </si>
  <si>
    <t>Elif Ebrar Yumrukaya</t>
  </si>
  <si>
    <t>487784</t>
  </si>
  <si>
    <t>Furkan Göncü</t>
  </si>
  <si>
    <t>487707</t>
  </si>
  <si>
    <t>Giray Köktener</t>
  </si>
  <si>
    <t>487956</t>
  </si>
  <si>
    <t>Lal Sude Taylan</t>
  </si>
  <si>
    <t>487719</t>
  </si>
  <si>
    <t>Melisa Çelik</t>
  </si>
  <si>
    <t>484758</t>
  </si>
  <si>
    <t>Mevlüdiye Denli</t>
  </si>
  <si>
    <t>486457</t>
  </si>
  <si>
    <t>Müjgan Köroğlu</t>
  </si>
  <si>
    <t>487877</t>
  </si>
  <si>
    <t>Mürüvvet İklim Dikişçi</t>
  </si>
  <si>
    <t>487929</t>
  </si>
  <si>
    <t>Naz Çavuşoğlu</t>
  </si>
  <si>
    <t>487762</t>
  </si>
  <si>
    <t>Tolga Hakan Yüksel</t>
  </si>
  <si>
    <t>MİSAFİR iLİŞKİLERİ</t>
  </si>
  <si>
    <t>486055</t>
  </si>
  <si>
    <t>Anıl Turbalıoğlu</t>
  </si>
  <si>
    <t>487570</t>
  </si>
  <si>
    <t>Arda Kiraz</t>
  </si>
  <si>
    <t>486778</t>
  </si>
  <si>
    <t>Ataberk Açmaz</t>
  </si>
  <si>
    <t>487391</t>
  </si>
  <si>
    <t>Büşra Elmas</t>
  </si>
  <si>
    <t>487977</t>
  </si>
  <si>
    <t>Can Bahçetepe</t>
  </si>
  <si>
    <t>487914</t>
  </si>
  <si>
    <t>Eda Erdoğan</t>
  </si>
  <si>
    <t>487884</t>
  </si>
  <si>
    <t>Gülşen Elif Yıldırım</t>
  </si>
  <si>
    <t>485480</t>
  </si>
  <si>
    <t>Iryna Lystopadova</t>
  </si>
  <si>
    <t>487905</t>
  </si>
  <si>
    <t>Melisa Kuru</t>
  </si>
  <si>
    <t>485826</t>
  </si>
  <si>
    <t>Moyra Marian Derinöz</t>
  </si>
  <si>
    <t>487895</t>
  </si>
  <si>
    <t>Oğulcan Başarır</t>
  </si>
  <si>
    <t>487885</t>
  </si>
  <si>
    <t>Selena Döndü Söylemez</t>
  </si>
  <si>
    <t>487972</t>
  </si>
  <si>
    <t>Sude Üzüm</t>
  </si>
  <si>
    <t>486269</t>
  </si>
  <si>
    <t>Sümeyye Şahin</t>
  </si>
  <si>
    <t>487309</t>
  </si>
  <si>
    <t>Tatıana Kunıtsyna</t>
  </si>
  <si>
    <t>486771</t>
  </si>
  <si>
    <t>Uygar Güney</t>
  </si>
  <si>
    <t>ÖN BÜRO</t>
  </si>
  <si>
    <t>484284</t>
  </si>
  <si>
    <t>Abdulmajid Yakubov</t>
  </si>
  <si>
    <t>482707</t>
  </si>
  <si>
    <t>Ahmet Akdağ</t>
  </si>
  <si>
    <t>486515</t>
  </si>
  <si>
    <t>Aleyna Pelin Arslan</t>
  </si>
  <si>
    <t>487398</t>
  </si>
  <si>
    <t>Ali Arslan Sakıncı</t>
  </si>
  <si>
    <t>487946</t>
  </si>
  <si>
    <t>Ali Rıza Ulutaş</t>
  </si>
  <si>
    <t>484768</t>
  </si>
  <si>
    <t>Arif Uylaş</t>
  </si>
  <si>
    <t>487219</t>
  </si>
  <si>
    <t>Ayça Aydemir</t>
  </si>
  <si>
    <t>487975</t>
  </si>
  <si>
    <t>Ayşegül Erdebil</t>
  </si>
  <si>
    <t>485881</t>
  </si>
  <si>
    <t>Bahittin Karaboğa</t>
  </si>
  <si>
    <t>487652</t>
  </si>
  <si>
    <t>Batuhan Uzunoğlu</t>
  </si>
  <si>
    <t>487392</t>
  </si>
  <si>
    <t>Burak Tırpan</t>
  </si>
  <si>
    <t>488038</t>
  </si>
  <si>
    <t>Ege Can İlhan</t>
  </si>
  <si>
    <t>487942</t>
  </si>
  <si>
    <t>Emir Muhammed Ceylan</t>
  </si>
  <si>
    <t>486591</t>
  </si>
  <si>
    <t>Emre Yaşlı</t>
  </si>
  <si>
    <t>487773</t>
  </si>
  <si>
    <t>Eray Songür</t>
  </si>
  <si>
    <t>487399</t>
  </si>
  <si>
    <t>Ertuğrul Yiğit Gököz</t>
  </si>
  <si>
    <t>486635</t>
  </si>
  <si>
    <t>Ferhat Sarıgöl</t>
  </si>
  <si>
    <t>487250</t>
  </si>
  <si>
    <t>Furkan Kaba</t>
  </si>
  <si>
    <t>0001749</t>
  </si>
  <si>
    <t>Gülay Koç Odabaşı</t>
  </si>
  <si>
    <t>488029</t>
  </si>
  <si>
    <t>Hasan Kağan Bozkurt</t>
  </si>
  <si>
    <t>484966</t>
  </si>
  <si>
    <t>Hayrettin Ceylan</t>
  </si>
  <si>
    <t>487976</t>
  </si>
  <si>
    <t>İbrahim Taha Akçay</t>
  </si>
  <si>
    <t>487091</t>
  </si>
  <si>
    <t>İzel Balcı Çalışır</t>
  </si>
  <si>
    <t>487958</t>
  </si>
  <si>
    <t>Kadir Kundakçı</t>
  </si>
  <si>
    <t>484573</t>
  </si>
  <si>
    <t>Kayahan Çalışır</t>
  </si>
  <si>
    <t>0000244</t>
  </si>
  <si>
    <t>Kerim Avşar</t>
  </si>
  <si>
    <t>485541</t>
  </si>
  <si>
    <t>Mahmut Can Ertuğrul</t>
  </si>
  <si>
    <t>487819</t>
  </si>
  <si>
    <t>Mehmet Demirtaş</t>
  </si>
  <si>
    <t>486999</t>
  </si>
  <si>
    <t>Metehan Dilber</t>
  </si>
  <si>
    <t>487945</t>
  </si>
  <si>
    <t>Muammer Eren Doğaç</t>
  </si>
  <si>
    <t>487731</t>
  </si>
  <si>
    <t>Mübarek Ceylan</t>
  </si>
  <si>
    <t>Muzaffer KOCATÜRK</t>
  </si>
  <si>
    <t>486373</t>
  </si>
  <si>
    <t>Onur Kolatan</t>
  </si>
  <si>
    <t>487073</t>
  </si>
  <si>
    <t>Rüya Özkaya</t>
  </si>
  <si>
    <t>486982</t>
  </si>
  <si>
    <t>Sahra Rana Üreyen</t>
  </si>
  <si>
    <t>488050</t>
  </si>
  <si>
    <t>Salih Yıldırım</t>
  </si>
  <si>
    <t>486179</t>
  </si>
  <si>
    <t>Samet Teltik</t>
  </si>
  <si>
    <t>0001002</t>
  </si>
  <si>
    <t>Selmin Yiğit Madenci</t>
  </si>
  <si>
    <t>0002064</t>
  </si>
  <si>
    <t>Serdar Soltekin</t>
  </si>
  <si>
    <t>487254</t>
  </si>
  <si>
    <t>Süleyman Cin</t>
  </si>
  <si>
    <t>487892</t>
  </si>
  <si>
    <t>Tolga Kargın</t>
  </si>
  <si>
    <t>484511</t>
  </si>
  <si>
    <t>Uğur Bildir</t>
  </si>
  <si>
    <t>484947</t>
  </si>
  <si>
    <t>Ümit Çetiner</t>
  </si>
  <si>
    <t>487988</t>
  </si>
  <si>
    <t>Yasin Yaşlı</t>
  </si>
  <si>
    <t>OPM</t>
  </si>
  <si>
    <t>487218</t>
  </si>
  <si>
    <t>Ayşe Çoban</t>
  </si>
  <si>
    <t>485217</t>
  </si>
  <si>
    <t>Burak Öztürk</t>
  </si>
  <si>
    <t>487880</t>
  </si>
  <si>
    <t>Ege Tanrıöver</t>
  </si>
  <si>
    <t>487730</t>
  </si>
  <si>
    <t>Gamze Huriye Bayat</t>
  </si>
  <si>
    <t>487316</t>
  </si>
  <si>
    <t>Gökhan Ceyhan</t>
  </si>
  <si>
    <t>SATINALMA</t>
  </si>
  <si>
    <t>485843</t>
  </si>
  <si>
    <t>Beyza İçen</t>
  </si>
  <si>
    <t>486455</t>
  </si>
  <si>
    <t>İshak Selçuk</t>
  </si>
  <si>
    <t>484869</t>
  </si>
  <si>
    <t>Ömer Faruk Boz</t>
  </si>
  <si>
    <t>485256</t>
  </si>
  <si>
    <t>Ulaş Avcı</t>
  </si>
  <si>
    <t>SATIŞ PAZARLAMA</t>
  </si>
  <si>
    <t>07002</t>
  </si>
  <si>
    <t>Ali Yürüyen</t>
  </si>
  <si>
    <t>07003</t>
  </si>
  <si>
    <t>Derya Şekerci</t>
  </si>
  <si>
    <t>07011</t>
  </si>
  <si>
    <t>Ertuğrul Beşeoğlu</t>
  </si>
  <si>
    <t>486184</t>
  </si>
  <si>
    <t>Görkem Akmaz</t>
  </si>
  <si>
    <t>07006</t>
  </si>
  <si>
    <t>Gözde Nur Uysal</t>
  </si>
  <si>
    <t>483209</t>
  </si>
  <si>
    <t>IMKE-MARIE KUEL</t>
  </si>
  <si>
    <t>485155</t>
  </si>
  <si>
    <t>İrem Gün Bildir</t>
  </si>
  <si>
    <t>G</t>
  </si>
  <si>
    <t>07010</t>
  </si>
  <si>
    <t>Mehriban Gökmen Yıldız</t>
  </si>
  <si>
    <t>07009</t>
  </si>
  <si>
    <t>Meryem Nur Soygan</t>
  </si>
  <si>
    <t>07008</t>
  </si>
  <si>
    <t>Neylan Yılmaz</t>
  </si>
  <si>
    <t>487960</t>
  </si>
  <si>
    <t>Serhan Yalılı</t>
  </si>
  <si>
    <t>07001</t>
  </si>
  <si>
    <t>Tarık Yalçın</t>
  </si>
  <si>
    <t>07005</t>
  </si>
  <si>
    <t>Tuba İrven Gök</t>
  </si>
  <si>
    <t>SPA</t>
  </si>
  <si>
    <t>487610</t>
  </si>
  <si>
    <t>Ayşe Aran</t>
  </si>
  <si>
    <t>487984</t>
  </si>
  <si>
    <t>Azra Kadam</t>
  </si>
  <si>
    <t>486526</t>
  </si>
  <si>
    <t>Berya Ünlü</t>
  </si>
  <si>
    <t>487793</t>
  </si>
  <si>
    <t>Dilek Ölmez</t>
  </si>
  <si>
    <t>487223</t>
  </si>
  <si>
    <t>Hülya Keskin</t>
  </si>
  <si>
    <t>487868</t>
  </si>
  <si>
    <t>IDA AYU YUNIATI ÜLKESİNDE KULLANIL</t>
  </si>
  <si>
    <t>485891</t>
  </si>
  <si>
    <t>Kemal Cesur</t>
  </si>
  <si>
    <t>483894</t>
  </si>
  <si>
    <t>Kseniya Mihaylovna Karbovnycha</t>
  </si>
  <si>
    <t>487581</t>
  </si>
  <si>
    <t>Lilia Süngerli</t>
  </si>
  <si>
    <t>485893</t>
  </si>
  <si>
    <t>Nami Okur</t>
  </si>
  <si>
    <t>487670</t>
  </si>
  <si>
    <t>NI LUH NITA PURNAM ÜLKESİNDE KULLANIL</t>
  </si>
  <si>
    <t>487738</t>
  </si>
  <si>
    <t>Nı Nengah Sudıanı Ülkesinde Kullanılmı</t>
  </si>
  <si>
    <t>486514</t>
  </si>
  <si>
    <t>NI NYOMAN ERNAWATI ÜLKESİNDE KULLANIL</t>
  </si>
  <si>
    <t>487869</t>
  </si>
  <si>
    <t>NIRA ANJARWATI ÜLKESİNDE KULLANIL</t>
  </si>
  <si>
    <t>487654</t>
  </si>
  <si>
    <t>Nur Bozyel</t>
  </si>
  <si>
    <t>488028</t>
  </si>
  <si>
    <t>Nuray Öztülü</t>
  </si>
  <si>
    <t>487983</t>
  </si>
  <si>
    <t>Serhat Telkök</t>
  </si>
  <si>
    <t>487573</t>
  </si>
  <si>
    <t>Serkan Kıratlı</t>
  </si>
  <si>
    <t>487944</t>
  </si>
  <si>
    <t>Sevilay Saha</t>
  </si>
  <si>
    <t>486733</t>
  </si>
  <si>
    <t>Tennur Günal</t>
  </si>
  <si>
    <t>0001466</t>
  </si>
  <si>
    <t>Teslime Akkuş</t>
  </si>
  <si>
    <t>0002467</t>
  </si>
  <si>
    <t>Zeynep Akyol</t>
  </si>
  <si>
    <t>STEWARDİNG</t>
  </si>
  <si>
    <t>487755</t>
  </si>
  <si>
    <t>Abduganı Nıshonboev</t>
  </si>
  <si>
    <t>0001078</t>
  </si>
  <si>
    <t>Akkız Söğüt</t>
  </si>
  <si>
    <t>485406</t>
  </si>
  <si>
    <t>Alev Cengiz</t>
  </si>
  <si>
    <t>487682</t>
  </si>
  <si>
    <t>ALISHER TURDIBAEV</t>
  </si>
  <si>
    <t>0002462</t>
  </si>
  <si>
    <t>Arife Kara</t>
  </si>
  <si>
    <t>482630</t>
  </si>
  <si>
    <t>Arzı Yılmaz</t>
  </si>
  <si>
    <t>485989</t>
  </si>
  <si>
    <t>Ayşe Karakurt</t>
  </si>
  <si>
    <t>487763</t>
  </si>
  <si>
    <t>Bahtıyar Iskandarov</t>
  </si>
  <si>
    <t>487792</t>
  </si>
  <si>
    <t>Bokhodır Tojıbaev</t>
  </si>
  <si>
    <t>487750</t>
  </si>
  <si>
    <t>Dıyorbek Yusupov</t>
  </si>
  <si>
    <t>486651</t>
  </si>
  <si>
    <t>Durkadın Kömek</t>
  </si>
  <si>
    <t>483965</t>
  </si>
  <si>
    <t>Emine Günal</t>
  </si>
  <si>
    <t>486828</t>
  </si>
  <si>
    <t>Eray Alkan</t>
  </si>
  <si>
    <t>0001185</t>
  </si>
  <si>
    <t>Fatma Kılıç</t>
  </si>
  <si>
    <t>486594</t>
  </si>
  <si>
    <t>Figen Sivrikaya</t>
  </si>
  <si>
    <t>0001057</t>
  </si>
  <si>
    <t>Gülay Bozkurt</t>
  </si>
  <si>
    <t>482564</t>
  </si>
  <si>
    <t>Güler Keskin</t>
  </si>
  <si>
    <t>0002411</t>
  </si>
  <si>
    <t>Gülnihal Kıvrak</t>
  </si>
  <si>
    <t>486167</t>
  </si>
  <si>
    <t>Gülşah İzci</t>
  </si>
  <si>
    <t>487757</t>
  </si>
  <si>
    <t>Ibrokhımjon Tursunov</t>
  </si>
  <si>
    <t>487011</t>
  </si>
  <si>
    <t>İpek Bağbozan</t>
  </si>
  <si>
    <t>484755</t>
  </si>
  <si>
    <t>İsmail Şimşek</t>
  </si>
  <si>
    <t>486581</t>
  </si>
  <si>
    <t>Kadir Tintaş</t>
  </si>
  <si>
    <t>487760</t>
  </si>
  <si>
    <t>Kamolıtdınjon Sıdıkov</t>
  </si>
  <si>
    <t>487369</t>
  </si>
  <si>
    <t>Khamıdıllo Yusupov</t>
  </si>
  <si>
    <t>487674</t>
  </si>
  <si>
    <t>MIRODILJON MIRZAEV</t>
  </si>
  <si>
    <t>485947</t>
  </si>
  <si>
    <t>Muhammet Çelen</t>
  </si>
  <si>
    <t>484737</t>
  </si>
  <si>
    <t>Nafise Sevinç</t>
  </si>
  <si>
    <t>488024</t>
  </si>
  <si>
    <t>Nurgül Aldemir</t>
  </si>
  <si>
    <t>487379</t>
  </si>
  <si>
    <t>Okhunjon Toshpulatov</t>
  </si>
  <si>
    <t>487765</t>
  </si>
  <si>
    <t>Rasulbek Kuljanov</t>
  </si>
  <si>
    <t>487752</t>
  </si>
  <si>
    <t>Rustamjon Boltaboev</t>
  </si>
  <si>
    <t>487675</t>
  </si>
  <si>
    <t>RUZIMUKHAMMAD RAKHMANOV</t>
  </si>
  <si>
    <t>484079</t>
  </si>
  <si>
    <t>Semra Yıldırım</t>
  </si>
  <si>
    <t>487791</t>
  </si>
  <si>
    <t>Shahzodbek Hamıdov</t>
  </si>
  <si>
    <t>483298</t>
  </si>
  <si>
    <t>Tezcan Güçlü</t>
  </si>
  <si>
    <t>486329</t>
  </si>
  <si>
    <t>Ulkiye Kılınç</t>
  </si>
  <si>
    <t>487472</t>
  </si>
  <si>
    <t>Umidjon Tokhtosinov</t>
  </si>
  <si>
    <t>486606</t>
  </si>
  <si>
    <t>Ummahan Arabacı</t>
  </si>
  <si>
    <t>0001128</t>
  </si>
  <si>
    <t>Ümmügülsüm Yılmazerli</t>
  </si>
  <si>
    <t>487764</t>
  </si>
  <si>
    <t>Yusup Masharıpov</t>
  </si>
  <si>
    <t>486696</t>
  </si>
  <si>
    <t>Zekiye Odabaş</t>
  </si>
  <si>
    <t>487414</t>
  </si>
  <si>
    <t>Zeliha Orhan</t>
  </si>
  <si>
    <t>484739</t>
  </si>
  <si>
    <t>Zeynep Çalışır</t>
  </si>
  <si>
    <t>TEKNİK SERVİS</t>
  </si>
  <si>
    <t>484250</t>
  </si>
  <si>
    <t>Abdullah Öksüz</t>
  </si>
  <si>
    <t>486577</t>
  </si>
  <si>
    <t>Ahmet Köksal</t>
  </si>
  <si>
    <t>486060</t>
  </si>
  <si>
    <t>Ahmet Melih Birlik</t>
  </si>
  <si>
    <t>486173</t>
  </si>
  <si>
    <t>Ali Akdeniz</t>
  </si>
  <si>
    <t>483232</t>
  </si>
  <si>
    <t>Ali Aydın</t>
  </si>
  <si>
    <t>487605</t>
  </si>
  <si>
    <t>Ali Ersoy</t>
  </si>
  <si>
    <t>0001407</t>
  </si>
  <si>
    <t>Ali Osman Eren</t>
  </si>
  <si>
    <t>487591</t>
  </si>
  <si>
    <t>Arda Tuna Avcı</t>
  </si>
  <si>
    <t>486092</t>
  </si>
  <si>
    <t>Arif Çelik</t>
  </si>
  <si>
    <t>483201</t>
  </si>
  <si>
    <t>Ayhan Turkut</t>
  </si>
  <si>
    <t>487736</t>
  </si>
  <si>
    <t>Aytaç Zencirli</t>
  </si>
  <si>
    <t>484867</t>
  </si>
  <si>
    <t>Barış Aydın</t>
  </si>
  <si>
    <t>487217</t>
  </si>
  <si>
    <t>Bayram Çetin</t>
  </si>
  <si>
    <t>487092</t>
  </si>
  <si>
    <t>Cafer Gündüz</t>
  </si>
  <si>
    <t>487607</t>
  </si>
  <si>
    <t>Cengiz Arslan</t>
  </si>
  <si>
    <t>485855</t>
  </si>
  <si>
    <t>Çetin Gökçe</t>
  </si>
  <si>
    <t>487608</t>
  </si>
  <si>
    <t>Devran Yorulmaz</t>
  </si>
  <si>
    <t>487982</t>
  </si>
  <si>
    <t>Doğukan Yitim</t>
  </si>
  <si>
    <t>486445</t>
  </si>
  <si>
    <t>Erdal Menay</t>
  </si>
  <si>
    <t>487385</t>
  </si>
  <si>
    <t>Erdem Yiğit</t>
  </si>
  <si>
    <t>0001434</t>
  </si>
  <si>
    <t>Erman Yanık</t>
  </si>
  <si>
    <t>486387</t>
  </si>
  <si>
    <t>Ersin Doğu</t>
  </si>
  <si>
    <t>485816</t>
  </si>
  <si>
    <t>Fahri Karakartal</t>
  </si>
  <si>
    <t>487642</t>
  </si>
  <si>
    <t>Fatih Caner</t>
  </si>
  <si>
    <t>487388</t>
  </si>
  <si>
    <t>Ferhat Doğan</t>
  </si>
  <si>
    <t>0000611</t>
  </si>
  <si>
    <t>Gökhan Bilgin</t>
  </si>
  <si>
    <t>483803</t>
  </si>
  <si>
    <t>Gül Yıldırım</t>
  </si>
  <si>
    <t>487486</t>
  </si>
  <si>
    <t>Hasan Altın</t>
  </si>
  <si>
    <t>483095</t>
  </si>
  <si>
    <t>İbrahim Akkuş</t>
  </si>
  <si>
    <t>487314</t>
  </si>
  <si>
    <t>İbrahim Alp Bozkurt</t>
  </si>
  <si>
    <t>487657</t>
  </si>
  <si>
    <t>485576</t>
  </si>
  <si>
    <t>Mahir Türkmen</t>
  </si>
  <si>
    <t>484576</t>
  </si>
  <si>
    <t>Mehmet Emir Ömer Ulutan</t>
  </si>
  <si>
    <t>0002712</t>
  </si>
  <si>
    <t>Muhammet Gümüş</t>
  </si>
  <si>
    <t>0002268</t>
  </si>
  <si>
    <t>Murat Pınar</t>
  </si>
  <si>
    <t>0002192</t>
  </si>
  <si>
    <t>Mustafa Demir</t>
  </si>
  <si>
    <t>487613</t>
  </si>
  <si>
    <t>Mustafa Özsarı</t>
  </si>
  <si>
    <t>487186</t>
  </si>
  <si>
    <t>Önder Çiftçi</t>
  </si>
  <si>
    <t>0000236</t>
  </si>
  <si>
    <t>Ramazan Çimen</t>
  </si>
  <si>
    <t>485860</t>
  </si>
  <si>
    <t>Salih Anlı</t>
  </si>
  <si>
    <t>484179</t>
  </si>
  <si>
    <t>Şenol Akat</t>
  </si>
  <si>
    <t>485587</t>
  </si>
  <si>
    <t>Soner Boztaş</t>
  </si>
  <si>
    <t>487678</t>
  </si>
  <si>
    <t>Süleyman Işıl</t>
  </si>
  <si>
    <t>483372</t>
  </si>
  <si>
    <t>Süleyman Kanat</t>
  </si>
  <si>
    <t>0002141</t>
  </si>
  <si>
    <t>Tekin Akçakaya</t>
  </si>
  <si>
    <t>487503</t>
  </si>
  <si>
    <t>Tunahan Gümüş</t>
  </si>
  <si>
    <t>483463</t>
  </si>
  <si>
    <t>Uğur Salar</t>
  </si>
  <si>
    <t>487418</t>
  </si>
  <si>
    <t>Ümitcan Bayrak</t>
  </si>
  <si>
    <t>487611</t>
  </si>
  <si>
    <t>Uygar Güçlü</t>
  </si>
  <si>
    <t>YİYECEK İÇECEK</t>
  </si>
  <si>
    <t>487881</t>
  </si>
  <si>
    <t>Abdussamet Açıkgöz</t>
  </si>
  <si>
    <t>487907</t>
  </si>
  <si>
    <t>Ahmet Balan</t>
  </si>
  <si>
    <t>487844</t>
  </si>
  <si>
    <t>Ahmet Enes Demirel</t>
  </si>
  <si>
    <t>487787</t>
  </si>
  <si>
    <t>Aıdaı Beıshenalıeva</t>
  </si>
  <si>
    <t>487464</t>
  </si>
  <si>
    <t>Aktılek Temırovıch Keneshov</t>
  </si>
  <si>
    <t>488042</t>
  </si>
  <si>
    <t>Ali Haydar Çakar</t>
  </si>
  <si>
    <t>486488</t>
  </si>
  <si>
    <t>Ali Onur Erbil</t>
  </si>
  <si>
    <t>487437</t>
  </si>
  <si>
    <t>Ali Yılmaz</t>
  </si>
  <si>
    <t>487936</t>
  </si>
  <si>
    <t>Arife Azra Gönül</t>
  </si>
  <si>
    <t>487735</t>
  </si>
  <si>
    <t>Arsen Akmatov</t>
  </si>
  <si>
    <t>487734</t>
  </si>
  <si>
    <t>Asadıllo Numonov</t>
  </si>
  <si>
    <t>E</t>
  </si>
  <si>
    <t>487883</t>
  </si>
  <si>
    <t>Asel Milat</t>
  </si>
  <si>
    <t>487450</t>
  </si>
  <si>
    <t>Atakan Başaran</t>
  </si>
  <si>
    <t>488053</t>
  </si>
  <si>
    <t>Atakan Görmez</t>
  </si>
  <si>
    <t>487550</t>
  </si>
  <si>
    <t>Ayşe Taşmak</t>
  </si>
  <si>
    <t>482780</t>
  </si>
  <si>
    <t>Ayten Şahin</t>
  </si>
  <si>
    <t>487593</t>
  </si>
  <si>
    <t>Aytuğ Avcı</t>
  </si>
  <si>
    <t>487175</t>
  </si>
  <si>
    <t>Aziz Öztürk</t>
  </si>
  <si>
    <t>487276</t>
  </si>
  <si>
    <t>Azız Sunnat</t>
  </si>
  <si>
    <t>487888</t>
  </si>
  <si>
    <t>Aziz Yiğit Yücesan</t>
  </si>
  <si>
    <t>0000789</t>
  </si>
  <si>
    <t>Bahaddin Kınacı</t>
  </si>
  <si>
    <t>482659</t>
  </si>
  <si>
    <t>Bahriye Tekin</t>
  </si>
  <si>
    <t>487733</t>
  </si>
  <si>
    <t>Barış Belli</t>
  </si>
  <si>
    <t>487777</t>
  </si>
  <si>
    <t>Batuhan Acar</t>
  </si>
  <si>
    <t>487848</t>
  </si>
  <si>
    <t>Bedrana Rümeysa Aras</t>
  </si>
  <si>
    <t>487861</t>
  </si>
  <si>
    <t>Betül Danacı</t>
  </si>
  <si>
    <t>487425</t>
  </si>
  <si>
    <t>Beyza Aynur</t>
  </si>
  <si>
    <t>488040</t>
  </si>
  <si>
    <t>Büşra Atay</t>
  </si>
  <si>
    <t>487969</t>
  </si>
  <si>
    <t>Büşra Bozkurt</t>
  </si>
  <si>
    <t>487038</t>
  </si>
  <si>
    <t>Çağdaş Bulut</t>
  </si>
  <si>
    <t>487867</t>
  </si>
  <si>
    <t>Cansu Akyol</t>
  </si>
  <si>
    <t>487862</t>
  </si>
  <si>
    <t>Cengizhan Tüfekçioğlu</t>
  </si>
  <si>
    <t>486512</t>
  </si>
  <si>
    <t>Cengizhan Yerli</t>
  </si>
  <si>
    <t>487759</t>
  </si>
  <si>
    <t>Davlatkhuja Nurıddınov</t>
  </si>
  <si>
    <t>484042</t>
  </si>
  <si>
    <t>Deniz Ulaş Örten</t>
  </si>
  <si>
    <t>487919</t>
  </si>
  <si>
    <t>Dilanur Demir</t>
  </si>
  <si>
    <t>487817</t>
  </si>
  <si>
    <t>Dıyorbek Numonov</t>
  </si>
  <si>
    <t>487443</t>
  </si>
  <si>
    <t>Ece Palta</t>
  </si>
  <si>
    <t>485535</t>
  </si>
  <si>
    <t>Eda Herek</t>
  </si>
  <si>
    <t>488036</t>
  </si>
  <si>
    <t>Eda Sarıtaş</t>
  </si>
  <si>
    <t>487898</t>
  </si>
  <si>
    <t>Ege Coşkuner</t>
  </si>
  <si>
    <t>487810</t>
  </si>
  <si>
    <t>Egehan Özen</t>
  </si>
  <si>
    <t>487951</t>
  </si>
  <si>
    <t>Ela Nisa Tumanbey</t>
  </si>
  <si>
    <t>487478</t>
  </si>
  <si>
    <t>Elif İbişoğlu</t>
  </si>
  <si>
    <t>487923</t>
  </si>
  <si>
    <t>Elif Tuana Olgun</t>
  </si>
  <si>
    <t>487778</t>
  </si>
  <si>
    <t>Elif Tuba Ünlü</t>
  </si>
  <si>
    <t>487465</t>
  </si>
  <si>
    <t>Elmır Bakytbek Uulu</t>
  </si>
  <si>
    <t>486108</t>
  </si>
  <si>
    <t>Emre Aydınlı</t>
  </si>
  <si>
    <t>487664</t>
  </si>
  <si>
    <t>Emre Gümüş</t>
  </si>
  <si>
    <t>488017</t>
  </si>
  <si>
    <t>Enes Arı</t>
  </si>
  <si>
    <t>487717</t>
  </si>
  <si>
    <t>Eray Genç</t>
  </si>
  <si>
    <t>0000434</t>
  </si>
  <si>
    <t>Eray Gün</t>
  </si>
  <si>
    <t>488033</t>
  </si>
  <si>
    <t>Eren Küley</t>
  </si>
  <si>
    <t>487908</t>
  </si>
  <si>
    <t>Ertuğrul Küpeli</t>
  </si>
  <si>
    <t>487967</t>
  </si>
  <si>
    <t>Fatma Begüm Güneş</t>
  </si>
  <si>
    <t>0002648</t>
  </si>
  <si>
    <t>Fatma Güven</t>
  </si>
  <si>
    <t>483722</t>
  </si>
  <si>
    <t>Fatma Kızılhan</t>
  </si>
  <si>
    <t>484358</t>
  </si>
  <si>
    <t>Furkan Tunç</t>
  </si>
  <si>
    <t>488037</t>
  </si>
  <si>
    <t>Furkan Yiğit Burhan</t>
  </si>
  <si>
    <t>488045</t>
  </si>
  <si>
    <t>Gökdeniz Mutlu</t>
  </si>
  <si>
    <t>487849</t>
  </si>
  <si>
    <t>Gülnaz Güngör</t>
  </si>
  <si>
    <t>487294</t>
  </si>
  <si>
    <t>Gülşen Demirer</t>
  </si>
  <si>
    <t>486547</t>
  </si>
  <si>
    <t>Güngör Gümüş</t>
  </si>
  <si>
    <t>487673</t>
  </si>
  <si>
    <t>Gurbet Çetin</t>
  </si>
  <si>
    <t>487811</t>
  </si>
  <si>
    <t>Hafize Yıldırım</t>
  </si>
  <si>
    <t>487989</t>
  </si>
  <si>
    <t>Halil İlhan</t>
  </si>
  <si>
    <t>487992</t>
  </si>
  <si>
    <t>Halit Özdemir</t>
  </si>
  <si>
    <t>487886</t>
  </si>
  <si>
    <t>Hamdi Emir Aslan</t>
  </si>
  <si>
    <t>485894</t>
  </si>
  <si>
    <t>Hüseyin Aydın</t>
  </si>
  <si>
    <t>488003</t>
  </si>
  <si>
    <t>Hüseyin Durak</t>
  </si>
  <si>
    <t>0001552</t>
  </si>
  <si>
    <t>Hüseyin Katıkaya</t>
  </si>
  <si>
    <t>487710</t>
  </si>
  <si>
    <t>Ikboljon Shokırov</t>
  </si>
  <si>
    <t>487959</t>
  </si>
  <si>
    <t>İlayda Nur Baydar</t>
  </si>
  <si>
    <t>487799</t>
  </si>
  <si>
    <t>İlkay Aloğlu</t>
  </si>
  <si>
    <t>487930</t>
  </si>
  <si>
    <t>İpek Yıldız</t>
  </si>
  <si>
    <t>487807</t>
  </si>
  <si>
    <t>Işıl Buket Yaman</t>
  </si>
  <si>
    <t>487715</t>
  </si>
  <si>
    <t>Ismoıljon Nabıjonov</t>
  </si>
  <si>
    <t>487933</t>
  </si>
  <si>
    <t>Kader Demirayak</t>
  </si>
  <si>
    <t>487782</t>
  </si>
  <si>
    <t>Kaırat Taalaıbekov Kamchybekov</t>
  </si>
  <si>
    <t>487806</t>
  </si>
  <si>
    <t>Kaya Dipdağ</t>
  </si>
  <si>
    <t>488043</t>
  </si>
  <si>
    <t>Kıvanç Açıl</t>
  </si>
  <si>
    <t>486638</t>
  </si>
  <si>
    <t>Mehmet Düzce</t>
  </si>
  <si>
    <t>485845</t>
  </si>
  <si>
    <t>Mehmet Gümüş</t>
  </si>
  <si>
    <t>488046</t>
  </si>
  <si>
    <t>Mehmet Kayra İncili</t>
  </si>
  <si>
    <t>487906</t>
  </si>
  <si>
    <t>Mehmet Koç</t>
  </si>
  <si>
    <t>487812</t>
  </si>
  <si>
    <t>Mehmet Latif Ataş</t>
  </si>
  <si>
    <t>487963</t>
  </si>
  <si>
    <t>Melda Binektaş</t>
  </si>
  <si>
    <t>486623</t>
  </si>
  <si>
    <t>Melih Can Güçlü</t>
  </si>
  <si>
    <t>488041</t>
  </si>
  <si>
    <t>Mert Ali Öksüzoğlu</t>
  </si>
  <si>
    <t>487899</t>
  </si>
  <si>
    <t>Mert Ali Özsoy</t>
  </si>
  <si>
    <t>487894</t>
  </si>
  <si>
    <t>Mert Can Güven</t>
  </si>
  <si>
    <t>488035</t>
  </si>
  <si>
    <t>Mesut Öğet</t>
  </si>
  <si>
    <t>485905</t>
  </si>
  <si>
    <t>Muhammed Furkan Tekir</t>
  </si>
  <si>
    <t>487713</t>
  </si>
  <si>
    <t>Mukhammadkodır Yunusalıev</t>
  </si>
  <si>
    <t>485158</t>
  </si>
  <si>
    <t>Murat Bal</t>
  </si>
  <si>
    <t>487164</t>
  </si>
  <si>
    <t>Murat Kılıç</t>
  </si>
  <si>
    <t>487684</t>
  </si>
  <si>
    <t>Mushtarı Jakbarova</t>
  </si>
  <si>
    <t>487927</t>
  </si>
  <si>
    <t>Mustafa Çimen</t>
  </si>
  <si>
    <t>483076</t>
  </si>
  <si>
    <t>Mustafa Levent Güripek</t>
  </si>
  <si>
    <t>0002299</t>
  </si>
  <si>
    <t>Mustafa Turan</t>
  </si>
  <si>
    <t>486597</t>
  </si>
  <si>
    <t>Muzaffer Soylu</t>
  </si>
  <si>
    <t>487753</t>
  </si>
  <si>
    <t>Nazırjon Yusufjanov</t>
  </si>
  <si>
    <t>487728</t>
  </si>
  <si>
    <t>Nazlı Yıldız</t>
  </si>
  <si>
    <t>486186</t>
  </si>
  <si>
    <t>Nazlıcan Acar</t>
  </si>
  <si>
    <t>483493</t>
  </si>
  <si>
    <t>Necla Arslan</t>
  </si>
  <si>
    <t>487909</t>
  </si>
  <si>
    <t>Nehir Ersoy</t>
  </si>
  <si>
    <t>487918</t>
  </si>
  <si>
    <t>Nesrin Sarı</t>
  </si>
  <si>
    <t>486639</t>
  </si>
  <si>
    <t>Nihal Gönül</t>
  </si>
  <si>
    <t>487986</t>
  </si>
  <si>
    <t>Nisa Nur Dilsiz</t>
  </si>
  <si>
    <t>484181</t>
  </si>
  <si>
    <t>Niyazi Çelik</t>
  </si>
  <si>
    <t>0002217</t>
  </si>
  <si>
    <t>Nuri Yılmaz</t>
  </si>
  <si>
    <t>0001068</t>
  </si>
  <si>
    <t>Okan Topcu</t>
  </si>
  <si>
    <t>487197</t>
  </si>
  <si>
    <t>Ömer Atsever</t>
  </si>
  <si>
    <t>485952</t>
  </si>
  <si>
    <t>Ömür Akın</t>
  </si>
  <si>
    <t>486671</t>
  </si>
  <si>
    <t>Özer Gün</t>
  </si>
  <si>
    <t>487938</t>
  </si>
  <si>
    <t>Özgür Güngür</t>
  </si>
  <si>
    <t>487789</t>
  </si>
  <si>
    <t>Ozodbek Mamadalıev</t>
  </si>
  <si>
    <t>487663</t>
  </si>
  <si>
    <t>Radmaıl Alıyev</t>
  </si>
  <si>
    <t>484865</t>
  </si>
  <si>
    <t>Rıdvan Doğaç</t>
  </si>
  <si>
    <t>487729</t>
  </si>
  <si>
    <t>Rıfat Ersin</t>
  </si>
  <si>
    <t>487679</t>
  </si>
  <si>
    <t>Roman Kulıkov</t>
  </si>
  <si>
    <t>484635</t>
  </si>
  <si>
    <t>Şaban Açıkgöz</t>
  </si>
  <si>
    <t>488004</t>
  </si>
  <si>
    <t>Sadıkcem Uyar</t>
  </si>
  <si>
    <t>488010</t>
  </si>
  <si>
    <t>Said Efe Gökçimen</t>
  </si>
  <si>
    <t>482730</t>
  </si>
  <si>
    <t>Selin Avşar</t>
  </si>
  <si>
    <t>487289</t>
  </si>
  <si>
    <t>Semra Gönül</t>
  </si>
  <si>
    <t>0001502</t>
  </si>
  <si>
    <t>Şenel Yıldız</t>
  </si>
  <si>
    <t>487786</t>
  </si>
  <si>
    <t>Sezımaı Sydygalıev Imanova</t>
  </si>
  <si>
    <t>482586</t>
  </si>
  <si>
    <t>Sibel Demir</t>
  </si>
  <si>
    <t>487761</t>
  </si>
  <si>
    <t>Sude Ayhan</t>
  </si>
  <si>
    <t>487098</t>
  </si>
  <si>
    <t>Şule Çeber</t>
  </si>
  <si>
    <t>487788</t>
  </si>
  <si>
    <t>Syımyk Dosanov</t>
  </si>
  <si>
    <t>483874</t>
  </si>
  <si>
    <t>Tolga Şener</t>
  </si>
  <si>
    <t>487966</t>
  </si>
  <si>
    <t>Toprak Fun</t>
  </si>
  <si>
    <t>487921</t>
  </si>
  <si>
    <t>Tuana Raziye Gönül</t>
  </si>
  <si>
    <t>487924</t>
  </si>
  <si>
    <t>Tuana Zehra Tezgah</t>
  </si>
  <si>
    <t>487853</t>
  </si>
  <si>
    <t>Tuğçe Bobi</t>
  </si>
  <si>
    <t>486490</t>
  </si>
  <si>
    <t>Tuğçe Demirer Çetingül</t>
  </si>
  <si>
    <t>484847</t>
  </si>
  <si>
    <t>Tuncay Has</t>
  </si>
  <si>
    <t>483414</t>
  </si>
  <si>
    <t>Uğur Bulut</t>
  </si>
  <si>
    <t>487790</t>
  </si>
  <si>
    <t>Ulugbek Ibrokhımov</t>
  </si>
  <si>
    <t>488022</t>
  </si>
  <si>
    <t>Vedat Özdemir</t>
  </si>
  <si>
    <t>487809</t>
  </si>
  <si>
    <t>Yağmur Doğan</t>
  </si>
  <si>
    <t>482721</t>
  </si>
  <si>
    <t>Yalçın Gün</t>
  </si>
  <si>
    <t>487808</t>
  </si>
  <si>
    <t>Yıldız Şevval Sondoğan</t>
  </si>
  <si>
    <t>487104</t>
  </si>
  <si>
    <t>Yüksel Demirtaş</t>
  </si>
  <si>
    <t>487950</t>
  </si>
  <si>
    <t>Yusuf Düzce</t>
  </si>
  <si>
    <t>486944</t>
  </si>
  <si>
    <t>Yusuf İz</t>
  </si>
  <si>
    <t>488005</t>
  </si>
  <si>
    <t>Zeynep Nur Manav</t>
  </si>
  <si>
    <t>487985</t>
  </si>
  <si>
    <t>Zorbey İlhan</t>
  </si>
  <si>
    <t>YİYECEK İÇECEK-BAR</t>
  </si>
  <si>
    <t>487447</t>
  </si>
  <si>
    <t>Abdulrahim Hüseyinoğlu</t>
  </si>
  <si>
    <t>488032</t>
  </si>
  <si>
    <t>Agitşer İlan</t>
  </si>
  <si>
    <t>487155</t>
  </si>
  <si>
    <t>Ahmet Al</t>
  </si>
  <si>
    <t>487928</t>
  </si>
  <si>
    <t>Ahmet Furkan Zeber</t>
  </si>
  <si>
    <t>487680</t>
  </si>
  <si>
    <t>Aleyna Kulikov</t>
  </si>
  <si>
    <t>487743</t>
  </si>
  <si>
    <t>Aleyna Temel</t>
  </si>
  <si>
    <t>487803</t>
  </si>
  <si>
    <t>Ali Eren Kayış</t>
  </si>
  <si>
    <t>487878</t>
  </si>
  <si>
    <t>487781</t>
  </si>
  <si>
    <t>Asylbek Almazbekov Asanov</t>
  </si>
  <si>
    <t>488013</t>
  </si>
  <si>
    <t>Aziz Polat</t>
  </si>
  <si>
    <t>487586</t>
  </si>
  <si>
    <t>Bahar Mina Doğan</t>
  </si>
  <si>
    <t>487864</t>
  </si>
  <si>
    <t>Bahattin Efe Can</t>
  </si>
  <si>
    <t>487298</t>
  </si>
  <si>
    <t>Batuhan Kırmızı</t>
  </si>
  <si>
    <t>487352</t>
  </si>
  <si>
    <t>Bayram Akgül</t>
  </si>
  <si>
    <t>487965</t>
  </si>
  <si>
    <t>Bedirhan Tanış</t>
  </si>
  <si>
    <t>487876</t>
  </si>
  <si>
    <t>Bengisu Turbalıoğlu</t>
  </si>
  <si>
    <t>486854</t>
  </si>
  <si>
    <t>Berat Farız</t>
  </si>
  <si>
    <t>488027</t>
  </si>
  <si>
    <t>Berk Özçellik</t>
  </si>
  <si>
    <t>488023</t>
  </si>
  <si>
    <t>Berna Kuyru</t>
  </si>
  <si>
    <t>487630</t>
  </si>
  <si>
    <t>Burak Akkuş</t>
  </si>
  <si>
    <t>488020</t>
  </si>
  <si>
    <t>Caner Çıvak</t>
  </si>
  <si>
    <t>487887</t>
  </si>
  <si>
    <t>Caner Dalgıç</t>
  </si>
  <si>
    <t>487060</t>
  </si>
  <si>
    <t>Ceyda Ceren Akarsu</t>
  </si>
  <si>
    <t>487837</t>
  </si>
  <si>
    <t>Damla Nur Doğan</t>
  </si>
  <si>
    <t>487587</t>
  </si>
  <si>
    <t>Dilem Ağrıtmış</t>
  </si>
  <si>
    <t>486492</t>
  </si>
  <si>
    <t>Duygu Köse</t>
  </si>
  <si>
    <t>488021</t>
  </si>
  <si>
    <t>Ebru Şeyda Biçiçi</t>
  </si>
  <si>
    <t>487873</t>
  </si>
  <si>
    <t>Ebubekir Tekdemir</t>
  </si>
  <si>
    <t>487854</t>
  </si>
  <si>
    <t>Emin Şimşek</t>
  </si>
  <si>
    <t>487994</t>
  </si>
  <si>
    <t>Emine Doğan</t>
  </si>
  <si>
    <t>485710</t>
  </si>
  <si>
    <t>Esra Çelik</t>
  </si>
  <si>
    <t>485172</t>
  </si>
  <si>
    <t>Fatma Cansu Sarıtaş</t>
  </si>
  <si>
    <t>485907</t>
  </si>
  <si>
    <t>Ferdane Doğan</t>
  </si>
  <si>
    <t>487292</t>
  </si>
  <si>
    <t>Ferhat Tunğ</t>
  </si>
  <si>
    <t>487658</t>
  </si>
  <si>
    <t>Fırat Altunkeser</t>
  </si>
  <si>
    <t>0002106</t>
  </si>
  <si>
    <t>Fulden Doğan</t>
  </si>
  <si>
    <t>487917</t>
  </si>
  <si>
    <t>Gökçe Güven</t>
  </si>
  <si>
    <t>486517</t>
  </si>
  <si>
    <t>Gökçer Mollaş</t>
  </si>
  <si>
    <t>487584</t>
  </si>
  <si>
    <t>Hacer Kübra Yılmaz</t>
  </si>
  <si>
    <t>487920</t>
  </si>
  <si>
    <t>Hasan Altun</t>
  </si>
  <si>
    <t>487865</t>
  </si>
  <si>
    <t>Hüseyin Buğra Kılıç</t>
  </si>
  <si>
    <t>487841</t>
  </si>
  <si>
    <t>Hüseyin Burak Kılıç</t>
  </si>
  <si>
    <t>486684</t>
  </si>
  <si>
    <t>İbrahim Altan</t>
  </si>
  <si>
    <t>487978</t>
  </si>
  <si>
    <t>İbrahim Halil Karabaş</t>
  </si>
  <si>
    <t>488039</t>
  </si>
  <si>
    <t>İbrahim Lalou</t>
  </si>
  <si>
    <t>487802</t>
  </si>
  <si>
    <t>İlgi Diren Çıvgın</t>
  </si>
  <si>
    <t>485998</t>
  </si>
  <si>
    <t>İlkay Durmuş</t>
  </si>
  <si>
    <t>487712</t>
  </si>
  <si>
    <t>Javokhır Ashuralıev</t>
  </si>
  <si>
    <t>487727</t>
  </si>
  <si>
    <t>Kaan Turan</t>
  </si>
  <si>
    <t>487193</t>
  </si>
  <si>
    <t>Kaan Yıldırım</t>
  </si>
  <si>
    <t>485687</t>
  </si>
  <si>
    <t>Kasım Sakarya</t>
  </si>
  <si>
    <t>485089</t>
  </si>
  <si>
    <t>Marziye Şahin</t>
  </si>
  <si>
    <t>487509</t>
  </si>
  <si>
    <t>Mehmet Ali Yavuz</t>
  </si>
  <si>
    <t>487952</t>
  </si>
  <si>
    <t>487801</t>
  </si>
  <si>
    <t>Murat Çelik</t>
  </si>
  <si>
    <t>486565</t>
  </si>
  <si>
    <t>Murat Kuru</t>
  </si>
  <si>
    <t>484831</t>
  </si>
  <si>
    <t>Nazan Şenyurt</t>
  </si>
  <si>
    <t>487889</t>
  </si>
  <si>
    <t>Nehir Köse</t>
  </si>
  <si>
    <t>487718</t>
  </si>
  <si>
    <t>Nilay Küçük</t>
  </si>
  <si>
    <t>487716</t>
  </si>
  <si>
    <t>Nurbakyt Token</t>
  </si>
  <si>
    <t>488014</t>
  </si>
  <si>
    <t>Nuri Çetin</t>
  </si>
  <si>
    <t>488006</t>
  </si>
  <si>
    <t>Ömer Çağan Bayraktaroğlu</t>
  </si>
  <si>
    <t>487643</t>
  </si>
  <si>
    <t>Ömer Özşimşek</t>
  </si>
  <si>
    <t>487968</t>
  </si>
  <si>
    <t>Ozan Toprak Yurtören</t>
  </si>
  <si>
    <t>485858</t>
  </si>
  <si>
    <t>Özgür Uyar</t>
  </si>
  <si>
    <t>487756</t>
  </si>
  <si>
    <t>Pınar Ebru Gökmen</t>
  </si>
  <si>
    <t>485864</t>
  </si>
  <si>
    <t>Sabahattin Özekinci</t>
  </si>
  <si>
    <t>487835</t>
  </si>
  <si>
    <t>Sadullah Efe Korkmaz</t>
  </si>
  <si>
    <t>487874</t>
  </si>
  <si>
    <t>Salih Denizer</t>
  </si>
  <si>
    <t>487751</t>
  </si>
  <si>
    <t>Samet Karabacak</t>
  </si>
  <si>
    <t>486710</t>
  </si>
  <si>
    <t>Savaş Gündüz</t>
  </si>
  <si>
    <t>487979</t>
  </si>
  <si>
    <t>Sefa Mendeş</t>
  </si>
  <si>
    <t>487964</t>
  </si>
  <si>
    <t>Seher Elçin</t>
  </si>
  <si>
    <t>487776</t>
  </si>
  <si>
    <t>Selma Sevgiç</t>
  </si>
  <si>
    <t>488044</t>
  </si>
  <si>
    <t>Sermet Barış Duman</t>
  </si>
  <si>
    <t>487941</t>
  </si>
  <si>
    <t>Sılanaz Cengiz</t>
  </si>
  <si>
    <t>487890</t>
  </si>
  <si>
    <t>Simgenur Gıvcı</t>
  </si>
  <si>
    <t>487166</t>
  </si>
  <si>
    <t>Sinan Kepir</t>
  </si>
  <si>
    <t>488015</t>
  </si>
  <si>
    <t>Sudenaz Tığlı</t>
  </si>
  <si>
    <t>487191</t>
  </si>
  <si>
    <t>Süleyman Çelik</t>
  </si>
  <si>
    <t>487820</t>
  </si>
  <si>
    <t>Süleyman Ege Gökkaya</t>
  </si>
  <si>
    <t>486500</t>
  </si>
  <si>
    <t>Taner Dalkılıç</t>
  </si>
  <si>
    <t>487954</t>
  </si>
  <si>
    <t>Yağmur Özen</t>
  </si>
  <si>
    <t>485030</t>
  </si>
  <si>
    <t>Yavuz Mehmet Kayhan</t>
  </si>
  <si>
    <t>486252</t>
  </si>
  <si>
    <t>Yunus Afşin Yıldırım</t>
  </si>
  <si>
    <t>487940</t>
  </si>
  <si>
    <t>Yunus Emre Alemdar</t>
  </si>
  <si>
    <t>487925</t>
  </si>
  <si>
    <t>Yuşa Soyaslan</t>
  </si>
  <si>
    <t>487805</t>
  </si>
  <si>
    <t>Yusuf Filiz</t>
  </si>
  <si>
    <t>486491</t>
  </si>
  <si>
    <t>Yusuf Köse</t>
  </si>
  <si>
    <t>487934</t>
  </si>
  <si>
    <t>Zehra Deniz Göçer</t>
  </si>
  <si>
    <t>487305</t>
  </si>
  <si>
    <t>Zeynep Ceren Doğan</t>
  </si>
  <si>
    <t>Departman Müdürünün İsmi / İmzası :</t>
  </si>
  <si>
    <t>İnsan Kaynakları Müdürü:</t>
  </si>
  <si>
    <t>A:</t>
  </si>
  <si>
    <t>08:00 - 16:00</t>
  </si>
  <si>
    <t>B:</t>
  </si>
  <si>
    <t>16:00 - 00:00</t>
  </si>
  <si>
    <t>C:</t>
  </si>
  <si>
    <t>24:00 - 08:00</t>
  </si>
  <si>
    <t>D:</t>
  </si>
  <si>
    <t>14:00 - 22:00</t>
  </si>
  <si>
    <t>E:</t>
  </si>
  <si>
    <t>18:00 - 02:00</t>
  </si>
  <si>
    <t>F:</t>
  </si>
  <si>
    <t>12:00 - 20:00</t>
  </si>
  <si>
    <t>M:</t>
  </si>
  <si>
    <t>09:00-17:00</t>
  </si>
  <si>
    <t>G:</t>
  </si>
  <si>
    <t>Görevli</t>
  </si>
  <si>
    <t>O:</t>
  </si>
  <si>
    <t>Haftalık İzin</t>
  </si>
  <si>
    <t>Y:</t>
  </si>
  <si>
    <t>Ü:</t>
  </si>
  <si>
    <t>Ö:</t>
  </si>
  <si>
    <t>Ödenen İzin</t>
  </si>
  <si>
    <t>AB:</t>
  </si>
  <si>
    <t>Antraklı Çalışma</t>
  </si>
  <si>
    <t>ÇRT:</t>
  </si>
  <si>
    <t>Çalışan Resmi Tatil Günü</t>
  </si>
  <si>
    <t>RT:</t>
  </si>
  <si>
    <t>Resmi Tatil</t>
  </si>
  <si>
    <t>DV:</t>
  </si>
  <si>
    <t>R:</t>
  </si>
  <si>
    <t>T:</t>
  </si>
  <si>
    <t>Telafi İzni</t>
  </si>
  <si>
    <t>ÇHT:</t>
  </si>
  <si>
    <t>Çalışılan Hafta Tatil Günü</t>
  </si>
  <si>
    <t>Yayın Tarihi : 28.03.2010</t>
  </si>
  <si>
    <t>Doküman No: FR/ HR/ 009</t>
  </si>
  <si>
    <t>Revizyon Numarası/ Tarihi 06/ 02.08.2024</t>
  </si>
  <si>
    <t>Revizyon Numarası</t>
  </si>
  <si>
    <t>Tarih</t>
  </si>
  <si>
    <t>Revizyonun özeti</t>
  </si>
  <si>
    <t>Geliştiren</t>
  </si>
  <si>
    <t>00</t>
  </si>
  <si>
    <t>Yeni doküman</t>
  </si>
  <si>
    <t>Kalite ve Eğitim Dept.</t>
  </si>
  <si>
    <t>01</t>
  </si>
  <si>
    <t>Formatı Değiştirildi</t>
  </si>
  <si>
    <t>Toplam Kalite Dept.</t>
  </si>
  <si>
    <t>02</t>
  </si>
  <si>
    <t>Formda değişiklikler yapıldı.</t>
  </si>
  <si>
    <t>03</t>
  </si>
  <si>
    <t>Fazla mesai sütunu eklendi</t>
  </si>
  <si>
    <t>İK ve Eğitim Dept.</t>
  </si>
  <si>
    <t>04</t>
  </si>
  <si>
    <t>Yeniden Düzenlendi.</t>
  </si>
  <si>
    <t>İnsan Kaynakları Dept.</t>
  </si>
  <si>
    <t>05</t>
  </si>
  <si>
    <t>Normal çalışma ve Fazla çalışma birlikte eklendi.</t>
  </si>
  <si>
    <t>06</t>
  </si>
  <si>
    <t>F vardiyası eklendi. Antraklı çalışma eklendi.</t>
  </si>
  <si>
    <t>Hazırlayan / Geliştiren :</t>
  </si>
  <si>
    <t>Rukiye GÖKSU / İK ve Eğitim Müdürü</t>
  </si>
  <si>
    <t>Sistem Onayı:</t>
  </si>
  <si>
    <t>Nurel GÜNEYLİOĞLU / Yönetim Temsilcisi</t>
  </si>
  <si>
    <r>
      <t>Onay:</t>
    </r>
    <r>
      <rPr>
        <charset val="162"/>
        <color indexed="8"/>
        <family val="2"/>
        <sz val="10"/>
        <rFont val="Tahoma"/>
      </rPr>
      <t xml:space="preserve"> Ümit ATALAY / Genel Müdür</t>
    </r>
  </si>
  <si>
    <r>
      <t xml:space="preserve">Tarih: </t>
    </r>
    <r>
      <rPr>
        <charset val="162"/>
        <color indexed="8"/>
        <family val="2"/>
        <sz val="10"/>
        <rFont val="Tahoma"/>
      </rPr>
      <t>02</t>
    </r>
    <r>
      <rPr>
        <charset val="162"/>
        <color indexed="8"/>
        <family val="2"/>
        <sz val="10"/>
        <rFont val="Tahoma"/>
      </rPr>
      <t>.08.2024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</si>
</sst>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mm yyyy"/>
  </numFmts>
  <fonts count="20" x14ac:knownFonts="1">
    <font>
      <color theme="1"/>
      <family val="2"/>
      <scheme val="minor"/>
      <sz val="11"/>
      <name val="Calibri"/>
    </font>
    <font>
      <charset val="162"/>
      <family val="2"/>
      <sz val="10"/>
      <name val="Arial"/>
    </font>
    <font>
      <charset val="162"/>
      <color theme="1"/>
      <family val="2"/>
      <sz val="10"/>
      <name val="Tahoma"/>
    </font>
    <font>
      <b/>
      <charset val="162"/>
      <color theme="1"/>
      <family val="2"/>
      <sz val="11"/>
      <name val="Tahoma"/>
    </font>
    <font>
      <charset val="162"/>
      <color theme="1" tint="0.1499984740745262"/>
      <family val="2"/>
      <sz val="10"/>
      <name val="Tahoma"/>
    </font>
    <font>
      <b/>
      <charset val="162"/>
      <family val="2"/>
      <sz val="18"/>
      <name val="Tahoma"/>
    </font>
    <font>
      <b/>
      <charset val="162"/>
      <family val="2"/>
      <sz val="12"/>
      <name val="Tahoma"/>
    </font>
    <font>
      <charset val="162"/>
      <family val="2"/>
      <sz val="12"/>
      <name val="Tahoma"/>
    </font>
    <font>
      <charset val="162"/>
      <family val="2"/>
      <sz val="10"/>
      <name val="Tahoma"/>
    </font>
    <font>
      <charset val="162"/>
      <family val="2"/>
      <sz val="8"/>
      <name val="Tahoma"/>
    </font>
    <font>
      <charset val="162"/>
      <color indexed="10"/>
      <family val="2"/>
      <sz val="10"/>
      <name val="Tahoma"/>
    </font>
    <font>
      <b/>
      <charset val="162"/>
      <family val="2"/>
      <sz val="10"/>
      <name val="Tahoma"/>
    </font>
    <font>
      <b/>
      <charset val="162"/>
      <color theme="1" tint="0.1499984740745262"/>
      <family val="2"/>
      <sz val="10"/>
      <name val="Tahoma"/>
    </font>
    <font>
      <charset val="162"/>
      <family val="2"/>
      <sz val="11"/>
      <name val="Tahoma"/>
    </font>
    <font>
      <charset val="162"/>
      <color rgb="FFFF0000"/>
      <family val="2"/>
      <sz val="10"/>
      <name val="Arial"/>
    </font>
    <font>
      <b/>
    </font>
    <font>
      <b/>
      <charset val="162"/>
      <family val="2"/>
      <sz val="10"/>
      <name val="Arial"/>
    </font>
    <font>
      <charset val="162"/>
      <family val="2"/>
      <sz val="12"/>
      <name val="Arial"/>
    </font>
    <font>
      <charset val="162"/>
      <sz val="10"/>
      <name val="Arial"/>
    </font>
    <font>
      <b/>
      <charset val="162"/>
      <color theme="1"/>
      <family val="2"/>
      <sz val="10"/>
      <name val="Tahoma"/>
    </font>
  </fonts>
  <fills count="4">
    <fill>
      <patternFill patternType="none"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404040"/>
      </left>
      <right style="thin">
        <color rgb="404040"/>
      </right>
      <top style="thin">
        <color rgb="404040"/>
      </top>
      <bottom style="thin">
        <color rgb="404040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4" fillId="0" borderId="1" xfId="0" applyFont="1" applyBorder="1" applyAlignment="1">
      <alignment horizontal="center" wrapText="1"/>
    </xf>
    <xf numFmtId="0" fontId="2" fillId="0" borderId="2" xfId="0" applyFont="1" applyBorder="1"/>
    <xf numFmtId="0" fontId="2" fillId="0" borderId="2" xfId="0" applyFont="1" applyBorder="1" applyAlignment="1">
      <alignment horizontal="right"/>
    </xf>
    <xf numFmtId="0" fontId="4" fillId="0" borderId="2" xfId="0" applyFont="1" applyBorder="1" applyAlignment="1">
      <alignment horizontal="center" wrapText="1"/>
    </xf>
    <xf numFmtId="0" fontId="5" fillId="2" borderId="0" xfId="0" applyFont="1" applyFill="1" applyAlignment="1">
      <alignment horizontal="center"/>
    </xf>
    <xf numFmtId="0" fontId="1" fillId="0" borderId="3" xfId="0" applyFont="1" applyBorder="1"/>
    <xf numFmtId="0" fontId="1" fillId="0" borderId="1" xfId="0" applyFont="1" applyBorder="1"/>
    <xf numFmtId="0" fontId="1" fillId="0" borderId="4" xfId="0" applyFont="1" applyBorder="1"/>
    <xf numFmtId="0" fontId="1" fillId="0" borderId="5" xfId="0" applyFont="1" applyBorder="1"/>
    <xf numFmtId="0" fontId="6" fillId="0" borderId="6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" fillId="0" borderId="7" xfId="0" applyFont="1" applyBorder="1" applyAlignment="1">
      <alignment vertical="center"/>
    </xf>
    <xf numFmtId="164" fontId="10" fillId="0" borderId="0" xfId="0" applyNumberFormat="1" applyFont="1" applyAlignment="1">
      <alignment vertical="center"/>
    </xf>
    <xf numFmtId="0" fontId="8" fillId="0" borderId="8" xfId="0" applyFont="1" applyBorder="1" applyAlignment="1">
      <alignment vertical="center"/>
    </xf>
    <xf numFmtId="0" fontId="11" fillId="0" borderId="9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11" xfId="0" applyFont="1" applyBorder="1"/>
    <xf numFmtId="0" fontId="8" fillId="2" borderId="12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 textRotation="90"/>
    </xf>
    <xf numFmtId="0" fontId="7" fillId="3" borderId="14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14" fillId="0" borderId="0" xfId="0" applyFont="1"/>
    <xf numFmtId="0" fontId="12" fillId="2" borderId="16" xfId="0" applyFont="1" applyFill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center" vertical="center" wrapText="1" textRotation="90"/>
    </xf>
    <xf numFmtId="0" fontId="8" fillId="2" borderId="12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 applyProtection="1">
      <alignment horizontal="center" vertical="center" wrapText="1"/>
      <protection hidden="1"/>
    </xf>
    <xf numFmtId="0" fontId="15" fillId="0" borderId="17" xfId="0" applyFont="1" applyBorder="1" applyAlignment="1">
      <alignment horizontal="center" vertical="center" wrapText="1" textRotation="90"/>
    </xf>
    <xf numFmtId="0" fontId="1" fillId="0" borderId="17" xfId="0" applyFont="1" applyBorder="1" applyAlignment="1">
      <alignment horizontal="center" vertical="center"/>
    </xf>
    <xf numFmtId="0" fontId="16" fillId="0" borderId="17" xfId="0" applyFont="1" applyBorder="1" applyAlignment="1">
      <alignment horizontal="left" vertical="top"/>
    </xf>
    <xf numFmtId="0" fontId="15" fillId="0" borderId="0" xfId="0" applyFont="1"/>
    <xf numFmtId="0" fontId="6" fillId="0" borderId="18" xfId="0" applyFont="1" applyBorder="1"/>
    <xf numFmtId="0" fontId="17" fillId="0" borderId="18" xfId="0" applyFont="1" applyBorder="1"/>
    <xf numFmtId="0" fontId="7" fillId="0" borderId="18" xfId="0" applyFont="1" applyBorder="1"/>
    <xf numFmtId="0" fontId="8" fillId="0" borderId="18" xfId="0" applyFont="1" applyBorder="1" applyAlignment="1">
      <alignment horizontal="left" indent="1"/>
    </xf>
    <xf numFmtId="0" fontId="8" fillId="0" borderId="1" xfId="0" applyFont="1" applyBorder="1"/>
    <xf numFmtId="0" fontId="7" fillId="0" borderId="1" xfId="0" applyFont="1" applyBorder="1" applyAlignment="1">
      <alignment horizontal="right"/>
    </xf>
    <xf numFmtId="0" fontId="8" fillId="0" borderId="19" xfId="0" applyFont="1" applyBorder="1"/>
    <xf numFmtId="0" fontId="1" fillId="0" borderId="19" xfId="0" applyFont="1" applyBorder="1"/>
    <xf numFmtId="0" fontId="8" fillId="0" borderId="19" xfId="0" applyFont="1" applyBorder="1" applyAlignment="1">
      <alignment horizontal="right"/>
    </xf>
    <xf numFmtId="0" fontId="8" fillId="0" borderId="2" xfId="0" applyFont="1" applyBorder="1"/>
    <xf numFmtId="0" fontId="7" fillId="0" borderId="2" xfId="0" applyFont="1" applyBorder="1" applyAlignment="1">
      <alignment horizontal="right"/>
    </xf>
    <xf numFmtId="0" fontId="18" fillId="0" borderId="19" xfId="0" applyFont="1" applyBorder="1"/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49" fontId="2" fillId="0" borderId="22" xfId="0" applyNumberFormat="1" applyFont="1" applyBorder="1" applyAlignment="1">
      <alignment horizontal="center" vertical="center" wrapText="1"/>
    </xf>
    <xf numFmtId="14" fontId="2" fillId="0" borderId="22" xfId="0" applyNumberFormat="1" applyFont="1" applyBorder="1" applyAlignment="1">
      <alignment horizontal="justify" vertical="top" wrapText="1"/>
    </xf>
    <xf numFmtId="0" fontId="2" fillId="0" borderId="22" xfId="0" applyFont="1" applyBorder="1" applyAlignment="1">
      <alignment horizontal="justify" vertical="top" wrapText="1"/>
    </xf>
    <xf numFmtId="0" fontId="2" fillId="0" borderId="8" xfId="0" applyFont="1" applyBorder="1" applyAlignment="1">
      <alignment horizontal="justify" vertical="top" wrapText="1"/>
    </xf>
    <xf numFmtId="49" fontId="2" fillId="0" borderId="13" xfId="0" applyNumberFormat="1" applyFont="1" applyBorder="1" applyAlignment="1">
      <alignment horizontal="center" vertical="top" wrapText="1"/>
    </xf>
    <xf numFmtId="14" fontId="2" fillId="0" borderId="13" xfId="0" applyNumberFormat="1" applyFont="1" applyBorder="1" applyAlignment="1">
      <alignment horizontal="justify" vertical="top" wrapText="1"/>
    </xf>
    <xf numFmtId="0" fontId="2" fillId="0" borderId="13" xfId="0" applyFont="1" applyBorder="1" applyAlignment="1">
      <alignment horizontal="justify" vertical="top" wrapText="1"/>
    </xf>
    <xf numFmtId="0" fontId="2" fillId="0" borderId="5" xfId="0" applyFont="1" applyBorder="1" applyAlignment="1">
      <alignment horizontal="justify" vertical="top" wrapText="1"/>
    </xf>
    <xf numFmtId="49" fontId="2" fillId="0" borderId="12" xfId="0" applyNumberFormat="1" applyFont="1" applyBorder="1" applyAlignment="1">
      <alignment horizontal="center" vertical="top" wrapText="1"/>
    </xf>
    <xf numFmtId="14" fontId="2" fillId="0" borderId="12" xfId="0" applyNumberFormat="1" applyFont="1" applyBorder="1" applyAlignment="1">
      <alignment horizontal="justify" vertical="top" wrapText="1"/>
    </xf>
    <xf numFmtId="0" fontId="2" fillId="0" borderId="12" xfId="0" applyFont="1" applyBorder="1" applyAlignment="1">
      <alignment horizontal="justify" vertical="top" wrapText="1"/>
    </xf>
    <xf numFmtId="49" fontId="2" fillId="0" borderId="22" xfId="0" applyNumberFormat="1" applyFont="1" applyBorder="1" applyAlignment="1">
      <alignment horizontal="center" vertical="top" wrapText="1"/>
    </xf>
    <xf numFmtId="49" fontId="2" fillId="0" borderId="12" xfId="0" applyNumberFormat="1" applyFont="1" applyBorder="1" applyAlignment="1">
      <alignment horizontal="justify" vertical="top" wrapText="1"/>
    </xf>
    <xf numFmtId="0" fontId="2" fillId="0" borderId="23" xfId="0" applyFont="1" applyBorder="1" applyAlignment="1">
      <alignment horizontal="justify" vertical="top" wrapText="1"/>
    </xf>
    <xf numFmtId="49" fontId="2" fillId="0" borderId="22" xfId="0" applyNumberFormat="1" applyFont="1" applyBorder="1" applyAlignment="1">
      <alignment vertical="top" wrapText="1"/>
    </xf>
    <xf numFmtId="49" fontId="2" fillId="0" borderId="16" xfId="0" applyNumberFormat="1" applyFont="1" applyBorder="1" applyAlignment="1">
      <alignment horizontal="justify" vertical="top" wrapText="1"/>
    </xf>
    <xf numFmtId="0" fontId="2" fillId="0" borderId="16" xfId="0" applyFont="1" applyBorder="1" applyAlignment="1">
      <alignment horizontal="justify" vertical="top" wrapText="1"/>
    </xf>
    <xf numFmtId="0" fontId="2" fillId="0" borderId="11" xfId="0" applyFont="1" applyBorder="1" applyAlignment="1">
      <alignment horizontal="justify" vertical="top" wrapText="1"/>
    </xf>
    <xf numFmtId="0" fontId="19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E1762"/>
  <sheetViews>
    <sheetView workbookViewId="0" showGridLines="0" zoomScale="80" zoomScaleNormal="80">
      <selection activeCell="A9" sqref="A9"/>
    </sheetView>
  </sheetViews>
  <sheetFormatPr defaultRowHeight="13" outlineLevelRow="0" outlineLevelCol="0" x14ac:dyDescent="0" defaultColWidth="9.33203125" customHeight="1"/>
  <cols>
    <col min="1" max="1" width="7" style="1" customWidth="1"/>
    <col min="2" max="2" width="8.5" style="1" customWidth="1"/>
    <col min="3" max="3" width="27.33203125" style="1" customWidth="1"/>
    <col min="4" max="4" width="5.33203125" style="1" customWidth="1"/>
    <col min="5" max="6" width="5.6640625" style="1" customWidth="1"/>
    <col min="7" max="7" width="6.33203125" style="1" customWidth="1"/>
    <col min="8" max="32" width="5.6640625" style="1" customWidth="1"/>
    <col min="33" max="35" width="6.33203125" style="1" customWidth="1"/>
    <col min="36" max="37" width="10.6640625" style="1" customWidth="1"/>
    <col min="38" max="38" width="19.6640625" style="1" customWidth="1"/>
    <col min="39" max="39" width="4" style="1" customWidth="1"/>
    <col min="40" max="40" width="6.83203125" style="1" customWidth="1"/>
    <col min="41" max="41" width="7" style="1" customWidth="1"/>
    <col min="42" max="42" width="7.6640625" style="1" customWidth="1"/>
    <col min="43" max="45" width="9.33203125" style="1" customWidth="1"/>
    <col min="46" max="46" width="7.5" style="1" customWidth="1"/>
    <col min="47" max="47" width="7.83203125" style="1" customWidth="1"/>
    <col min="48" max="16384" width="9.33203125" style="1" customWidth="1"/>
  </cols>
  <sheetData>
    <row r="1" ht="14" customHeight="1" spans="1:57" s="2" customFormat="1" x14ac:dyDescent="0.25">
      <c r="A1" s="3" t="s">
        <v>0</v>
      </c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5"/>
      <c r="AK1" s="5"/>
      <c r="AL1" s="5"/>
      <c r="AM1" s="4"/>
      <c r="AN1" s="4"/>
      <c r="AO1" s="4"/>
      <c r="AP1" s="4"/>
      <c r="AQ1" s="4"/>
      <c r="AR1" s="4"/>
      <c r="AS1" s="4"/>
      <c r="AT1" s="4"/>
      <c r="AU1" s="6"/>
      <c r="AV1" s="4"/>
      <c r="AW1" s="4"/>
      <c r="AX1" s="4"/>
      <c r="AY1" s="4"/>
      <c r="AZ1" s="5"/>
      <c r="BA1" s="5"/>
      <c r="BB1" s="5"/>
      <c r="BC1" s="5"/>
      <c r="BD1" s="5"/>
      <c r="BE1" s="5"/>
    </row>
    <row r="2" spans="1:57" s="2" customFormat="1" x14ac:dyDescent="0.25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8"/>
      <c r="AK2" s="8"/>
      <c r="AL2" s="8"/>
      <c r="AM2" s="7"/>
      <c r="AN2" s="7"/>
      <c r="AO2" s="7"/>
      <c r="AP2" s="7"/>
      <c r="AQ2" s="7"/>
      <c r="AR2" s="7"/>
      <c r="AS2" s="7"/>
      <c r="AT2" s="7"/>
      <c r="AU2" s="9"/>
      <c r="AV2" s="7"/>
      <c r="AW2" s="7"/>
      <c r="AX2" s="7"/>
      <c r="AY2" s="7"/>
      <c r="AZ2" s="8"/>
      <c r="BA2" s="8"/>
      <c r="BB2" s="8"/>
      <c r="BC2" s="8"/>
      <c r="BD2" s="8"/>
      <c r="BE2" s="8"/>
    </row>
    <row r="3" ht="21.75" customHeight="1" spans="1:38" x14ac:dyDescent="0.25">
      <c r="A3" s="10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</row>
    <row r="4" ht="6" customHeight="1" spans="1:38" x14ac:dyDescent="0.25">
      <c r="A4" s="11" t="s">
        <v>3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3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4"/>
    </row>
    <row r="5" ht="24" customHeight="1" spans="1:38" x14ac:dyDescent="0.25">
      <c r="A5" s="15" t="s">
        <v>4</v>
      </c>
      <c r="B5" s="16"/>
      <c r="C5" s="17"/>
      <c r="D5" s="17"/>
      <c r="E5" s="17"/>
      <c r="F5" s="18"/>
      <c r="G5" s="19"/>
      <c r="H5" s="19"/>
      <c r="I5" s="19"/>
      <c r="J5" s="19"/>
      <c r="K5" s="19"/>
      <c r="L5" s="19"/>
      <c r="M5" s="19"/>
      <c r="N5" s="19"/>
      <c r="O5" s="19"/>
      <c r="P5" s="19"/>
      <c r="Q5" s="17"/>
      <c r="R5" s="17"/>
      <c r="S5" s="17"/>
      <c r="T5" s="17"/>
      <c r="U5" s="17"/>
      <c r="V5" s="17"/>
      <c r="W5" s="17"/>
      <c r="X5" s="20" t="s">
        <v>5</v>
      </c>
      <c r="Y5" s="18"/>
      <c r="Z5" s="18"/>
      <c r="AA5" s="18"/>
      <c r="AB5" s="21"/>
      <c r="AC5" s="21"/>
      <c r="AD5" s="21"/>
      <c r="AE5" s="18"/>
      <c r="AF5" s="18"/>
      <c r="AG5" s="18"/>
      <c r="AH5" s="18"/>
      <c r="AI5" s="18"/>
      <c r="AJ5" s="18"/>
      <c r="AK5" s="18"/>
      <c r="AL5" s="22"/>
    </row>
    <row r="6" ht="8" customHeight="1" spans="1:38" x14ac:dyDescent="0.25">
      <c r="A6" s="23"/>
      <c r="B6" s="24"/>
      <c r="C6" s="24"/>
      <c r="D6" s="24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6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7"/>
    </row>
    <row r="7" ht="15" customHeight="1" spans="1:47" x14ac:dyDescent="0.25">
      <c r="A7" s="28" t="s">
        <v>6</v>
      </c>
      <c r="B7" s="29" t="s">
        <v>7</v>
      </c>
      <c r="C7" s="29" t="s">
        <v>8</v>
      </c>
      <c r="D7" s="30" t="s">
        <v>9</v>
      </c>
      <c r="E7" s="31" t="s">
        <v>10</v>
      </c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3" t="s">
        <v>11</v>
      </c>
      <c r="AK7" s="34" t="s">
        <v>12</v>
      </c>
      <c r="AL7" s="35" t="s">
        <v>13</v>
      </c>
      <c r="AU7" s="36"/>
    </row>
    <row r="8" ht="36.75" customHeight="1" spans="1:51" x14ac:dyDescent="0.25">
      <c r="A8" s="28"/>
      <c r="B8" s="37"/>
      <c r="C8" s="37"/>
      <c r="D8" s="38"/>
      <c r="E8" s="39">
        <v>1</v>
      </c>
      <c r="F8" s="39">
        <v>2</v>
      </c>
      <c r="G8" s="39">
        <v>3</v>
      </c>
      <c r="H8" s="39">
        <v>4</v>
      </c>
      <c r="I8" s="39">
        <v>5</v>
      </c>
      <c r="J8" s="39">
        <v>6</v>
      </c>
      <c r="K8" s="39">
        <v>7</v>
      </c>
      <c r="L8" s="39">
        <v>8</v>
      </c>
      <c r="M8" s="39">
        <v>9</v>
      </c>
      <c r="N8" s="39">
        <v>10</v>
      </c>
      <c r="O8" s="39">
        <v>11</v>
      </c>
      <c r="P8" s="39">
        <v>12</v>
      </c>
      <c r="Q8" s="39">
        <v>13</v>
      </c>
      <c r="R8" s="39">
        <v>14</v>
      </c>
      <c r="S8" s="39">
        <v>15</v>
      </c>
      <c r="T8" s="39">
        <v>16</v>
      </c>
      <c r="U8" s="39">
        <v>17</v>
      </c>
      <c r="V8" s="39">
        <v>18</v>
      </c>
      <c r="W8" s="39">
        <v>19</v>
      </c>
      <c r="X8" s="39">
        <v>20</v>
      </c>
      <c r="Y8" s="39">
        <v>21</v>
      </c>
      <c r="Z8" s="39">
        <v>22</v>
      </c>
      <c r="AA8" s="39">
        <v>23</v>
      </c>
      <c r="AB8" s="39">
        <v>24</v>
      </c>
      <c r="AC8" s="39">
        <v>25</v>
      </c>
      <c r="AD8" s="39">
        <v>26</v>
      </c>
      <c r="AE8" s="39">
        <v>27</v>
      </c>
      <c r="AF8" s="39">
        <v>28</v>
      </c>
      <c r="AG8" s="39">
        <v>29</v>
      </c>
      <c r="AH8" s="39">
        <v>30</v>
      </c>
      <c r="AI8" s="39">
        <v>31</v>
      </c>
      <c r="AJ8" s="40"/>
      <c r="AK8" s="41"/>
      <c r="AL8" s="42"/>
      <c r="AN8" s="43" t="s">
        <v>14</v>
      </c>
      <c r="AO8" s="43" t="s">
        <v>15</v>
      </c>
      <c r="AP8" s="43" t="s">
        <v>16</v>
      </c>
      <c r="AQ8" s="43" t="s">
        <v>17</v>
      </c>
      <c r="AR8" s="43" t="s">
        <v>18</v>
      </c>
      <c r="AS8" s="43" t="s">
        <v>19</v>
      </c>
      <c r="AT8" s="43" t="s">
        <v>20</v>
      </c>
      <c r="AU8" s="43" t="s">
        <v>21</v>
      </c>
      <c r="AV8" s="44" t="s">
        <v>22</v>
      </c>
      <c r="AW8" s="44" t="s">
        <v>23</v>
      </c>
      <c r="AX8" s="44" t="s">
        <v>24</v>
      </c>
      <c r="AY8" s="44" t="s">
        <v>25</v>
      </c>
    </row>
    <row r="9" ht="16" customHeight="1" spans="1:51" x14ac:dyDescent="0.25">
      <c r="A9" s="45" t="s">
        <v>26</v>
      </c>
      <c r="B9" s="45" t="s">
        <v>27</v>
      </c>
      <c r="C9" s="45" t="s">
        <v>28</v>
      </c>
      <c r="D9" s="45" t="s">
        <v>29</v>
      </c>
      <c r="E9" s="45" t="s">
        <v>30</v>
      </c>
      <c r="F9" s="45" t="s">
        <v>31</v>
      </c>
      <c r="G9" s="45" t="s">
        <v>31</v>
      </c>
      <c r="H9" s="45" t="s">
        <v>31</v>
      </c>
      <c r="I9" s="45" t="s">
        <v>31</v>
      </c>
      <c r="J9" s="45" t="s">
        <v>31</v>
      </c>
      <c r="K9" s="45" t="s">
        <v>32</v>
      </c>
      <c r="L9" s="45" t="s">
        <v>31</v>
      </c>
      <c r="M9" s="45" t="s">
        <v>31</v>
      </c>
      <c r="N9" s="45" t="s">
        <v>31</v>
      </c>
      <c r="O9" s="45" t="s">
        <v>31</v>
      </c>
      <c r="P9" s="45" t="s">
        <v>32</v>
      </c>
      <c r="Q9" s="45" t="s">
        <v>32</v>
      </c>
      <c r="R9" s="45" t="s">
        <v>32</v>
      </c>
      <c r="S9" s="45" t="s">
        <v>31</v>
      </c>
      <c r="T9" s="45" t="s">
        <v>31</v>
      </c>
      <c r="U9" s="45" t="s">
        <v>32</v>
      </c>
      <c r="V9" s="45" t="s">
        <v>32</v>
      </c>
      <c r="W9" s="45" t="s">
        <v>32</v>
      </c>
      <c r="X9" s="45" t="s">
        <v>32</v>
      </c>
      <c r="Y9" s="45" t="s">
        <v>32</v>
      </c>
      <c r="Z9" s="45" t="s">
        <v>32</v>
      </c>
      <c r="AA9" s="45" t="s">
        <v>32</v>
      </c>
      <c r="AB9" s="45" t="s">
        <v>32</v>
      </c>
      <c r="AC9" s="45" t="s">
        <v>31</v>
      </c>
      <c r="AD9" s="45" t="s">
        <v>31</v>
      </c>
      <c r="AE9" s="45" t="s">
        <v>32</v>
      </c>
      <c r="AF9" s="45" t="s">
        <v>32</v>
      </c>
      <c r="AG9" s="45" t="s">
        <v>32</v>
      </c>
      <c r="AH9" s="45" t="s">
        <v>32</v>
      </c>
      <c r="AI9" s="45" t="s">
        <v>32</v>
      </c>
      <c r="AJ9" s="45">
        <f>=SUM(E10:AI10)</f>
      </c>
      <c r="AK9" s="45">
        <f>=+AY9</f>
      </c>
      <c r="AL9" s="45"/>
      <c r="AM9" s="1"/>
      <c r="AN9" s="1">
        <f>=COUNTIF(E9:AI9,"A")+COUNTIF(E9:AI9,"B")+COUNTIF(E9:AI9,"C")+COUNTIF(E9:AI9,"D")+COUNTIF(E9:AI9,"E")+COUNTIF(E9:AI9,"F")+COUNTIF(E9:AI9,"M")+COUNTIF(E9:AI9,"AB")+COUNTIF(E9:AI9,"UZ")+COUNTIF(E9:AI9,"G")+(COUNTIF(E9:AI9,"RT.")/2)+(COUNTIF(E9:AI9,"ÇRT.")/2)</f>
      </c>
      <c r="AO9" s="1">
        <f>=COUNTIF(E9:AI9,"O")</f>
      </c>
      <c r="AP9" s="1">
        <f>=COUNTIF(E9:AI9,"RT")+(COUNTIF(E9:AI9,"RT.")/2)</f>
      </c>
      <c r="AQ9" s="1">
        <f>=COUNTIF(E9:AI9,"ÇRT")+(COUNTIF(E9:AI9,"ÇRT.")/2)</f>
      </c>
      <c r="AR9" s="1">
        <f>=COUNTIF(E9:AI9,"ÇHT")</f>
      </c>
      <c r="AS9" s="1">
        <f>=COUNTIF(E9:AI9,"Ö")+COUNTIF(E9:AI9,"T")</f>
      </c>
      <c r="AT9" s="1">
        <f>=COUNTIF(E9:AI9,"Y")</f>
      </c>
      <c r="AU9" s="1">
        <f>=COUNTIF(E9:AI9,"R.")</f>
      </c>
      <c r="AV9" s="1">
        <f>=COUNTIF(E9:AI9,"Ü")</f>
      </c>
      <c r="AW9" s="1">
        <f>=COUNTIF(E9:AI9,"R")</f>
      </c>
      <c r="AX9" s="1">
        <f>=COUNTIF(E9:AI9,"DV")</f>
      </c>
      <c r="AY9" s="1">
        <f>=+AN9+AO9+AP9+AQ9+AR9+AS9+AT9+AU9</f>
      </c>
    </row>
    <row r="10" ht="16" customHeight="1" spans="1:51" x14ac:dyDescent="0.25">
      <c r="A10" s="45"/>
      <c r="B10" s="45"/>
      <c r="C10" s="45"/>
      <c r="D10" s="46" t="s">
        <v>33</v>
      </c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5"/>
      <c r="AK10" s="45"/>
      <c r="AL10" s="45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ht="16" customHeight="1" spans="1:51" x14ac:dyDescent="0.25">
      <c r="A11" s="45"/>
      <c r="B11" s="46" t="s">
        <v>34</v>
      </c>
      <c r="C11" s="46" t="s">
        <v>35</v>
      </c>
      <c r="D11" s="46" t="s">
        <v>29</v>
      </c>
      <c r="E11" s="46"/>
      <c r="F11" s="46"/>
      <c r="G11" s="46"/>
      <c r="H11" s="46" t="s">
        <v>36</v>
      </c>
      <c r="I11" s="46" t="s">
        <v>36</v>
      </c>
      <c r="J11" s="46" t="s">
        <v>36</v>
      </c>
      <c r="K11" s="46" t="s">
        <v>36</v>
      </c>
      <c r="L11" s="46" t="s">
        <v>36</v>
      </c>
      <c r="M11" s="46" t="s">
        <v>36</v>
      </c>
      <c r="N11" s="46" t="s">
        <v>37</v>
      </c>
      <c r="O11" s="46" t="s">
        <v>36</v>
      </c>
      <c r="P11" s="46" t="s">
        <v>36</v>
      </c>
      <c r="Q11" s="46" t="s">
        <v>38</v>
      </c>
      <c r="R11" s="46" t="s">
        <v>38</v>
      </c>
      <c r="S11" s="46" t="s">
        <v>38</v>
      </c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>
        <f>=SUM(E12:AI12)</f>
      </c>
      <c r="AK11" s="46">
        <f>=+AY11</f>
      </c>
      <c r="AL11" s="46"/>
      <c r="AM11" s="1"/>
      <c r="AN11" s="1">
        <f>=COUNTIF(E11:AI11,"A")+COUNTIF(E11:AI11,"B")+COUNTIF(E11:AI11,"C")+COUNTIF(E11:AI11,"D")+COUNTIF(E11:AI11,"E")+COUNTIF(E11:AI11,"F")+COUNTIF(E11:AI11,"M")+COUNTIF(E11:AI11,"AB")+COUNTIF(E11:AI11,"UZ")+COUNTIF(E11:AI11,"G")+(COUNTIF(E11:AI11,"RT.")/2)+(COUNTIF(E11:AI11,"ÇRT.")/2)</f>
      </c>
      <c r="AO11" s="1">
        <f>=COUNTIF(E11:AI11,"O")</f>
      </c>
      <c r="AP11" s="1">
        <f>=COUNTIF(E11:AI11,"RT")+(COUNTIF(E11:AI11,"RT.")/2)</f>
      </c>
      <c r="AQ11" s="1">
        <f>=COUNTIF(E11:AI11,"ÇRT")+(COUNTIF(E11:AI11,"ÇRT.")/2)</f>
      </c>
      <c r="AR11" s="1">
        <f>=COUNTIF(E11:AI11,"ÇHT")</f>
      </c>
      <c r="AS11" s="1">
        <f>=COUNTIF(E11:AI11,"Ö")+COUNTIF(E11:AI11,"T")</f>
      </c>
      <c r="AT11" s="1">
        <f>=COUNTIF(E11:AI11,"Y")</f>
      </c>
      <c r="AU11" s="1">
        <f>=COUNTIF(E11:AI11,"R.")</f>
      </c>
      <c r="AV11" s="1">
        <f>=COUNTIF(E11:AI11,"Ü")</f>
      </c>
      <c r="AW11" s="1">
        <f>=COUNTIF(E11:AI11,"R")</f>
      </c>
      <c r="AX11" s="1">
        <f>=COUNTIF(E11:AI11,"DV")</f>
      </c>
      <c r="AY11" s="1">
        <f>=+AN11+AO11+AP11+AQ11+AR11+AS11+AT11+AU11</f>
      </c>
    </row>
    <row r="12" ht="16" customHeight="1" spans="1:51" x14ac:dyDescent="0.25">
      <c r="A12" s="45"/>
      <c r="B12" s="46"/>
      <c r="C12" s="46"/>
      <c r="D12" s="46" t="s">
        <v>33</v>
      </c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ht="16" customHeight="1" spans="1:51" x14ac:dyDescent="0.25">
      <c r="A13" s="45"/>
      <c r="B13" s="46" t="s">
        <v>39</v>
      </c>
      <c r="C13" s="46" t="s">
        <v>40</v>
      </c>
      <c r="D13" s="46" t="s">
        <v>29</v>
      </c>
      <c r="E13" s="46" t="s">
        <v>41</v>
      </c>
      <c r="F13" s="46" t="s">
        <v>41</v>
      </c>
      <c r="G13" s="46" t="s">
        <v>41</v>
      </c>
      <c r="H13" s="46"/>
      <c r="I13" s="46" t="s">
        <v>41</v>
      </c>
      <c r="J13" s="46" t="s">
        <v>41</v>
      </c>
      <c r="K13" s="46" t="s">
        <v>42</v>
      </c>
      <c r="L13" s="46" t="s">
        <v>41</v>
      </c>
      <c r="M13" s="46" t="s">
        <v>41</v>
      </c>
      <c r="N13" s="46" t="s">
        <v>41</v>
      </c>
      <c r="O13" s="46" t="s">
        <v>41</v>
      </c>
      <c r="P13" s="46" t="s">
        <v>37</v>
      </c>
      <c r="Q13" s="46" t="s">
        <v>36</v>
      </c>
      <c r="R13" s="46" t="s">
        <v>36</v>
      </c>
      <c r="S13" s="46" t="s">
        <v>41</v>
      </c>
      <c r="T13" s="46" t="s">
        <v>41</v>
      </c>
      <c r="U13" s="46" t="s">
        <v>41</v>
      </c>
      <c r="V13" s="46" t="s">
        <v>41</v>
      </c>
      <c r="W13" s="46" t="s">
        <v>37</v>
      </c>
      <c r="X13" s="46" t="s">
        <v>36</v>
      </c>
      <c r="Y13" s="46" t="s">
        <v>31</v>
      </c>
      <c r="Z13" s="46" t="s">
        <v>31</v>
      </c>
      <c r="AA13" s="46" t="s">
        <v>41</v>
      </c>
      <c r="AB13" s="46" t="s">
        <v>41</v>
      </c>
      <c r="AC13" s="46" t="s">
        <v>41</v>
      </c>
      <c r="AD13" s="46" t="s">
        <v>37</v>
      </c>
      <c r="AE13" s="46" t="s">
        <v>36</v>
      </c>
      <c r="AF13" s="46" t="s">
        <v>36</v>
      </c>
      <c r="AG13" s="46" t="s">
        <v>41</v>
      </c>
      <c r="AH13" s="46" t="s">
        <v>43</v>
      </c>
      <c r="AI13" s="46" t="s">
        <v>41</v>
      </c>
      <c r="AJ13" s="46">
        <f>=SUM(E14:AI14)</f>
      </c>
      <c r="AK13" s="46">
        <f>=+AY13</f>
      </c>
      <c r="AL13" s="46"/>
      <c r="AM13" s="1"/>
      <c r="AN13" s="1">
        <f>=COUNTIF(E13:AI13,"A")+COUNTIF(E13:AI13,"B")+COUNTIF(E13:AI13,"C")+COUNTIF(E13:AI13,"D")+COUNTIF(E13:AI13,"E")+COUNTIF(E13:AI13,"F")+COUNTIF(E13:AI13,"M")+COUNTIF(E13:AI13,"AB")+COUNTIF(E13:AI13,"UZ")+COUNTIF(E13:AI13,"G")+(COUNTIF(E13:AI13,"RT.")/2)+(COUNTIF(E13:AI13,"ÇRT.")/2)</f>
      </c>
      <c r="AO13" s="1">
        <f>=COUNTIF(E13:AI13,"O")</f>
      </c>
      <c r="AP13" s="1">
        <f>=COUNTIF(E13:AI13,"RT")+(COUNTIF(E13:AI13,"RT.")/2)</f>
      </c>
      <c r="AQ13" s="1">
        <f>=COUNTIF(E13:AI13,"ÇRT")+(COUNTIF(E13:AI13,"ÇRT.")/2)</f>
      </c>
      <c r="AR13" s="1">
        <f>=COUNTIF(E13:AI13,"ÇHT")</f>
      </c>
      <c r="AS13" s="1">
        <f>=COUNTIF(E13:AI13,"Ö")+COUNTIF(E13:AI13,"T")</f>
      </c>
      <c r="AT13" s="1">
        <f>=COUNTIF(E13:AI13,"Y")</f>
      </c>
      <c r="AU13" s="1">
        <f>=COUNTIF(E13:AI13,"R.")</f>
      </c>
      <c r="AV13" s="1">
        <f>=COUNTIF(E13:AI13,"Ü")</f>
      </c>
      <c r="AW13" s="1">
        <f>=COUNTIF(E13:AI13,"R")</f>
      </c>
      <c r="AX13" s="1">
        <f>=COUNTIF(E13:AI13,"DV")</f>
      </c>
      <c r="AY13" s="1">
        <f>=+AN13+AO13+AP13+AQ13+AR13+AS13+AT13+AU13</f>
      </c>
    </row>
    <row r="14" ht="16" customHeight="1" spans="1:51" x14ac:dyDescent="0.25">
      <c r="A14" s="45"/>
      <c r="B14" s="46"/>
      <c r="C14" s="46"/>
      <c r="D14" s="46" t="s">
        <v>33</v>
      </c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ht="16" customHeight="1" spans="1:51" x14ac:dyDescent="0.25">
      <c r="A15" s="45"/>
      <c r="B15" s="46" t="s">
        <v>44</v>
      </c>
      <c r="C15" s="46" t="s">
        <v>45</v>
      </c>
      <c r="D15" s="46" t="s">
        <v>29</v>
      </c>
      <c r="E15" s="46" t="s">
        <v>37</v>
      </c>
      <c r="F15" s="46" t="s">
        <v>36</v>
      </c>
      <c r="G15" s="46" t="s">
        <v>36</v>
      </c>
      <c r="H15" s="46" t="s">
        <v>36</v>
      </c>
      <c r="I15" s="46" t="s">
        <v>36</v>
      </c>
      <c r="J15" s="46" t="s">
        <v>46</v>
      </c>
      <c r="K15" s="46" t="s">
        <v>36</v>
      </c>
      <c r="L15" s="46" t="s">
        <v>37</v>
      </c>
      <c r="M15" s="46" t="s">
        <v>36</v>
      </c>
      <c r="N15" s="46" t="s">
        <v>41</v>
      </c>
      <c r="O15" s="46" t="s">
        <v>41</v>
      </c>
      <c r="P15" s="46" t="s">
        <v>41</v>
      </c>
      <c r="Q15" s="46" t="s">
        <v>37</v>
      </c>
      <c r="R15" s="46" t="s">
        <v>41</v>
      </c>
      <c r="S15" s="46" t="s">
        <v>41</v>
      </c>
      <c r="T15" s="46" t="s">
        <v>41</v>
      </c>
      <c r="U15" s="46" t="s">
        <v>42</v>
      </c>
      <c r="V15" s="46" t="s">
        <v>36</v>
      </c>
      <c r="W15" s="46" t="s">
        <v>46</v>
      </c>
      <c r="X15" s="46" t="s">
        <v>46</v>
      </c>
      <c r="Y15" s="46" t="s">
        <v>36</v>
      </c>
      <c r="Z15" s="46" t="s">
        <v>37</v>
      </c>
      <c r="AA15" s="46" t="s">
        <v>36</v>
      </c>
      <c r="AB15" s="46" t="s">
        <v>36</v>
      </c>
      <c r="AC15" s="46" t="s">
        <v>36</v>
      </c>
      <c r="AD15" s="46" t="s">
        <v>46</v>
      </c>
      <c r="AE15" s="46" t="s">
        <v>36</v>
      </c>
      <c r="AF15" s="46" t="s">
        <v>46</v>
      </c>
      <c r="AG15" s="46" t="s">
        <v>37</v>
      </c>
      <c r="AH15" s="46" t="s">
        <v>43</v>
      </c>
      <c r="AI15" s="46" t="s">
        <v>41</v>
      </c>
      <c r="AJ15" s="46">
        <f>=SUM(E16:AI16)</f>
      </c>
      <c r="AK15" s="46">
        <f>=+AY15</f>
      </c>
      <c r="AL15" s="46"/>
      <c r="AM15" s="1"/>
      <c r="AN15" s="1">
        <f>=COUNTIF(E15:AI15,"A")+COUNTIF(E15:AI15,"B")+COUNTIF(E15:AI15,"C")+COUNTIF(E15:AI15,"D")+COUNTIF(E15:AI15,"E")+COUNTIF(E15:AI15,"F")+COUNTIF(E15:AI15,"M")+COUNTIF(E15:AI15,"AB")+COUNTIF(E15:AI15,"UZ")+COUNTIF(E15:AI15,"G")+(COUNTIF(E15:AI15,"RT.")/2)+(COUNTIF(E15:AI15,"ÇRT.")/2)</f>
      </c>
      <c r="AO15" s="1">
        <f>=COUNTIF(E15:AI15,"O")</f>
      </c>
      <c r="AP15" s="1">
        <f>=COUNTIF(E15:AI15,"RT")+(COUNTIF(E15:AI15,"RT.")/2)</f>
      </c>
      <c r="AQ15" s="1">
        <f>=COUNTIF(E15:AI15,"ÇRT")+(COUNTIF(E15:AI15,"ÇRT.")/2)</f>
      </c>
      <c r="AR15" s="1">
        <f>=COUNTIF(E15:AI15,"ÇHT")</f>
      </c>
      <c r="AS15" s="1">
        <f>=COUNTIF(E15:AI15,"Ö")+COUNTIF(E15:AI15,"T")</f>
      </c>
      <c r="AT15" s="1">
        <f>=COUNTIF(E15:AI15,"Y")</f>
      </c>
      <c r="AU15" s="1">
        <f>=COUNTIF(E15:AI15,"R.")</f>
      </c>
      <c r="AV15" s="1">
        <f>=COUNTIF(E15:AI15,"Ü")</f>
      </c>
      <c r="AW15" s="1">
        <f>=COUNTIF(E15:AI15,"R")</f>
      </c>
      <c r="AX15" s="1">
        <f>=COUNTIF(E15:AI15,"DV")</f>
      </c>
      <c r="AY15" s="1">
        <f>=+AN15+AO15+AP15+AQ15+AR15+AS15+AT15+AU15</f>
      </c>
    </row>
    <row r="16" ht="16" customHeight="1" spans="1:51" x14ac:dyDescent="0.25">
      <c r="A16" s="45"/>
      <c r="B16" s="46"/>
      <c r="C16" s="46"/>
      <c r="D16" s="46" t="s">
        <v>33</v>
      </c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ht="16" customHeight="1" spans="1:51" x14ac:dyDescent="0.25">
      <c r="A17" s="45"/>
      <c r="B17" s="46" t="s">
        <v>47</v>
      </c>
      <c r="C17" s="46" t="s">
        <v>48</v>
      </c>
      <c r="D17" s="46" t="s">
        <v>29</v>
      </c>
      <c r="E17" s="46" t="s">
        <v>36</v>
      </c>
      <c r="F17" s="46" t="s">
        <v>37</v>
      </c>
      <c r="G17" s="46" t="s">
        <v>36</v>
      </c>
      <c r="H17" s="46" t="s">
        <v>36</v>
      </c>
      <c r="I17" s="46" t="s">
        <v>36</v>
      </c>
      <c r="J17" s="46" t="s">
        <v>36</v>
      </c>
      <c r="K17" s="46" t="s">
        <v>36</v>
      </c>
      <c r="L17" s="46" t="s">
        <v>36</v>
      </c>
      <c r="M17" s="46" t="s">
        <v>37</v>
      </c>
      <c r="N17" s="46" t="s">
        <v>36</v>
      </c>
      <c r="O17" s="46" t="s">
        <v>36</v>
      </c>
      <c r="P17" s="46" t="s">
        <v>36</v>
      </c>
      <c r="Q17" s="46" t="s">
        <v>36</v>
      </c>
      <c r="R17" s="46" t="s">
        <v>36</v>
      </c>
      <c r="S17" s="46" t="s">
        <v>36</v>
      </c>
      <c r="T17" s="46" t="s">
        <v>36</v>
      </c>
      <c r="U17" s="46" t="s">
        <v>37</v>
      </c>
      <c r="V17" s="46" t="s">
        <v>36</v>
      </c>
      <c r="W17" s="46" t="s">
        <v>36</v>
      </c>
      <c r="X17" s="46" t="s">
        <v>36</v>
      </c>
      <c r="Y17" s="46" t="s">
        <v>36</v>
      </c>
      <c r="Z17" s="46" t="s">
        <v>36</v>
      </c>
      <c r="AA17" s="46" t="s">
        <v>37</v>
      </c>
      <c r="AB17" s="46" t="s">
        <v>36</v>
      </c>
      <c r="AC17" s="46" t="s">
        <v>36</v>
      </c>
      <c r="AD17" s="46" t="s">
        <v>36</v>
      </c>
      <c r="AE17" s="46" t="s">
        <v>36</v>
      </c>
      <c r="AF17" s="46" t="s">
        <v>36</v>
      </c>
      <c r="AG17" s="46" t="s">
        <v>36</v>
      </c>
      <c r="AH17" s="46" t="s">
        <v>37</v>
      </c>
      <c r="AI17" s="46" t="s">
        <v>36</v>
      </c>
      <c r="AJ17" s="46">
        <f>=SUM(E18:AI18)</f>
      </c>
      <c r="AK17" s="46">
        <f>=+AY17</f>
      </c>
      <c r="AL17" s="46"/>
      <c r="AM17" s="1"/>
      <c r="AN17" s="1">
        <f>=COUNTIF(E17:AI17,"A")+COUNTIF(E17:AI17,"B")+COUNTIF(E17:AI17,"C")+COUNTIF(E17:AI17,"D")+COUNTIF(E17:AI17,"E")+COUNTIF(E17:AI17,"F")+COUNTIF(E17:AI17,"M")+COUNTIF(E17:AI17,"AB")+COUNTIF(E17:AI17,"UZ")+COUNTIF(E17:AI17,"G")+(COUNTIF(E17:AI17,"RT.")/2)+(COUNTIF(E17:AI17,"ÇRT.")/2)</f>
      </c>
      <c r="AO17" s="1">
        <f>=COUNTIF(E17:AI17,"O")</f>
      </c>
      <c r="AP17" s="1">
        <f>=COUNTIF(E17:AI17,"RT")+(COUNTIF(E17:AI17,"RT.")/2)</f>
      </c>
      <c r="AQ17" s="1">
        <f>=COUNTIF(E17:AI17,"ÇRT")+(COUNTIF(E17:AI17,"ÇRT.")/2)</f>
      </c>
      <c r="AR17" s="1">
        <f>=COUNTIF(E17:AI17,"ÇHT")</f>
      </c>
      <c r="AS17" s="1">
        <f>=COUNTIF(E17:AI17,"Ö")+COUNTIF(E17:AI17,"T")</f>
      </c>
      <c r="AT17" s="1">
        <f>=COUNTIF(E17:AI17,"Y")</f>
      </c>
      <c r="AU17" s="1">
        <f>=COUNTIF(E17:AI17,"R.")</f>
      </c>
      <c r="AV17" s="1">
        <f>=COUNTIF(E17:AI17,"Ü")</f>
      </c>
      <c r="AW17" s="1">
        <f>=COUNTIF(E17:AI17,"R")</f>
      </c>
      <c r="AX17" s="1">
        <f>=COUNTIF(E17:AI17,"DV")</f>
      </c>
      <c r="AY17" s="1">
        <f>=+AN17+AO17+AP17+AQ17+AR17+AS17+AT17+AU17</f>
      </c>
    </row>
    <row r="18" ht="16" customHeight="1" spans="1:51" x14ac:dyDescent="0.25">
      <c r="A18" s="45"/>
      <c r="B18" s="46"/>
      <c r="C18" s="46"/>
      <c r="D18" s="46" t="s">
        <v>33</v>
      </c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ht="16" customHeight="1" spans="1:51" x14ac:dyDescent="0.25">
      <c r="A19" s="45"/>
      <c r="B19" s="46" t="s">
        <v>49</v>
      </c>
      <c r="C19" s="46" t="s">
        <v>50</v>
      </c>
      <c r="D19" s="46" t="s">
        <v>29</v>
      </c>
      <c r="E19" s="46" t="s">
        <v>36</v>
      </c>
      <c r="F19" s="46" t="s">
        <v>36</v>
      </c>
      <c r="G19" s="46" t="s">
        <v>36</v>
      </c>
      <c r="H19" s="46" t="s">
        <v>36</v>
      </c>
      <c r="I19" s="46" t="s">
        <v>36</v>
      </c>
      <c r="J19" s="46" t="s">
        <v>37</v>
      </c>
      <c r="K19" s="46" t="s">
        <v>36</v>
      </c>
      <c r="L19" s="46" t="s">
        <v>36</v>
      </c>
      <c r="M19" s="46" t="s">
        <v>36</v>
      </c>
      <c r="N19" s="46" t="s">
        <v>31</v>
      </c>
      <c r="O19" s="46" t="s">
        <v>31</v>
      </c>
      <c r="P19" s="46" t="s">
        <v>32</v>
      </c>
      <c r="Q19" s="46" t="s">
        <v>37</v>
      </c>
      <c r="R19" s="46" t="s">
        <v>36</v>
      </c>
      <c r="S19" s="46" t="s">
        <v>36</v>
      </c>
      <c r="T19" s="46" t="s">
        <v>36</v>
      </c>
      <c r="U19" s="46" t="s">
        <v>36</v>
      </c>
      <c r="V19" s="46" t="s">
        <v>36</v>
      </c>
      <c r="W19" s="46" t="s">
        <v>36</v>
      </c>
      <c r="X19" s="46" t="s">
        <v>37</v>
      </c>
      <c r="Y19" s="46" t="s">
        <v>36</v>
      </c>
      <c r="Z19" s="46" t="s">
        <v>36</v>
      </c>
      <c r="AA19" s="46" t="s">
        <v>36</v>
      </c>
      <c r="AB19" s="46" t="s">
        <v>37</v>
      </c>
      <c r="AC19" s="46" t="s">
        <v>41</v>
      </c>
      <c r="AD19" s="46" t="s">
        <v>41</v>
      </c>
      <c r="AE19" s="46" t="s">
        <v>41</v>
      </c>
      <c r="AF19" s="46" t="s">
        <v>36</v>
      </c>
      <c r="AG19" s="46" t="s">
        <v>36</v>
      </c>
      <c r="AH19" s="46" t="s">
        <v>43</v>
      </c>
      <c r="AI19" s="46" t="s">
        <v>36</v>
      </c>
      <c r="AJ19" s="46">
        <f>=SUM(E20:AI20)</f>
      </c>
      <c r="AK19" s="46">
        <f>=+AY19</f>
      </c>
      <c r="AL19" s="46"/>
      <c r="AM19" s="1"/>
      <c r="AN19" s="1">
        <f>=COUNTIF(E19:AI19,"A")+COUNTIF(E19:AI19,"B")+COUNTIF(E19:AI19,"C")+COUNTIF(E19:AI19,"D")+COUNTIF(E19:AI19,"E")+COUNTIF(E19:AI19,"F")+COUNTIF(E19:AI19,"M")+COUNTIF(E19:AI19,"AB")+COUNTIF(E19:AI19,"UZ")+COUNTIF(E19:AI19,"G")+(COUNTIF(E19:AI19,"RT.")/2)+(COUNTIF(E19:AI19,"ÇRT.")/2)</f>
      </c>
      <c r="AO19" s="1">
        <f>=COUNTIF(E19:AI19,"O")</f>
      </c>
      <c r="AP19" s="1">
        <f>=COUNTIF(E19:AI19,"RT")+(COUNTIF(E19:AI19,"RT.")/2)</f>
      </c>
      <c r="AQ19" s="1">
        <f>=COUNTIF(E19:AI19,"ÇRT")+(COUNTIF(E19:AI19,"ÇRT.")/2)</f>
      </c>
      <c r="AR19" s="1">
        <f>=COUNTIF(E19:AI19,"ÇHT")</f>
      </c>
      <c r="AS19" s="1">
        <f>=COUNTIF(E19:AI19,"Ö")+COUNTIF(E19:AI19,"T")</f>
      </c>
      <c r="AT19" s="1">
        <f>=COUNTIF(E19:AI19,"Y")</f>
      </c>
      <c r="AU19" s="1">
        <f>=COUNTIF(E19:AI19,"R.")</f>
      </c>
      <c r="AV19" s="1">
        <f>=COUNTIF(E19:AI19,"Ü")</f>
      </c>
      <c r="AW19" s="1">
        <f>=COUNTIF(E19:AI19,"R")</f>
      </c>
      <c r="AX19" s="1">
        <f>=COUNTIF(E19:AI19,"DV")</f>
      </c>
      <c r="AY19" s="1">
        <f>=+AN19+AO19+AP19+AQ19+AR19+AS19+AT19+AU19</f>
      </c>
    </row>
    <row r="20" ht="16" customHeight="1" spans="1:51" x14ac:dyDescent="0.25">
      <c r="A20" s="45"/>
      <c r="B20" s="46"/>
      <c r="C20" s="46"/>
      <c r="D20" s="46" t="s">
        <v>33</v>
      </c>
      <c r="E20" s="46"/>
      <c r="F20" s="46"/>
      <c r="G20" s="46"/>
      <c r="H20" s="46"/>
      <c r="I20" s="46"/>
      <c r="J20" s="46"/>
      <c r="K20" s="46">
        <v>2</v>
      </c>
      <c r="L20" s="46"/>
      <c r="M20" s="46"/>
      <c r="N20" s="46"/>
      <c r="O20" s="46"/>
      <c r="P20" s="46"/>
      <c r="Q20" s="46"/>
      <c r="R20" s="46">
        <v>2</v>
      </c>
      <c r="S20" s="46"/>
      <c r="T20" s="46"/>
      <c r="U20" s="46"/>
      <c r="V20" s="46"/>
      <c r="W20" s="46">
        <v>3</v>
      </c>
      <c r="X20" s="46"/>
      <c r="Y20" s="46">
        <v>2</v>
      </c>
      <c r="Z20" s="46"/>
      <c r="AA20" s="46">
        <v>3</v>
      </c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ht="16" customHeight="1" spans="1:51" x14ac:dyDescent="0.25">
      <c r="A21" s="45"/>
      <c r="B21" s="46" t="s">
        <v>51</v>
      </c>
      <c r="C21" s="46" t="s">
        <v>52</v>
      </c>
      <c r="D21" s="46" t="s">
        <v>29</v>
      </c>
      <c r="E21" s="46" t="s">
        <v>36</v>
      </c>
      <c r="F21" s="46" t="s">
        <v>37</v>
      </c>
      <c r="G21" s="46" t="s">
        <v>36</v>
      </c>
      <c r="H21" s="46" t="s">
        <v>36</v>
      </c>
      <c r="I21" s="46" t="s">
        <v>36</v>
      </c>
      <c r="J21" s="46" t="s">
        <v>36</v>
      </c>
      <c r="K21" s="46" t="s">
        <v>36</v>
      </c>
      <c r="L21" s="46" t="s">
        <v>36</v>
      </c>
      <c r="M21" s="46" t="s">
        <v>37</v>
      </c>
      <c r="N21" s="46" t="s">
        <v>36</v>
      </c>
      <c r="O21" s="46" t="s">
        <v>36</v>
      </c>
      <c r="P21" s="46" t="s">
        <v>36</v>
      </c>
      <c r="Q21" s="46" t="s">
        <v>36</v>
      </c>
      <c r="R21" s="46" t="s">
        <v>36</v>
      </c>
      <c r="S21" s="46" t="s">
        <v>36</v>
      </c>
      <c r="T21" s="46" t="s">
        <v>37</v>
      </c>
      <c r="U21" s="46" t="s">
        <v>36</v>
      </c>
      <c r="V21" s="46" t="s">
        <v>36</v>
      </c>
      <c r="W21" s="46" t="s">
        <v>36</v>
      </c>
      <c r="X21" s="46" t="s">
        <v>36</v>
      </c>
      <c r="Y21" s="46" t="s">
        <v>36</v>
      </c>
      <c r="Z21" s="46" t="s">
        <v>36</v>
      </c>
      <c r="AA21" s="46" t="s">
        <v>37</v>
      </c>
      <c r="AB21" s="46" t="s">
        <v>36</v>
      </c>
      <c r="AC21" s="46" t="s">
        <v>36</v>
      </c>
      <c r="AD21" s="46" t="s">
        <v>36</v>
      </c>
      <c r="AE21" s="46" t="s">
        <v>36</v>
      </c>
      <c r="AF21" s="46" t="s">
        <v>36</v>
      </c>
      <c r="AG21" s="46" t="s">
        <v>36</v>
      </c>
      <c r="AH21" s="46" t="s">
        <v>37</v>
      </c>
      <c r="AI21" s="46" t="s">
        <v>36</v>
      </c>
      <c r="AJ21" s="46">
        <f>=SUM(E22:AI22)</f>
      </c>
      <c r="AK21" s="46">
        <f>=+AY21</f>
      </c>
      <c r="AL21" s="46"/>
      <c r="AM21" s="1"/>
      <c r="AN21" s="1">
        <f>=COUNTIF(E21:AI21,"A")+COUNTIF(E21:AI21,"B")+COUNTIF(E21:AI21,"C")+COUNTIF(E21:AI21,"D")+COUNTIF(E21:AI21,"E")+COUNTIF(E21:AI21,"F")+COUNTIF(E21:AI21,"M")+COUNTIF(E21:AI21,"AB")+COUNTIF(E21:AI21,"UZ")+COUNTIF(E21:AI21,"G")+(COUNTIF(E21:AI21,"RT.")/2)+(COUNTIF(E21:AI21,"ÇRT.")/2)</f>
      </c>
      <c r="AO21" s="1">
        <f>=COUNTIF(E21:AI21,"O")</f>
      </c>
      <c r="AP21" s="1">
        <f>=COUNTIF(E21:AI21,"RT")+(COUNTIF(E21:AI21,"RT.")/2)</f>
      </c>
      <c r="AQ21" s="1">
        <f>=COUNTIF(E21:AI21,"ÇRT")+(COUNTIF(E21:AI21,"ÇRT.")/2)</f>
      </c>
      <c r="AR21" s="1">
        <f>=COUNTIF(E21:AI21,"ÇHT")</f>
      </c>
      <c r="AS21" s="1">
        <f>=COUNTIF(E21:AI21,"Ö")+COUNTIF(E21:AI21,"T")</f>
      </c>
      <c r="AT21" s="1">
        <f>=COUNTIF(E21:AI21,"Y")</f>
      </c>
      <c r="AU21" s="1">
        <f>=COUNTIF(E21:AI21,"R.")</f>
      </c>
      <c r="AV21" s="1">
        <f>=COUNTIF(E21:AI21,"Ü")</f>
      </c>
      <c r="AW21" s="1">
        <f>=COUNTIF(E21:AI21,"R")</f>
      </c>
      <c r="AX21" s="1">
        <f>=COUNTIF(E21:AI21,"DV")</f>
      </c>
      <c r="AY21" s="1">
        <f>=+AN21+AO21+AP21+AQ21+AR21+AS21+AT21+AU21</f>
      </c>
    </row>
    <row r="22" ht="16" customHeight="1" spans="1:51" x14ac:dyDescent="0.25">
      <c r="A22" s="45"/>
      <c r="B22" s="46"/>
      <c r="C22" s="46"/>
      <c r="D22" s="46" t="s">
        <v>33</v>
      </c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ht="16" customHeight="1" spans="1:51" x14ac:dyDescent="0.25">
      <c r="A23" s="45"/>
      <c r="B23" s="46" t="s">
        <v>53</v>
      </c>
      <c r="C23" s="46" t="s">
        <v>54</v>
      </c>
      <c r="D23" s="46" t="s">
        <v>29</v>
      </c>
      <c r="E23" s="46" t="s">
        <v>37</v>
      </c>
      <c r="F23" s="46" t="s">
        <v>36</v>
      </c>
      <c r="G23" s="46" t="s">
        <v>36</v>
      </c>
      <c r="H23" s="46" t="s">
        <v>36</v>
      </c>
      <c r="I23" s="46" t="s">
        <v>36</v>
      </c>
      <c r="J23" s="46" t="s">
        <v>36</v>
      </c>
      <c r="K23" s="46" t="s">
        <v>36</v>
      </c>
      <c r="L23" s="46" t="s">
        <v>37</v>
      </c>
      <c r="M23" s="46" t="s">
        <v>36</v>
      </c>
      <c r="N23" s="46" t="s">
        <v>36</v>
      </c>
      <c r="O23" s="46" t="s">
        <v>36</v>
      </c>
      <c r="P23" s="46" t="s">
        <v>36</v>
      </c>
      <c r="Q23" s="46" t="s">
        <v>36</v>
      </c>
      <c r="R23" s="46" t="s">
        <v>36</v>
      </c>
      <c r="S23" s="46" t="s">
        <v>37</v>
      </c>
      <c r="T23" s="46" t="s">
        <v>36</v>
      </c>
      <c r="U23" s="46" t="s">
        <v>36</v>
      </c>
      <c r="V23" s="46" t="s">
        <v>36</v>
      </c>
      <c r="W23" s="46" t="s">
        <v>36</v>
      </c>
      <c r="X23" s="46" t="s">
        <v>36</v>
      </c>
      <c r="Y23" s="46" t="s">
        <v>36</v>
      </c>
      <c r="Z23" s="46" t="s">
        <v>37</v>
      </c>
      <c r="AA23" s="46" t="s">
        <v>36</v>
      </c>
      <c r="AB23" s="46" t="s">
        <v>36</v>
      </c>
      <c r="AC23" s="46" t="s">
        <v>36</v>
      </c>
      <c r="AD23" s="46" t="s">
        <v>36</v>
      </c>
      <c r="AE23" s="46" t="s">
        <v>36</v>
      </c>
      <c r="AF23" s="46" t="s">
        <v>36</v>
      </c>
      <c r="AG23" s="46" t="s">
        <v>37</v>
      </c>
      <c r="AH23" s="46" t="s">
        <v>43</v>
      </c>
      <c r="AI23" s="46" t="s">
        <v>36</v>
      </c>
      <c r="AJ23" s="46">
        <f>=SUM(E24:AI24)</f>
      </c>
      <c r="AK23" s="46">
        <f>=+AY23</f>
      </c>
      <c r="AL23" s="46"/>
      <c r="AM23" s="1"/>
      <c r="AN23" s="1">
        <f>=COUNTIF(E23:AI23,"A")+COUNTIF(E23:AI23,"B")+COUNTIF(E23:AI23,"C")+COUNTIF(E23:AI23,"D")+COUNTIF(E23:AI23,"E")+COUNTIF(E23:AI23,"F")+COUNTIF(E23:AI23,"M")+COUNTIF(E23:AI23,"AB")+COUNTIF(E23:AI23,"UZ")+COUNTIF(E23:AI23,"G")+(COUNTIF(E23:AI23,"RT.")/2)+(COUNTIF(E23:AI23,"ÇRT.")/2)</f>
      </c>
      <c r="AO23" s="1">
        <f>=COUNTIF(E23:AI23,"O")</f>
      </c>
      <c r="AP23" s="1">
        <f>=COUNTIF(E23:AI23,"RT")+(COUNTIF(E23:AI23,"RT.")/2)</f>
      </c>
      <c r="AQ23" s="1">
        <f>=COUNTIF(E23:AI23,"ÇRT")+(COUNTIF(E23:AI23,"ÇRT.")/2)</f>
      </c>
      <c r="AR23" s="1">
        <f>=COUNTIF(E23:AI23,"ÇHT")</f>
      </c>
      <c r="AS23" s="1">
        <f>=COUNTIF(E23:AI23,"Ö")+COUNTIF(E23:AI23,"T")</f>
      </c>
      <c r="AT23" s="1">
        <f>=COUNTIF(E23:AI23,"Y")</f>
      </c>
      <c r="AU23" s="1">
        <f>=COUNTIF(E23:AI23,"R.")</f>
      </c>
      <c r="AV23" s="1">
        <f>=COUNTIF(E23:AI23,"Ü")</f>
      </c>
      <c r="AW23" s="1">
        <f>=COUNTIF(E23:AI23,"R")</f>
      </c>
      <c r="AX23" s="1">
        <f>=COUNTIF(E23:AI23,"DV")</f>
      </c>
      <c r="AY23" s="1">
        <f>=+AN23+AO23+AP23+AQ23+AR23+AS23+AT23+AU23</f>
      </c>
    </row>
    <row r="24" ht="16" customHeight="1" spans="1:51" x14ac:dyDescent="0.25">
      <c r="A24" s="45"/>
      <c r="B24" s="46"/>
      <c r="C24" s="46"/>
      <c r="D24" s="46" t="s">
        <v>33</v>
      </c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ht="16" customHeight="1" spans="1:51" x14ac:dyDescent="0.25">
      <c r="A25" s="45"/>
      <c r="B25" s="46" t="s">
        <v>55</v>
      </c>
      <c r="C25" s="46" t="s">
        <v>56</v>
      </c>
      <c r="D25" s="46" t="s">
        <v>29</v>
      </c>
      <c r="E25" s="46" t="s">
        <v>41</v>
      </c>
      <c r="F25" s="46" t="s">
        <v>41</v>
      </c>
      <c r="G25" s="46" t="s">
        <v>41</v>
      </c>
      <c r="H25" s="46" t="s">
        <v>41</v>
      </c>
      <c r="I25" s="46" t="s">
        <v>41</v>
      </c>
      <c r="J25" s="46" t="s">
        <v>41</v>
      </c>
      <c r="K25" s="46" t="s">
        <v>37</v>
      </c>
      <c r="L25" s="46" t="s">
        <v>41</v>
      </c>
      <c r="M25" s="46" t="s">
        <v>41</v>
      </c>
      <c r="N25" s="46" t="s">
        <v>41</v>
      </c>
      <c r="O25" s="46" t="s">
        <v>41</v>
      </c>
      <c r="P25" s="46" t="s">
        <v>41</v>
      </c>
      <c r="Q25" s="46" t="s">
        <v>41</v>
      </c>
      <c r="R25" s="46" t="s">
        <v>37</v>
      </c>
      <c r="S25" s="46" t="s">
        <v>41</v>
      </c>
      <c r="T25" s="46" t="s">
        <v>41</v>
      </c>
      <c r="U25" s="46" t="s">
        <v>41</v>
      </c>
      <c r="V25" s="46" t="s">
        <v>41</v>
      </c>
      <c r="W25" s="46" t="s">
        <v>41</v>
      </c>
      <c r="X25" s="46" t="s">
        <v>41</v>
      </c>
      <c r="Y25" s="46" t="s">
        <v>37</v>
      </c>
      <c r="Z25" s="46" t="s">
        <v>41</v>
      </c>
      <c r="AA25" s="46" t="s">
        <v>41</v>
      </c>
      <c r="AB25" s="46" t="s">
        <v>41</v>
      </c>
      <c r="AC25" s="46" t="s">
        <v>41</v>
      </c>
      <c r="AD25" s="46" t="s">
        <v>41</v>
      </c>
      <c r="AE25" s="46" t="s">
        <v>41</v>
      </c>
      <c r="AF25" s="46" t="s">
        <v>37</v>
      </c>
      <c r="AG25" s="46" t="s">
        <v>41</v>
      </c>
      <c r="AH25" s="46" t="s">
        <v>43</v>
      </c>
      <c r="AI25" s="46" t="s">
        <v>41</v>
      </c>
      <c r="AJ25" s="46">
        <f>=SUM(E26:AI26)</f>
      </c>
      <c r="AK25" s="46">
        <f>=+AY25</f>
      </c>
      <c r="AL25" s="46"/>
      <c r="AM25" s="1"/>
      <c r="AN25" s="1">
        <f>=COUNTIF(E25:AI25,"A")+COUNTIF(E25:AI25,"B")+COUNTIF(E25:AI25,"C")+COUNTIF(E25:AI25,"D")+COUNTIF(E25:AI25,"E")+COUNTIF(E25:AI25,"F")+COUNTIF(E25:AI25,"M")+COUNTIF(E25:AI25,"AB")+COUNTIF(E25:AI25,"UZ")+COUNTIF(E25:AI25,"G")+(COUNTIF(E25:AI25,"RT.")/2)+(COUNTIF(E25:AI25,"ÇRT.")/2)</f>
      </c>
      <c r="AO25" s="1">
        <f>=COUNTIF(E25:AI25,"O")</f>
      </c>
      <c r="AP25" s="1">
        <f>=COUNTIF(E25:AI25,"RT")+(COUNTIF(E25:AI25,"RT.")/2)</f>
      </c>
      <c r="AQ25" s="1">
        <f>=COUNTIF(E25:AI25,"ÇRT")+(COUNTIF(E25:AI25,"ÇRT.")/2)</f>
      </c>
      <c r="AR25" s="1">
        <f>=COUNTIF(E25:AI25,"ÇHT")</f>
      </c>
      <c r="AS25" s="1">
        <f>=COUNTIF(E25:AI25,"Ö")+COUNTIF(E25:AI25,"T")</f>
      </c>
      <c r="AT25" s="1">
        <f>=COUNTIF(E25:AI25,"Y")</f>
      </c>
      <c r="AU25" s="1">
        <f>=COUNTIF(E25:AI25,"R.")</f>
      </c>
      <c r="AV25" s="1">
        <f>=COUNTIF(E25:AI25,"Ü")</f>
      </c>
      <c r="AW25" s="1">
        <f>=COUNTIF(E25:AI25,"R")</f>
      </c>
      <c r="AX25" s="1">
        <f>=COUNTIF(E25:AI25,"DV")</f>
      </c>
      <c r="AY25" s="1">
        <f>=+AN25+AO25+AP25+AQ25+AR25+AS25+AT25+AU25</f>
      </c>
    </row>
    <row r="26" ht="16" customHeight="1" spans="1:51" x14ac:dyDescent="0.25">
      <c r="A26" s="45"/>
      <c r="B26" s="46"/>
      <c r="C26" s="46"/>
      <c r="D26" s="46" t="s">
        <v>33</v>
      </c>
      <c r="E26" s="46"/>
      <c r="F26" s="46"/>
      <c r="G26" s="46">
        <v>2</v>
      </c>
      <c r="H26" s="46">
        <v>2</v>
      </c>
      <c r="I26" s="46">
        <v>2</v>
      </c>
      <c r="J26" s="46">
        <v>2</v>
      </c>
      <c r="K26" s="46"/>
      <c r="L26" s="46">
        <v>2</v>
      </c>
      <c r="M26" s="46">
        <v>2</v>
      </c>
      <c r="N26" s="46">
        <v>2</v>
      </c>
      <c r="O26" s="46">
        <v>2</v>
      </c>
      <c r="P26" s="46">
        <v>2</v>
      </c>
      <c r="Q26" s="46">
        <v>2</v>
      </c>
      <c r="R26" s="46"/>
      <c r="S26" s="46">
        <v>2</v>
      </c>
      <c r="T26" s="46">
        <v>2</v>
      </c>
      <c r="U26" s="46">
        <v>2</v>
      </c>
      <c r="V26" s="46">
        <v>2</v>
      </c>
      <c r="W26" s="46">
        <v>2</v>
      </c>
      <c r="X26" s="46">
        <v>2</v>
      </c>
      <c r="Y26" s="46"/>
      <c r="Z26" s="46">
        <v>2</v>
      </c>
      <c r="AA26" s="46">
        <v>2</v>
      </c>
      <c r="AB26" s="46">
        <v>2</v>
      </c>
      <c r="AC26" s="46">
        <v>2</v>
      </c>
      <c r="AD26" s="46">
        <v>2</v>
      </c>
      <c r="AE26" s="46">
        <v>2</v>
      </c>
      <c r="AF26" s="46"/>
      <c r="AG26" s="46">
        <v>2</v>
      </c>
      <c r="AH26" s="46">
        <v>2</v>
      </c>
      <c r="AI26" s="46"/>
      <c r="AJ26" s="46"/>
      <c r="AK26" s="46"/>
      <c r="AL26" s="46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ht="16" customHeight="1" spans="1:51" x14ac:dyDescent="0.25">
      <c r="A27" s="45"/>
      <c r="B27" s="46" t="s">
        <v>57</v>
      </c>
      <c r="C27" s="46" t="s">
        <v>58</v>
      </c>
      <c r="D27" s="46" t="s">
        <v>29</v>
      </c>
      <c r="E27" s="46" t="s">
        <v>37</v>
      </c>
      <c r="F27" s="46" t="s">
        <v>36</v>
      </c>
      <c r="G27" s="46" t="s">
        <v>41</v>
      </c>
      <c r="H27" s="46" t="s">
        <v>41</v>
      </c>
      <c r="I27" s="46" t="s">
        <v>41</v>
      </c>
      <c r="J27" s="46" t="s">
        <v>41</v>
      </c>
      <c r="K27" s="46" t="s">
        <v>41</v>
      </c>
      <c r="L27" s="46" t="s">
        <v>37</v>
      </c>
      <c r="M27" s="46" t="s">
        <v>41</v>
      </c>
      <c r="N27" s="46" t="s">
        <v>41</v>
      </c>
      <c r="O27" s="46" t="s">
        <v>59</v>
      </c>
      <c r="P27" s="46" t="s">
        <v>41</v>
      </c>
      <c r="Q27" s="46" t="s">
        <v>41</v>
      </c>
      <c r="R27" s="46" t="s">
        <v>41</v>
      </c>
      <c r="S27" s="46" t="s">
        <v>37</v>
      </c>
      <c r="T27" s="46" t="s">
        <v>41</v>
      </c>
      <c r="U27" s="46" t="s">
        <v>41</v>
      </c>
      <c r="V27" s="46" t="s">
        <v>41</v>
      </c>
      <c r="W27" s="46" t="s">
        <v>41</v>
      </c>
      <c r="X27" s="46" t="s">
        <v>41</v>
      </c>
      <c r="Y27" s="46" t="s">
        <v>41</v>
      </c>
      <c r="Z27" s="46" t="s">
        <v>37</v>
      </c>
      <c r="AA27" s="46" t="s">
        <v>41</v>
      </c>
      <c r="AB27" s="46" t="s">
        <v>42</v>
      </c>
      <c r="AC27" s="46" t="s">
        <v>36</v>
      </c>
      <c r="AD27" s="46" t="s">
        <v>36</v>
      </c>
      <c r="AE27" s="46" t="s">
        <v>36</v>
      </c>
      <c r="AF27" s="46" t="s">
        <v>36</v>
      </c>
      <c r="AG27" s="46" t="s">
        <v>37</v>
      </c>
      <c r="AH27" s="46" t="s">
        <v>43</v>
      </c>
      <c r="AI27" s="46" t="s">
        <v>59</v>
      </c>
      <c r="AJ27" s="46">
        <f>=SUM(E28:AI28)</f>
      </c>
      <c r="AK27" s="46">
        <f>=+AY27</f>
      </c>
      <c r="AL27" s="46"/>
      <c r="AM27" s="1"/>
      <c r="AN27" s="1">
        <f>=COUNTIF(E27:AI27,"A")+COUNTIF(E27:AI27,"B")+COUNTIF(E27:AI27,"C")+COUNTIF(E27:AI27,"D")+COUNTIF(E27:AI27,"E")+COUNTIF(E27:AI27,"F")+COUNTIF(E27:AI27,"M")+COUNTIF(E27:AI27,"AB")+COUNTIF(E27:AI27,"UZ")+COUNTIF(E27:AI27,"G")+(COUNTIF(E27:AI27,"RT.")/2)+(COUNTIF(E27:AI27,"ÇRT.")/2)</f>
      </c>
      <c r="AO27" s="1">
        <f>=COUNTIF(E27:AI27,"O")</f>
      </c>
      <c r="AP27" s="1">
        <f>=COUNTIF(E27:AI27,"RT")+(COUNTIF(E27:AI27,"RT.")/2)</f>
      </c>
      <c r="AQ27" s="1">
        <f>=COUNTIF(E27:AI27,"ÇRT")+(COUNTIF(E27:AI27,"ÇRT.")/2)</f>
      </c>
      <c r="AR27" s="1">
        <f>=COUNTIF(E27:AI27,"ÇHT")</f>
      </c>
      <c r="AS27" s="1">
        <f>=COUNTIF(E27:AI27,"Ö")+COUNTIF(E27:AI27,"T")</f>
      </c>
      <c r="AT27" s="1">
        <f>=COUNTIF(E27:AI27,"Y")</f>
      </c>
      <c r="AU27" s="1">
        <f>=COUNTIF(E27:AI27,"R.")</f>
      </c>
      <c r="AV27" s="1">
        <f>=COUNTIF(E27:AI27,"Ü")</f>
      </c>
      <c r="AW27" s="1">
        <f>=COUNTIF(E27:AI27,"R")</f>
      </c>
      <c r="AX27" s="1">
        <f>=COUNTIF(E27:AI27,"DV")</f>
      </c>
      <c r="AY27" s="1">
        <f>=+AN27+AO27+AP27+AQ27+AR27+AS27+AT27+AU27</f>
      </c>
    </row>
    <row r="28" ht="16" customHeight="1" spans="1:51" x14ac:dyDescent="0.25">
      <c r="A28" s="45"/>
      <c r="B28" s="46"/>
      <c r="C28" s="46"/>
      <c r="D28" s="46" t="s">
        <v>33</v>
      </c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ht="16" customHeight="1" spans="1:51" x14ac:dyDescent="0.25">
      <c r="A29" s="45"/>
      <c r="B29" s="46" t="s">
        <v>60</v>
      </c>
      <c r="C29" s="46" t="s">
        <v>61</v>
      </c>
      <c r="D29" s="46" t="s">
        <v>29</v>
      </c>
      <c r="E29" s="46" t="s">
        <v>36</v>
      </c>
      <c r="F29" s="46" t="s">
        <v>36</v>
      </c>
      <c r="G29" s="46" t="s">
        <v>37</v>
      </c>
      <c r="H29" s="46" t="s">
        <v>36</v>
      </c>
      <c r="I29" s="46" t="s">
        <v>36</v>
      </c>
      <c r="J29" s="46" t="s">
        <v>36</v>
      </c>
      <c r="K29" s="46" t="s">
        <v>36</v>
      </c>
      <c r="L29" s="46" t="s">
        <v>36</v>
      </c>
      <c r="M29" s="46" t="s">
        <v>36</v>
      </c>
      <c r="N29" s="46" t="s">
        <v>37</v>
      </c>
      <c r="O29" s="46" t="s">
        <v>36</v>
      </c>
      <c r="P29" s="46" t="s">
        <v>36</v>
      </c>
      <c r="Q29" s="46" t="s">
        <v>36</v>
      </c>
      <c r="R29" s="46" t="s">
        <v>36</v>
      </c>
      <c r="S29" s="46" t="s">
        <v>36</v>
      </c>
      <c r="T29" s="46" t="s">
        <v>36</v>
      </c>
      <c r="U29" s="46" t="s">
        <v>37</v>
      </c>
      <c r="V29" s="46" t="s">
        <v>36</v>
      </c>
      <c r="W29" s="46" t="s">
        <v>36</v>
      </c>
      <c r="X29" s="46" t="s">
        <v>36</v>
      </c>
      <c r="Y29" s="46" t="s">
        <v>36</v>
      </c>
      <c r="Z29" s="46" t="s">
        <v>36</v>
      </c>
      <c r="AA29" s="46" t="s">
        <v>36</v>
      </c>
      <c r="AB29" s="46" t="s">
        <v>37</v>
      </c>
      <c r="AC29" s="46" t="s">
        <v>36</v>
      </c>
      <c r="AD29" s="46" t="s">
        <v>36</v>
      </c>
      <c r="AE29" s="46" t="s">
        <v>36</v>
      </c>
      <c r="AF29" s="46" t="s">
        <v>36</v>
      </c>
      <c r="AG29" s="46" t="s">
        <v>36</v>
      </c>
      <c r="AH29" s="46" t="s">
        <v>43</v>
      </c>
      <c r="AI29" s="46" t="s">
        <v>37</v>
      </c>
      <c r="AJ29" s="46">
        <f>=SUM(E30:AI30)</f>
      </c>
      <c r="AK29" s="46">
        <f>=+AY29</f>
      </c>
      <c r="AL29" s="46"/>
      <c r="AM29" s="1"/>
      <c r="AN29" s="1">
        <f>=COUNTIF(E29:AI29,"A")+COUNTIF(E29:AI29,"B")+COUNTIF(E29:AI29,"C")+COUNTIF(E29:AI29,"D")+COUNTIF(E29:AI29,"E")+COUNTIF(E29:AI29,"F")+COUNTIF(E29:AI29,"M")+COUNTIF(E29:AI29,"AB")+COUNTIF(E29:AI29,"UZ")+COUNTIF(E29:AI29,"G")+(COUNTIF(E29:AI29,"RT.")/2)+(COUNTIF(E29:AI29,"ÇRT.")/2)</f>
      </c>
      <c r="AO29" s="1">
        <f>=COUNTIF(E29:AI29,"O")</f>
      </c>
      <c r="AP29" s="1">
        <f>=COUNTIF(E29:AI29,"RT")+(COUNTIF(E29:AI29,"RT.")/2)</f>
      </c>
      <c r="AQ29" s="1">
        <f>=COUNTIF(E29:AI29,"ÇRT")+(COUNTIF(E29:AI29,"ÇRT.")/2)</f>
      </c>
      <c r="AR29" s="1">
        <f>=COUNTIF(E29:AI29,"ÇHT")</f>
      </c>
      <c r="AS29" s="1">
        <f>=COUNTIF(E29:AI29,"Ö")+COUNTIF(E29:AI29,"T")</f>
      </c>
      <c r="AT29" s="1">
        <f>=COUNTIF(E29:AI29,"Y")</f>
      </c>
      <c r="AU29" s="1">
        <f>=COUNTIF(E29:AI29,"R.")</f>
      </c>
      <c r="AV29" s="1">
        <f>=COUNTIF(E29:AI29,"Ü")</f>
      </c>
      <c r="AW29" s="1">
        <f>=COUNTIF(E29:AI29,"R")</f>
      </c>
      <c r="AX29" s="1">
        <f>=COUNTIF(E29:AI29,"DV")</f>
      </c>
      <c r="AY29" s="1">
        <f>=+AN29+AO29+AP29+AQ29+AR29+AS29+AT29+AU29</f>
      </c>
    </row>
    <row r="30" ht="16" customHeight="1" spans="1:51" x14ac:dyDescent="0.25">
      <c r="A30" s="45"/>
      <c r="B30" s="46"/>
      <c r="C30" s="46"/>
      <c r="D30" s="46" t="s">
        <v>33</v>
      </c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>
        <v>3</v>
      </c>
      <c r="AD30" s="46">
        <v>3</v>
      </c>
      <c r="AE30" s="46"/>
      <c r="AF30" s="46"/>
      <c r="AG30" s="46"/>
      <c r="AH30" s="46"/>
      <c r="AI30" s="46"/>
      <c r="AJ30" s="46"/>
      <c r="AK30" s="46"/>
      <c r="AL30" s="46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ht="16" customHeight="1" spans="1:51" x14ac:dyDescent="0.25">
      <c r="A31" s="45"/>
      <c r="B31" s="46" t="s">
        <v>62</v>
      </c>
      <c r="C31" s="46" t="s">
        <v>63</v>
      </c>
      <c r="D31" s="46" t="s">
        <v>29</v>
      </c>
      <c r="E31" s="46" t="s">
        <v>41</v>
      </c>
      <c r="F31" s="46" t="s">
        <v>41</v>
      </c>
      <c r="G31" s="46" t="s">
        <v>41</v>
      </c>
      <c r="H31" s="46" t="s">
        <v>37</v>
      </c>
      <c r="I31" s="46" t="s">
        <v>41</v>
      </c>
      <c r="J31" s="46" t="s">
        <v>41</v>
      </c>
      <c r="K31" s="46" t="s">
        <v>41</v>
      </c>
      <c r="L31" s="46" t="s">
        <v>41</v>
      </c>
      <c r="M31" s="46" t="s">
        <v>41</v>
      </c>
      <c r="N31" s="46" t="s">
        <v>41</v>
      </c>
      <c r="O31" s="46" t="s">
        <v>37</v>
      </c>
      <c r="P31" s="46" t="s">
        <v>41</v>
      </c>
      <c r="Q31" s="46" t="s">
        <v>41</v>
      </c>
      <c r="R31" s="46" t="s">
        <v>41</v>
      </c>
      <c r="S31" s="46" t="s">
        <v>41</v>
      </c>
      <c r="T31" s="46" t="s">
        <v>41</v>
      </c>
      <c r="U31" s="46" t="s">
        <v>41</v>
      </c>
      <c r="V31" s="46" t="s">
        <v>37</v>
      </c>
      <c r="W31" s="46" t="s">
        <v>41</v>
      </c>
      <c r="X31" s="46" t="s">
        <v>41</v>
      </c>
      <c r="Y31" s="46" t="s">
        <v>41</v>
      </c>
      <c r="Z31" s="46" t="s">
        <v>41</v>
      </c>
      <c r="AA31" s="46" t="s">
        <v>41</v>
      </c>
      <c r="AB31" s="46" t="s">
        <v>41</v>
      </c>
      <c r="AC31" s="46" t="s">
        <v>37</v>
      </c>
      <c r="AD31" s="46" t="s">
        <v>41</v>
      </c>
      <c r="AE31" s="46" t="s">
        <v>41</v>
      </c>
      <c r="AF31" s="46" t="s">
        <v>41</v>
      </c>
      <c r="AG31" s="46" t="s">
        <v>41</v>
      </c>
      <c r="AH31" s="46" t="s">
        <v>43</v>
      </c>
      <c r="AI31" s="46" t="s">
        <v>41</v>
      </c>
      <c r="AJ31" s="46">
        <f>=SUM(E32:AI32)</f>
      </c>
      <c r="AK31" s="46">
        <f>=+AY31</f>
      </c>
      <c r="AL31" s="46"/>
      <c r="AM31" s="1"/>
      <c r="AN31" s="1">
        <f>=COUNTIF(E31:AI31,"A")+COUNTIF(E31:AI31,"B")+COUNTIF(E31:AI31,"C")+COUNTIF(E31:AI31,"D")+COUNTIF(E31:AI31,"E")+COUNTIF(E31:AI31,"F")+COUNTIF(E31:AI31,"M")+COUNTIF(E31:AI31,"AB")+COUNTIF(E31:AI31,"UZ")+COUNTIF(E31:AI31,"G")+(COUNTIF(E31:AI31,"RT.")/2)+(COUNTIF(E31:AI31,"ÇRT.")/2)</f>
      </c>
      <c r="AO31" s="1">
        <f>=COUNTIF(E31:AI31,"O")</f>
      </c>
      <c r="AP31" s="1">
        <f>=COUNTIF(E31:AI31,"RT")+(COUNTIF(E31:AI31,"RT.")/2)</f>
      </c>
      <c r="AQ31" s="1">
        <f>=COUNTIF(E31:AI31,"ÇRT")+(COUNTIF(E31:AI31,"ÇRT.")/2)</f>
      </c>
      <c r="AR31" s="1">
        <f>=COUNTIF(E31:AI31,"ÇHT")</f>
      </c>
      <c r="AS31" s="1">
        <f>=COUNTIF(E31:AI31,"Ö")+COUNTIF(E31:AI31,"T")</f>
      </c>
      <c r="AT31" s="1">
        <f>=COUNTIF(E31:AI31,"Y")</f>
      </c>
      <c r="AU31" s="1">
        <f>=COUNTIF(E31:AI31,"R.")</f>
      </c>
      <c r="AV31" s="1">
        <f>=COUNTIF(E31:AI31,"Ü")</f>
      </c>
      <c r="AW31" s="1">
        <f>=COUNTIF(E31:AI31,"R")</f>
      </c>
      <c r="AX31" s="1">
        <f>=COUNTIF(E31:AI31,"DV")</f>
      </c>
      <c r="AY31" s="1">
        <f>=+AN31+AO31+AP31+AQ31+AR31+AS31+AT31+AU31</f>
      </c>
    </row>
    <row r="32" ht="16" customHeight="1" spans="1:51" x14ac:dyDescent="0.25">
      <c r="A32" s="45"/>
      <c r="B32" s="46"/>
      <c r="C32" s="46"/>
      <c r="D32" s="46" t="s">
        <v>33</v>
      </c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ht="16" customHeight="1" spans="1:51" x14ac:dyDescent="0.25">
      <c r="A33" s="45"/>
      <c r="B33" s="46" t="s">
        <v>64</v>
      </c>
      <c r="C33" s="46" t="s">
        <v>65</v>
      </c>
      <c r="D33" s="46" t="s">
        <v>29</v>
      </c>
      <c r="E33" s="46" t="s">
        <v>41</v>
      </c>
      <c r="F33" s="46" t="s">
        <v>41</v>
      </c>
      <c r="G33" s="46" t="s">
        <v>41</v>
      </c>
      <c r="H33" s="46" t="s">
        <v>41</v>
      </c>
      <c r="I33" s="46" t="s">
        <v>41</v>
      </c>
      <c r="J33" s="46" t="s">
        <v>41</v>
      </c>
      <c r="K33" s="46" t="s">
        <v>37</v>
      </c>
      <c r="L33" s="46" t="s">
        <v>31</v>
      </c>
      <c r="M33" s="46" t="s">
        <v>41</v>
      </c>
      <c r="N33" s="46" t="s">
        <v>42</v>
      </c>
      <c r="O33" s="46" t="s">
        <v>36</v>
      </c>
      <c r="P33" s="46" t="s">
        <v>36</v>
      </c>
      <c r="Q33" s="46" t="s">
        <v>36</v>
      </c>
      <c r="R33" s="46" t="s">
        <v>37</v>
      </c>
      <c r="S33" s="46" t="s">
        <v>36</v>
      </c>
      <c r="T33" s="46" t="s">
        <v>36</v>
      </c>
      <c r="U33" s="46" t="s">
        <v>36</v>
      </c>
      <c r="V33" s="46" t="s">
        <v>36</v>
      </c>
      <c r="W33" s="46" t="s">
        <v>36</v>
      </c>
      <c r="X33" s="46" t="s">
        <v>36</v>
      </c>
      <c r="Y33" s="46" t="s">
        <v>37</v>
      </c>
      <c r="Z33" s="46" t="s">
        <v>36</v>
      </c>
      <c r="AA33" s="46" t="s">
        <v>36</v>
      </c>
      <c r="AB33" s="46" t="s">
        <v>36</v>
      </c>
      <c r="AC33" s="46" t="s">
        <v>36</v>
      </c>
      <c r="AD33" s="46" t="s">
        <v>36</v>
      </c>
      <c r="AE33" s="46" t="s">
        <v>36</v>
      </c>
      <c r="AF33" s="46" t="s">
        <v>37</v>
      </c>
      <c r="AG33" s="46" t="s">
        <v>36</v>
      </c>
      <c r="AH33" s="46" t="s">
        <v>43</v>
      </c>
      <c r="AI33" s="46" t="s">
        <v>36</v>
      </c>
      <c r="AJ33" s="46">
        <f>=SUM(E34:AI34)</f>
      </c>
      <c r="AK33" s="46">
        <f>=+AY33</f>
      </c>
      <c r="AL33" s="46"/>
      <c r="AM33" s="1"/>
      <c r="AN33" s="1">
        <f>=COUNTIF(E33:AI33,"A")+COUNTIF(E33:AI33,"B")+COUNTIF(E33:AI33,"C")+COUNTIF(E33:AI33,"D")+COUNTIF(E33:AI33,"E")+COUNTIF(E33:AI33,"F")+COUNTIF(E33:AI33,"M")+COUNTIF(E33:AI33,"AB")+COUNTIF(E33:AI33,"UZ")+COUNTIF(E33:AI33,"G")+(COUNTIF(E33:AI33,"RT.")/2)+(COUNTIF(E33:AI33,"ÇRT.")/2)</f>
      </c>
      <c r="AO33" s="1">
        <f>=COUNTIF(E33:AI33,"O")</f>
      </c>
      <c r="AP33" s="1">
        <f>=COUNTIF(E33:AI33,"RT")+(COUNTIF(E33:AI33,"RT.")/2)</f>
      </c>
      <c r="AQ33" s="1">
        <f>=COUNTIF(E33:AI33,"ÇRT")+(COUNTIF(E33:AI33,"ÇRT.")/2)</f>
      </c>
      <c r="AR33" s="1">
        <f>=COUNTIF(E33:AI33,"ÇHT")</f>
      </c>
      <c r="AS33" s="1">
        <f>=COUNTIF(E33:AI33,"Ö")+COUNTIF(E33:AI33,"T")</f>
      </c>
      <c r="AT33" s="1">
        <f>=COUNTIF(E33:AI33,"Y")</f>
      </c>
      <c r="AU33" s="1">
        <f>=COUNTIF(E33:AI33,"R.")</f>
      </c>
      <c r="AV33" s="1">
        <f>=COUNTIF(E33:AI33,"Ü")</f>
      </c>
      <c r="AW33" s="1">
        <f>=COUNTIF(E33:AI33,"R")</f>
      </c>
      <c r="AX33" s="1">
        <f>=COUNTIF(E33:AI33,"DV")</f>
      </c>
      <c r="AY33" s="1">
        <f>=+AN33+AO33+AP33+AQ33+AR33+AS33+AT33+AU33</f>
      </c>
    </row>
    <row r="34" ht="16" customHeight="1" spans="1:51" x14ac:dyDescent="0.25">
      <c r="A34" s="45"/>
      <c r="B34" s="46"/>
      <c r="C34" s="46"/>
      <c r="D34" s="46" t="s">
        <v>33</v>
      </c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>
        <v>2</v>
      </c>
      <c r="AE34" s="46"/>
      <c r="AF34" s="46"/>
      <c r="AG34" s="46"/>
      <c r="AH34" s="46"/>
      <c r="AI34" s="46"/>
      <c r="AJ34" s="46"/>
      <c r="AK34" s="46"/>
      <c r="AL34" s="46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ht="16" customHeight="1" spans="1:51" x14ac:dyDescent="0.25">
      <c r="A35" s="45"/>
      <c r="B35" s="46" t="s">
        <v>66</v>
      </c>
      <c r="C35" s="46" t="s">
        <v>67</v>
      </c>
      <c r="D35" s="46" t="s">
        <v>29</v>
      </c>
      <c r="E35" s="46" t="s">
        <v>36</v>
      </c>
      <c r="F35" s="46" t="s">
        <v>36</v>
      </c>
      <c r="G35" s="46" t="s">
        <v>37</v>
      </c>
      <c r="H35" s="46" t="s">
        <v>41</v>
      </c>
      <c r="I35" s="46" t="s">
        <v>42</v>
      </c>
      <c r="J35" s="46" t="s">
        <v>41</v>
      </c>
      <c r="K35" s="46" t="s">
        <v>41</v>
      </c>
      <c r="L35" s="46" t="s">
        <v>41</v>
      </c>
      <c r="M35" s="46" t="s">
        <v>41</v>
      </c>
      <c r="N35" s="46" t="s">
        <v>41</v>
      </c>
      <c r="O35" s="46" t="s">
        <v>41</v>
      </c>
      <c r="P35" s="46" t="s">
        <v>37</v>
      </c>
      <c r="Q35" s="46" t="s">
        <v>41</v>
      </c>
      <c r="R35" s="46" t="s">
        <v>41</v>
      </c>
      <c r="S35" s="46" t="s">
        <v>41</v>
      </c>
      <c r="T35" s="46" t="s">
        <v>41</v>
      </c>
      <c r="U35" s="46" t="s">
        <v>42</v>
      </c>
      <c r="V35" s="46" t="s">
        <v>41</v>
      </c>
      <c r="W35" s="46" t="s">
        <v>37</v>
      </c>
      <c r="X35" s="46" t="s">
        <v>41</v>
      </c>
      <c r="Y35" s="46" t="s">
        <v>41</v>
      </c>
      <c r="Z35" s="46" t="s">
        <v>41</v>
      </c>
      <c r="AA35" s="46" t="s">
        <v>41</v>
      </c>
      <c r="AB35" s="46" t="s">
        <v>41</v>
      </c>
      <c r="AC35" s="46" t="s">
        <v>37</v>
      </c>
      <c r="AD35" s="46" t="s">
        <v>41</v>
      </c>
      <c r="AE35" s="46" t="s">
        <v>41</v>
      </c>
      <c r="AF35" s="46" t="s">
        <v>41</v>
      </c>
      <c r="AG35" s="46" t="s">
        <v>41</v>
      </c>
      <c r="AH35" s="46" t="s">
        <v>43</v>
      </c>
      <c r="AI35" s="46" t="s">
        <v>41</v>
      </c>
      <c r="AJ35" s="46">
        <f>=SUM(E36:AI36)</f>
      </c>
      <c r="AK35" s="46">
        <f>=+AY35</f>
      </c>
      <c r="AL35" s="46"/>
      <c r="AM35" s="1"/>
      <c r="AN35" s="1">
        <f>=COUNTIF(E35:AI35,"A")+COUNTIF(E35:AI35,"B")+COUNTIF(E35:AI35,"C")+COUNTIF(E35:AI35,"D")+COUNTIF(E35:AI35,"E")+COUNTIF(E35:AI35,"F")+COUNTIF(E35:AI35,"M")+COUNTIF(E35:AI35,"AB")+COUNTIF(E35:AI35,"UZ")+COUNTIF(E35:AI35,"G")+(COUNTIF(E35:AI35,"RT.")/2)+(COUNTIF(E35:AI35,"ÇRT.")/2)</f>
      </c>
      <c r="AO35" s="1">
        <f>=COUNTIF(E35:AI35,"O")</f>
      </c>
      <c r="AP35" s="1">
        <f>=COUNTIF(E35:AI35,"RT")+(COUNTIF(E35:AI35,"RT.")/2)</f>
      </c>
      <c r="AQ35" s="1">
        <f>=COUNTIF(E35:AI35,"ÇRT")+(COUNTIF(E35:AI35,"ÇRT.")/2)</f>
      </c>
      <c r="AR35" s="1">
        <f>=COUNTIF(E35:AI35,"ÇHT")</f>
      </c>
      <c r="AS35" s="1">
        <f>=COUNTIF(E35:AI35,"Ö")+COUNTIF(E35:AI35,"T")</f>
      </c>
      <c r="AT35" s="1">
        <f>=COUNTIF(E35:AI35,"Y")</f>
      </c>
      <c r="AU35" s="1">
        <f>=COUNTIF(E35:AI35,"R.")</f>
      </c>
      <c r="AV35" s="1">
        <f>=COUNTIF(E35:AI35,"Ü")</f>
      </c>
      <c r="AW35" s="1">
        <f>=COUNTIF(E35:AI35,"R")</f>
      </c>
      <c r="AX35" s="1">
        <f>=COUNTIF(E35:AI35,"DV")</f>
      </c>
      <c r="AY35" s="1">
        <f>=+AN35+AO35+AP35+AQ35+AR35+AS35+AT35+AU35</f>
      </c>
    </row>
    <row r="36" ht="16" customHeight="1" spans="1:51" x14ac:dyDescent="0.25">
      <c r="A36" s="45"/>
      <c r="B36" s="46"/>
      <c r="C36" s="46"/>
      <c r="D36" s="46" t="s">
        <v>33</v>
      </c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ht="16" customHeight="1" spans="1:51" x14ac:dyDescent="0.25">
      <c r="A37" s="45"/>
      <c r="B37" s="46" t="s">
        <v>68</v>
      </c>
      <c r="C37" s="46" t="s">
        <v>69</v>
      </c>
      <c r="D37" s="46" t="s">
        <v>29</v>
      </c>
      <c r="E37" s="46" t="s">
        <v>36</v>
      </c>
      <c r="F37" s="46" t="s">
        <v>36</v>
      </c>
      <c r="G37" s="46" t="s">
        <v>36</v>
      </c>
      <c r="H37" s="46" t="s">
        <v>36</v>
      </c>
      <c r="I37" s="46" t="s">
        <v>36</v>
      </c>
      <c r="J37" s="46" t="s">
        <v>36</v>
      </c>
      <c r="K37" s="46" t="s">
        <v>36</v>
      </c>
      <c r="L37" s="46" t="s">
        <v>37</v>
      </c>
      <c r="M37" s="46" t="s">
        <v>36</v>
      </c>
      <c r="N37" s="46" t="s">
        <v>36</v>
      </c>
      <c r="O37" s="46" t="s">
        <v>36</v>
      </c>
      <c r="P37" s="46" t="s">
        <v>36</v>
      </c>
      <c r="Q37" s="46" t="s">
        <v>37</v>
      </c>
      <c r="R37" s="46" t="s">
        <v>36</v>
      </c>
      <c r="S37" s="46" t="s">
        <v>36</v>
      </c>
      <c r="T37" s="46" t="s">
        <v>36</v>
      </c>
      <c r="U37" s="46" t="s">
        <v>36</v>
      </c>
      <c r="V37" s="46" t="s">
        <v>36</v>
      </c>
      <c r="W37" s="46" t="s">
        <v>36</v>
      </c>
      <c r="X37" s="46" t="s">
        <v>37</v>
      </c>
      <c r="Y37" s="46" t="s">
        <v>36</v>
      </c>
      <c r="Z37" s="46" t="s">
        <v>36</v>
      </c>
      <c r="AA37" s="46" t="s">
        <v>36</v>
      </c>
      <c r="AB37" s="46" t="s">
        <v>36</v>
      </c>
      <c r="AC37" s="46" t="s">
        <v>36</v>
      </c>
      <c r="AD37" s="46" t="s">
        <v>36</v>
      </c>
      <c r="AE37" s="46" t="s">
        <v>37</v>
      </c>
      <c r="AF37" s="46" t="s">
        <v>36</v>
      </c>
      <c r="AG37" s="46" t="s">
        <v>36</v>
      </c>
      <c r="AH37" s="46" t="s">
        <v>43</v>
      </c>
      <c r="AI37" s="46" t="s">
        <v>36</v>
      </c>
      <c r="AJ37" s="46">
        <f>=SUM(E38:AI38)</f>
      </c>
      <c r="AK37" s="46">
        <f>=+AY37</f>
      </c>
      <c r="AL37" s="46"/>
      <c r="AM37" s="1"/>
      <c r="AN37" s="1">
        <f>=COUNTIF(E37:AI37,"A")+COUNTIF(E37:AI37,"B")+COUNTIF(E37:AI37,"C")+COUNTIF(E37:AI37,"D")+COUNTIF(E37:AI37,"E")+COUNTIF(E37:AI37,"F")+COUNTIF(E37:AI37,"M")+COUNTIF(E37:AI37,"AB")+COUNTIF(E37:AI37,"UZ")+COUNTIF(E37:AI37,"G")+(COUNTIF(E37:AI37,"RT.")/2)+(COUNTIF(E37:AI37,"ÇRT.")/2)</f>
      </c>
      <c r="AO37" s="1">
        <f>=COUNTIF(E37:AI37,"O")</f>
      </c>
      <c r="AP37" s="1">
        <f>=COUNTIF(E37:AI37,"RT")+(COUNTIF(E37:AI37,"RT.")/2)</f>
      </c>
      <c r="AQ37" s="1">
        <f>=COUNTIF(E37:AI37,"ÇRT")+(COUNTIF(E37:AI37,"ÇRT.")/2)</f>
      </c>
      <c r="AR37" s="1">
        <f>=COUNTIF(E37:AI37,"ÇHT")</f>
      </c>
      <c r="AS37" s="1">
        <f>=COUNTIF(E37:AI37,"Ö")+COUNTIF(E37:AI37,"T")</f>
      </c>
      <c r="AT37" s="1">
        <f>=COUNTIF(E37:AI37,"Y")</f>
      </c>
      <c r="AU37" s="1">
        <f>=COUNTIF(E37:AI37,"R.")</f>
      </c>
      <c r="AV37" s="1">
        <f>=COUNTIF(E37:AI37,"Ü")</f>
      </c>
      <c r="AW37" s="1">
        <f>=COUNTIF(E37:AI37,"R")</f>
      </c>
      <c r="AX37" s="1">
        <f>=COUNTIF(E37:AI37,"DV")</f>
      </c>
      <c r="AY37" s="1">
        <f>=+AN37+AO37+AP37+AQ37+AR37+AS37+AT37+AU37</f>
      </c>
    </row>
    <row r="38" ht="16" customHeight="1" spans="1:51" x14ac:dyDescent="0.25">
      <c r="A38" s="45"/>
      <c r="B38" s="46"/>
      <c r="C38" s="46"/>
      <c r="D38" s="46" t="s">
        <v>33</v>
      </c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ht="16" customHeight="1" spans="1:51" x14ac:dyDescent="0.25">
      <c r="A39" s="45"/>
      <c r="B39" s="46" t="s">
        <v>70</v>
      </c>
      <c r="C39" s="46" t="s">
        <v>71</v>
      </c>
      <c r="D39" s="46" t="s">
        <v>29</v>
      </c>
      <c r="E39" s="46" t="s">
        <v>36</v>
      </c>
      <c r="F39" s="46" t="s">
        <v>36</v>
      </c>
      <c r="G39" s="46" t="s">
        <v>36</v>
      </c>
      <c r="H39" s="46" t="s">
        <v>36</v>
      </c>
      <c r="I39" s="46" t="s">
        <v>36</v>
      </c>
      <c r="J39" s="46" t="s">
        <v>37</v>
      </c>
      <c r="K39" s="46" t="s">
        <v>41</v>
      </c>
      <c r="L39" s="46" t="s">
        <v>42</v>
      </c>
      <c r="M39" s="46" t="s">
        <v>36</v>
      </c>
      <c r="N39" s="46" t="s">
        <v>36</v>
      </c>
      <c r="O39" s="46" t="s">
        <v>37</v>
      </c>
      <c r="P39" s="46" t="s">
        <v>36</v>
      </c>
      <c r="Q39" s="46" t="s">
        <v>36</v>
      </c>
      <c r="R39" s="46" t="s">
        <v>36</v>
      </c>
      <c r="S39" s="46" t="s">
        <v>36</v>
      </c>
      <c r="T39" s="46" t="s">
        <v>36</v>
      </c>
      <c r="U39" s="46" t="s">
        <v>36</v>
      </c>
      <c r="V39" s="46" t="s">
        <v>37</v>
      </c>
      <c r="W39" s="46" t="s">
        <v>36</v>
      </c>
      <c r="X39" s="46" t="s">
        <v>36</v>
      </c>
      <c r="Y39" s="46" t="s">
        <v>36</v>
      </c>
      <c r="Z39" s="46" t="s">
        <v>36</v>
      </c>
      <c r="AA39" s="46" t="s">
        <v>36</v>
      </c>
      <c r="AB39" s="46" t="s">
        <v>36</v>
      </c>
      <c r="AC39" s="46" t="s">
        <v>37</v>
      </c>
      <c r="AD39" s="46" t="s">
        <v>36</v>
      </c>
      <c r="AE39" s="46" t="s">
        <v>36</v>
      </c>
      <c r="AF39" s="46" t="s">
        <v>36</v>
      </c>
      <c r="AG39" s="46" t="s">
        <v>36</v>
      </c>
      <c r="AH39" s="46" t="s">
        <v>43</v>
      </c>
      <c r="AI39" s="46" t="s">
        <v>36</v>
      </c>
      <c r="AJ39" s="46">
        <f>=SUM(E40:AI40)</f>
      </c>
      <c r="AK39" s="46">
        <f>=+AY39</f>
      </c>
      <c r="AL39" s="46"/>
      <c r="AM39" s="1"/>
      <c r="AN39" s="1">
        <f>=COUNTIF(E39:AI39,"A")+COUNTIF(E39:AI39,"B")+COUNTIF(E39:AI39,"C")+COUNTIF(E39:AI39,"D")+COUNTIF(E39:AI39,"E")+COUNTIF(E39:AI39,"F")+COUNTIF(E39:AI39,"M")+COUNTIF(E39:AI39,"AB")+COUNTIF(E39:AI39,"UZ")+COUNTIF(E39:AI39,"G")+(COUNTIF(E39:AI39,"RT.")/2)+(COUNTIF(E39:AI39,"ÇRT.")/2)</f>
      </c>
      <c r="AO39" s="1">
        <f>=COUNTIF(E39:AI39,"O")</f>
      </c>
      <c r="AP39" s="1">
        <f>=COUNTIF(E39:AI39,"RT")+(COUNTIF(E39:AI39,"RT.")/2)</f>
      </c>
      <c r="AQ39" s="1">
        <f>=COUNTIF(E39:AI39,"ÇRT")+(COUNTIF(E39:AI39,"ÇRT.")/2)</f>
      </c>
      <c r="AR39" s="1">
        <f>=COUNTIF(E39:AI39,"ÇHT")</f>
      </c>
      <c r="AS39" s="1">
        <f>=COUNTIF(E39:AI39,"Ö")+COUNTIF(E39:AI39,"T")</f>
      </c>
      <c r="AT39" s="1">
        <f>=COUNTIF(E39:AI39,"Y")</f>
      </c>
      <c r="AU39" s="1">
        <f>=COUNTIF(E39:AI39,"R.")</f>
      </c>
      <c r="AV39" s="1">
        <f>=COUNTIF(E39:AI39,"Ü")</f>
      </c>
      <c r="AW39" s="1">
        <f>=COUNTIF(E39:AI39,"R")</f>
      </c>
      <c r="AX39" s="1">
        <f>=COUNTIF(E39:AI39,"DV")</f>
      </c>
      <c r="AY39" s="1">
        <f>=+AN39+AO39+AP39+AQ39+AR39+AS39+AT39+AU39</f>
      </c>
    </row>
    <row r="40" ht="16" customHeight="1" spans="1:51" x14ac:dyDescent="0.25">
      <c r="A40" s="45"/>
      <c r="B40" s="46"/>
      <c r="C40" s="46"/>
      <c r="D40" s="46" t="s">
        <v>33</v>
      </c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ht="16" customHeight="1" spans="1:51" x14ac:dyDescent="0.25">
      <c r="A41" s="45"/>
      <c r="B41" s="46" t="s">
        <v>72</v>
      </c>
      <c r="C41" s="46" t="s">
        <v>73</v>
      </c>
      <c r="D41" s="46" t="s">
        <v>29</v>
      </c>
      <c r="E41" s="46" t="s">
        <v>42</v>
      </c>
      <c r="F41" s="46" t="s">
        <v>42</v>
      </c>
      <c r="G41" s="46" t="s">
        <v>42</v>
      </c>
      <c r="H41" s="46" t="s">
        <v>37</v>
      </c>
      <c r="I41" s="46" t="s">
        <v>42</v>
      </c>
      <c r="J41" s="46" t="s">
        <v>42</v>
      </c>
      <c r="K41" s="46" t="s">
        <v>42</v>
      </c>
      <c r="L41" s="46" t="s">
        <v>42</v>
      </c>
      <c r="M41" s="46" t="s">
        <v>42</v>
      </c>
      <c r="N41" s="46" t="s">
        <v>42</v>
      </c>
      <c r="O41" s="46" t="s">
        <v>37</v>
      </c>
      <c r="P41" s="46" t="s">
        <v>42</v>
      </c>
      <c r="Q41" s="46" t="s">
        <v>42</v>
      </c>
      <c r="R41" s="46" t="s">
        <v>42</v>
      </c>
      <c r="S41" s="46" t="s">
        <v>42</v>
      </c>
      <c r="T41" s="46" t="s">
        <v>42</v>
      </c>
      <c r="U41" s="46" t="s">
        <v>42</v>
      </c>
      <c r="V41" s="46" t="s">
        <v>37</v>
      </c>
      <c r="W41" s="46" t="s">
        <v>42</v>
      </c>
      <c r="X41" s="46" t="s">
        <v>42</v>
      </c>
      <c r="Y41" s="46" t="s">
        <v>42</v>
      </c>
      <c r="Z41" s="46" t="s">
        <v>42</v>
      </c>
      <c r="AA41" s="46" t="s">
        <v>42</v>
      </c>
      <c r="AB41" s="46" t="s">
        <v>42</v>
      </c>
      <c r="AC41" s="46" t="s">
        <v>37</v>
      </c>
      <c r="AD41" s="46" t="s">
        <v>42</v>
      </c>
      <c r="AE41" s="46" t="s">
        <v>42</v>
      </c>
      <c r="AF41" s="46" t="s">
        <v>42</v>
      </c>
      <c r="AG41" s="46" t="s">
        <v>42</v>
      </c>
      <c r="AH41" s="46" t="s">
        <v>43</v>
      </c>
      <c r="AI41" s="46" t="s">
        <v>42</v>
      </c>
      <c r="AJ41" s="46">
        <f>=SUM(E42:AI42)</f>
      </c>
      <c r="AK41" s="46">
        <f>=+AY41</f>
      </c>
      <c r="AL41" s="46"/>
      <c r="AM41" s="1"/>
      <c r="AN41" s="1">
        <f>=COUNTIF(E41:AI41,"A")+COUNTIF(E41:AI41,"B")+COUNTIF(E41:AI41,"C")+COUNTIF(E41:AI41,"D")+COUNTIF(E41:AI41,"E")+COUNTIF(E41:AI41,"F")+COUNTIF(E41:AI41,"M")+COUNTIF(E41:AI41,"AB")+COUNTIF(E41:AI41,"UZ")+COUNTIF(E41:AI41,"G")+(COUNTIF(E41:AI41,"RT.")/2)+(COUNTIF(E41:AI41,"ÇRT.")/2)</f>
      </c>
      <c r="AO41" s="1">
        <f>=COUNTIF(E41:AI41,"O")</f>
      </c>
      <c r="AP41" s="1">
        <f>=COUNTIF(E41:AI41,"RT")+(COUNTIF(E41:AI41,"RT.")/2)</f>
      </c>
      <c r="AQ41" s="1">
        <f>=COUNTIF(E41:AI41,"ÇRT")+(COUNTIF(E41:AI41,"ÇRT.")/2)</f>
      </c>
      <c r="AR41" s="1">
        <f>=COUNTIF(E41:AI41,"ÇHT")</f>
      </c>
      <c r="AS41" s="1">
        <f>=COUNTIF(E41:AI41,"Ö")+COUNTIF(E41:AI41,"T")</f>
      </c>
      <c r="AT41" s="1">
        <f>=COUNTIF(E41:AI41,"Y")</f>
      </c>
      <c r="AU41" s="1">
        <f>=COUNTIF(E41:AI41,"R.")</f>
      </c>
      <c r="AV41" s="1">
        <f>=COUNTIF(E41:AI41,"Ü")</f>
      </c>
      <c r="AW41" s="1">
        <f>=COUNTIF(E41:AI41,"R")</f>
      </c>
      <c r="AX41" s="1">
        <f>=COUNTIF(E41:AI41,"DV")</f>
      </c>
      <c r="AY41" s="1">
        <f>=+AN41+AO41+AP41+AQ41+AR41+AS41+AT41+AU41</f>
      </c>
    </row>
    <row r="42" ht="16" customHeight="1" spans="1:51" x14ac:dyDescent="0.25">
      <c r="A42" s="45"/>
      <c r="B42" s="46"/>
      <c r="C42" s="46"/>
      <c r="D42" s="46" t="s">
        <v>33</v>
      </c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ht="16" customHeight="1" spans="1:51" x14ac:dyDescent="0.25">
      <c r="A43" s="45"/>
      <c r="B43" s="46" t="s">
        <v>74</v>
      </c>
      <c r="C43" s="46" t="s">
        <v>75</v>
      </c>
      <c r="D43" s="46" t="s">
        <v>29</v>
      </c>
      <c r="E43" s="46" t="s">
        <v>42</v>
      </c>
      <c r="F43" s="46" t="s">
        <v>36</v>
      </c>
      <c r="G43" s="46" t="s">
        <v>36</v>
      </c>
      <c r="H43" s="46" t="s">
        <v>36</v>
      </c>
      <c r="I43" s="46" t="s">
        <v>36</v>
      </c>
      <c r="J43" s="46" t="s">
        <v>37</v>
      </c>
      <c r="K43" s="46" t="s">
        <v>36</v>
      </c>
      <c r="L43" s="46" t="s">
        <v>36</v>
      </c>
      <c r="M43" s="46" t="s">
        <v>36</v>
      </c>
      <c r="N43" s="46" t="s">
        <v>36</v>
      </c>
      <c r="O43" s="46" t="s">
        <v>36</v>
      </c>
      <c r="P43" s="46" t="s">
        <v>36</v>
      </c>
      <c r="Q43" s="46" t="s">
        <v>37</v>
      </c>
      <c r="R43" s="46" t="s">
        <v>36</v>
      </c>
      <c r="S43" s="46" t="s">
        <v>36</v>
      </c>
      <c r="T43" s="46" t="s">
        <v>36</v>
      </c>
      <c r="U43" s="46" t="s">
        <v>36</v>
      </c>
      <c r="V43" s="46" t="s">
        <v>36</v>
      </c>
      <c r="W43" s="46" t="s">
        <v>36</v>
      </c>
      <c r="X43" s="46" t="s">
        <v>37</v>
      </c>
      <c r="Y43" s="46" t="s">
        <v>36</v>
      </c>
      <c r="Z43" s="46" t="s">
        <v>36</v>
      </c>
      <c r="AA43" s="46" t="s">
        <v>36</v>
      </c>
      <c r="AB43" s="46" t="s">
        <v>36</v>
      </c>
      <c r="AC43" s="46" t="s">
        <v>36</v>
      </c>
      <c r="AD43" s="46" t="s">
        <v>36</v>
      </c>
      <c r="AE43" s="46" t="s">
        <v>37</v>
      </c>
      <c r="AF43" s="46" t="s">
        <v>36</v>
      </c>
      <c r="AG43" s="46" t="s">
        <v>36</v>
      </c>
      <c r="AH43" s="46" t="s">
        <v>43</v>
      </c>
      <c r="AI43" s="46" t="s">
        <v>36</v>
      </c>
      <c r="AJ43" s="46">
        <f>=SUM(E44:AI44)</f>
      </c>
      <c r="AK43" s="46">
        <f>=+AY43</f>
      </c>
      <c r="AL43" s="46"/>
      <c r="AM43" s="1"/>
      <c r="AN43" s="1">
        <f>=COUNTIF(E43:AI43,"A")+COUNTIF(E43:AI43,"B")+COUNTIF(E43:AI43,"C")+COUNTIF(E43:AI43,"D")+COUNTIF(E43:AI43,"E")+COUNTIF(E43:AI43,"F")+COUNTIF(E43:AI43,"M")+COUNTIF(E43:AI43,"AB")+COUNTIF(E43:AI43,"UZ")+COUNTIF(E43:AI43,"G")+(COUNTIF(E43:AI43,"RT.")/2)+(COUNTIF(E43:AI43,"ÇRT.")/2)</f>
      </c>
      <c r="AO43" s="1">
        <f>=COUNTIF(E43:AI43,"O")</f>
      </c>
      <c r="AP43" s="1">
        <f>=COUNTIF(E43:AI43,"RT")+(COUNTIF(E43:AI43,"RT.")/2)</f>
      </c>
      <c r="AQ43" s="1">
        <f>=COUNTIF(E43:AI43,"ÇRT")+(COUNTIF(E43:AI43,"ÇRT.")/2)</f>
      </c>
      <c r="AR43" s="1">
        <f>=COUNTIF(E43:AI43,"ÇHT")</f>
      </c>
      <c r="AS43" s="1">
        <f>=COUNTIF(E43:AI43,"Ö")+COUNTIF(E43:AI43,"T")</f>
      </c>
      <c r="AT43" s="1">
        <f>=COUNTIF(E43:AI43,"Y")</f>
      </c>
      <c r="AU43" s="1">
        <f>=COUNTIF(E43:AI43,"R.")</f>
      </c>
      <c r="AV43" s="1">
        <f>=COUNTIF(E43:AI43,"Ü")</f>
      </c>
      <c r="AW43" s="1">
        <f>=COUNTIF(E43:AI43,"R")</f>
      </c>
      <c r="AX43" s="1">
        <f>=COUNTIF(E43:AI43,"DV")</f>
      </c>
      <c r="AY43" s="1">
        <f>=+AN43+AO43+AP43+AQ43+AR43+AS43+AT43+AU43</f>
      </c>
    </row>
    <row r="44" ht="16" customHeight="1" spans="1:51" x14ac:dyDescent="0.25">
      <c r="A44" s="45"/>
      <c r="B44" s="46"/>
      <c r="C44" s="46"/>
      <c r="D44" s="46" t="s">
        <v>33</v>
      </c>
      <c r="E44" s="46"/>
      <c r="F44" s="46"/>
      <c r="G44" s="46">
        <v>1</v>
      </c>
      <c r="H44" s="46">
        <v>1</v>
      </c>
      <c r="I44" s="46">
        <v>1</v>
      </c>
      <c r="J44" s="46"/>
      <c r="K44" s="46">
        <v>1</v>
      </c>
      <c r="L44" s="46">
        <v>1</v>
      </c>
      <c r="M44" s="46">
        <v>1</v>
      </c>
      <c r="N44" s="46">
        <v>1</v>
      </c>
      <c r="O44" s="46">
        <v>1</v>
      </c>
      <c r="P44" s="46">
        <v>1</v>
      </c>
      <c r="Q44" s="46"/>
      <c r="R44" s="46">
        <v>1</v>
      </c>
      <c r="S44" s="46">
        <v>1</v>
      </c>
      <c r="T44" s="46">
        <v>1</v>
      </c>
      <c r="U44" s="46">
        <v>1</v>
      </c>
      <c r="V44" s="46">
        <v>1</v>
      </c>
      <c r="W44" s="46">
        <v>1</v>
      </c>
      <c r="X44" s="46"/>
      <c r="Y44" s="46">
        <v>1</v>
      </c>
      <c r="Z44" s="46">
        <v>1</v>
      </c>
      <c r="AA44" s="46">
        <v>1</v>
      </c>
      <c r="AB44" s="46">
        <v>1</v>
      </c>
      <c r="AC44" s="46">
        <v>1</v>
      </c>
      <c r="AD44" s="46">
        <v>1</v>
      </c>
      <c r="AE44" s="46"/>
      <c r="AF44" s="46">
        <v>1</v>
      </c>
      <c r="AG44" s="46">
        <v>1</v>
      </c>
      <c r="AH44" s="46">
        <v>1</v>
      </c>
      <c r="AI44" s="46"/>
      <c r="AJ44" s="46"/>
      <c r="AK44" s="46"/>
      <c r="AL44" s="46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ht="16" customHeight="1" spans="1:51" x14ac:dyDescent="0.25">
      <c r="A45" s="45"/>
      <c r="B45" s="46" t="s">
        <v>76</v>
      </c>
      <c r="C45" s="46" t="s">
        <v>77</v>
      </c>
      <c r="D45" s="46" t="s">
        <v>29</v>
      </c>
      <c r="E45" s="46" t="s">
        <v>36</v>
      </c>
      <c r="F45" s="46" t="s">
        <v>37</v>
      </c>
      <c r="G45" s="46" t="s">
        <v>42</v>
      </c>
      <c r="H45" s="46" t="s">
        <v>36</v>
      </c>
      <c r="I45" s="46" t="s">
        <v>36</v>
      </c>
      <c r="J45" s="46" t="s">
        <v>36</v>
      </c>
      <c r="K45" s="46" t="s">
        <v>36</v>
      </c>
      <c r="L45" s="46" t="s">
        <v>36</v>
      </c>
      <c r="M45" s="46" t="s">
        <v>37</v>
      </c>
      <c r="N45" s="46" t="s">
        <v>46</v>
      </c>
      <c r="O45" s="46" t="s">
        <v>36</v>
      </c>
      <c r="P45" s="46" t="s">
        <v>36</v>
      </c>
      <c r="Q45" s="46" t="s">
        <v>36</v>
      </c>
      <c r="R45" s="46" t="s">
        <v>36</v>
      </c>
      <c r="S45" s="46" t="s">
        <v>36</v>
      </c>
      <c r="T45" s="46" t="s">
        <v>37</v>
      </c>
      <c r="U45" s="46" t="s">
        <v>46</v>
      </c>
      <c r="V45" s="46" t="s">
        <v>36</v>
      </c>
      <c r="W45" s="46" t="s">
        <v>36</v>
      </c>
      <c r="X45" s="46" t="s">
        <v>36</v>
      </c>
      <c r="Y45" s="46" t="s">
        <v>42</v>
      </c>
      <c r="Z45" s="46" t="s">
        <v>36</v>
      </c>
      <c r="AA45" s="46" t="s">
        <v>37</v>
      </c>
      <c r="AB45" s="46" t="s">
        <v>46</v>
      </c>
      <c r="AC45" s="46" t="s">
        <v>36</v>
      </c>
      <c r="AD45" s="46" t="s">
        <v>36</v>
      </c>
      <c r="AE45" s="46" t="s">
        <v>36</v>
      </c>
      <c r="AF45" s="46" t="s">
        <v>36</v>
      </c>
      <c r="AG45" s="46" t="s">
        <v>31</v>
      </c>
      <c r="AH45" s="46" t="s">
        <v>31</v>
      </c>
      <c r="AI45" s="46" t="s">
        <v>32</v>
      </c>
      <c r="AJ45" s="46">
        <f>=SUM(E46:AI46)</f>
      </c>
      <c r="AK45" s="46">
        <f>=+AY45</f>
      </c>
      <c r="AL45" s="46"/>
      <c r="AM45" s="1"/>
      <c r="AN45" s="1">
        <f>=COUNTIF(E45:AI45,"A")+COUNTIF(E45:AI45,"B")+COUNTIF(E45:AI45,"C")+COUNTIF(E45:AI45,"D")+COUNTIF(E45:AI45,"E")+COUNTIF(E45:AI45,"F")+COUNTIF(E45:AI45,"M")+COUNTIF(E45:AI45,"AB")+COUNTIF(E45:AI45,"UZ")+COUNTIF(E45:AI45,"G")+(COUNTIF(E45:AI45,"RT.")/2)+(COUNTIF(E45:AI45,"ÇRT.")/2)</f>
      </c>
      <c r="AO45" s="1">
        <f>=COUNTIF(E45:AI45,"O")</f>
      </c>
      <c r="AP45" s="1">
        <f>=COUNTIF(E45:AI45,"RT")+(COUNTIF(E45:AI45,"RT.")/2)</f>
      </c>
      <c r="AQ45" s="1">
        <f>=COUNTIF(E45:AI45,"ÇRT")+(COUNTIF(E45:AI45,"ÇRT.")/2)</f>
      </c>
      <c r="AR45" s="1">
        <f>=COUNTIF(E45:AI45,"ÇHT")</f>
      </c>
      <c r="AS45" s="1">
        <f>=COUNTIF(E45:AI45,"Ö")+COUNTIF(E45:AI45,"T")</f>
      </c>
      <c r="AT45" s="1">
        <f>=COUNTIF(E45:AI45,"Y")</f>
      </c>
      <c r="AU45" s="1">
        <f>=COUNTIF(E45:AI45,"R.")</f>
      </c>
      <c r="AV45" s="1">
        <f>=COUNTIF(E45:AI45,"Ü")</f>
      </c>
      <c r="AW45" s="1">
        <f>=COUNTIF(E45:AI45,"R")</f>
      </c>
      <c r="AX45" s="1">
        <f>=COUNTIF(E45:AI45,"DV")</f>
      </c>
      <c r="AY45" s="1">
        <f>=+AN45+AO45+AP45+AQ45+AR45+AS45+AT45+AU45</f>
      </c>
    </row>
    <row r="46" ht="16" customHeight="1" spans="1:51" x14ac:dyDescent="0.25">
      <c r="A46" s="45"/>
      <c r="B46" s="46"/>
      <c r="C46" s="46"/>
      <c r="D46" s="46" t="s">
        <v>33</v>
      </c>
      <c r="E46" s="46"/>
      <c r="F46" s="46"/>
      <c r="G46" s="46">
        <v>2</v>
      </c>
      <c r="H46" s="46"/>
      <c r="I46" s="46">
        <v>3</v>
      </c>
      <c r="J46" s="46"/>
      <c r="K46" s="46"/>
      <c r="L46" s="46">
        <v>2</v>
      </c>
      <c r="M46" s="46"/>
      <c r="N46" s="46">
        <v>3</v>
      </c>
      <c r="O46" s="46"/>
      <c r="P46" s="46">
        <v>3</v>
      </c>
      <c r="Q46" s="46"/>
      <c r="R46" s="46"/>
      <c r="S46" s="46">
        <v>2</v>
      </c>
      <c r="T46" s="46"/>
      <c r="U46" s="46">
        <v>3</v>
      </c>
      <c r="V46" s="46"/>
      <c r="W46" s="46">
        <v>2</v>
      </c>
      <c r="X46" s="46">
        <v>2</v>
      </c>
      <c r="Y46" s="46"/>
      <c r="Z46" s="46">
        <v>3</v>
      </c>
      <c r="AA46" s="46"/>
      <c r="AB46" s="46">
        <v>3</v>
      </c>
      <c r="AC46" s="46"/>
      <c r="AD46" s="46">
        <v>2</v>
      </c>
      <c r="AE46" s="46">
        <v>2</v>
      </c>
      <c r="AF46" s="46">
        <v>2</v>
      </c>
      <c r="AG46" s="46"/>
      <c r="AH46" s="46"/>
      <c r="AI46" s="46"/>
      <c r="AJ46" s="46"/>
      <c r="AK46" s="46"/>
      <c r="AL46" s="46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ht="16" customHeight="1" spans="1:51" x14ac:dyDescent="0.25">
      <c r="A47" s="45"/>
      <c r="B47" s="46" t="s">
        <v>78</v>
      </c>
      <c r="C47" s="46" t="s">
        <v>79</v>
      </c>
      <c r="D47" s="46" t="s">
        <v>29</v>
      </c>
      <c r="E47" s="46" t="s">
        <v>41</v>
      </c>
      <c r="F47" s="46" t="s">
        <v>37</v>
      </c>
      <c r="G47" s="46" t="s">
        <v>41</v>
      </c>
      <c r="H47" s="46" t="s">
        <v>41</v>
      </c>
      <c r="I47" s="46" t="s">
        <v>41</v>
      </c>
      <c r="J47" s="46" t="s">
        <v>41</v>
      </c>
      <c r="K47" s="46" t="s">
        <v>41</v>
      </c>
      <c r="L47" s="46" t="s">
        <v>41</v>
      </c>
      <c r="M47" s="46" t="s">
        <v>37</v>
      </c>
      <c r="N47" s="46" t="s">
        <v>41</v>
      </c>
      <c r="O47" s="46" t="s">
        <v>41</v>
      </c>
      <c r="P47" s="46" t="s">
        <v>41</v>
      </c>
      <c r="Q47" s="46" t="s">
        <v>42</v>
      </c>
      <c r="R47" s="46" t="s">
        <v>41</v>
      </c>
      <c r="S47" s="46" t="s">
        <v>41</v>
      </c>
      <c r="T47" s="46" t="s">
        <v>37</v>
      </c>
      <c r="U47" s="46" t="s">
        <v>41</v>
      </c>
      <c r="V47" s="46" t="s">
        <v>41</v>
      </c>
      <c r="W47" s="46" t="s">
        <v>41</v>
      </c>
      <c r="X47" s="46" t="s">
        <v>42</v>
      </c>
      <c r="Y47" s="46" t="s">
        <v>41</v>
      </c>
      <c r="Z47" s="46" t="s">
        <v>41</v>
      </c>
      <c r="AA47" s="46" t="s">
        <v>37</v>
      </c>
      <c r="AB47" s="46" t="s">
        <v>41</v>
      </c>
      <c r="AC47" s="46" t="s">
        <v>41</v>
      </c>
      <c r="AD47" s="46" t="s">
        <v>41</v>
      </c>
      <c r="AE47" s="46" t="s">
        <v>41</v>
      </c>
      <c r="AF47" s="46" t="s">
        <v>41</v>
      </c>
      <c r="AG47" s="46" t="s">
        <v>41</v>
      </c>
      <c r="AH47" s="46" t="s">
        <v>37</v>
      </c>
      <c r="AI47" s="46" t="s">
        <v>41</v>
      </c>
      <c r="AJ47" s="46">
        <f>=SUM(E48:AI48)</f>
      </c>
      <c r="AK47" s="46">
        <f>=+AY47</f>
      </c>
      <c r="AL47" s="46"/>
      <c r="AM47" s="1"/>
      <c r="AN47" s="1">
        <f>=COUNTIF(E47:AI47,"A")+COUNTIF(E47:AI47,"B")+COUNTIF(E47:AI47,"C")+COUNTIF(E47:AI47,"D")+COUNTIF(E47:AI47,"E")+COUNTIF(E47:AI47,"F")+COUNTIF(E47:AI47,"M")+COUNTIF(E47:AI47,"AB")+COUNTIF(E47:AI47,"UZ")+COUNTIF(E47:AI47,"G")+(COUNTIF(E47:AI47,"RT.")/2)+(COUNTIF(E47:AI47,"ÇRT.")/2)</f>
      </c>
      <c r="AO47" s="1">
        <f>=COUNTIF(E47:AI47,"O")</f>
      </c>
      <c r="AP47" s="1">
        <f>=COUNTIF(E47:AI47,"RT")+(COUNTIF(E47:AI47,"RT.")/2)</f>
      </c>
      <c r="AQ47" s="1">
        <f>=COUNTIF(E47:AI47,"ÇRT")+(COUNTIF(E47:AI47,"ÇRT.")/2)</f>
      </c>
      <c r="AR47" s="1">
        <f>=COUNTIF(E47:AI47,"ÇHT")</f>
      </c>
      <c r="AS47" s="1">
        <f>=COUNTIF(E47:AI47,"Ö")+COUNTIF(E47:AI47,"T")</f>
      </c>
      <c r="AT47" s="1">
        <f>=COUNTIF(E47:AI47,"Y")</f>
      </c>
      <c r="AU47" s="1">
        <f>=COUNTIF(E47:AI47,"R.")</f>
      </c>
      <c r="AV47" s="1">
        <f>=COUNTIF(E47:AI47,"Ü")</f>
      </c>
      <c r="AW47" s="1">
        <f>=COUNTIF(E47:AI47,"R")</f>
      </c>
      <c r="AX47" s="1">
        <f>=COUNTIF(E47:AI47,"DV")</f>
      </c>
      <c r="AY47" s="1">
        <f>=+AN47+AO47+AP47+AQ47+AR47+AS47+AT47+AU47</f>
      </c>
    </row>
    <row r="48" ht="16" customHeight="1" spans="1:51" x14ac:dyDescent="0.25">
      <c r="A48" s="45"/>
      <c r="B48" s="46"/>
      <c r="C48" s="46"/>
      <c r="D48" s="46" t="s">
        <v>33</v>
      </c>
      <c r="E48" s="46"/>
      <c r="F48" s="46"/>
      <c r="G48" s="46"/>
      <c r="H48" s="46"/>
      <c r="I48" s="46"/>
      <c r="J48" s="46">
        <v>2</v>
      </c>
      <c r="K48" s="46"/>
      <c r="L48" s="46"/>
      <c r="M48" s="46"/>
      <c r="N48" s="46"/>
      <c r="O48" s="46"/>
      <c r="P48" s="46"/>
      <c r="Q48" s="46">
        <v>2</v>
      </c>
      <c r="R48" s="46"/>
      <c r="S48" s="46"/>
      <c r="T48" s="46"/>
      <c r="U48" s="46"/>
      <c r="V48" s="46"/>
      <c r="W48" s="46"/>
      <c r="X48" s="46">
        <v>2</v>
      </c>
      <c r="Y48" s="46"/>
      <c r="Z48" s="46"/>
      <c r="AA48" s="46"/>
      <c r="AB48" s="46"/>
      <c r="AC48" s="46"/>
      <c r="AD48" s="46"/>
      <c r="AE48" s="46">
        <v>2</v>
      </c>
      <c r="AF48" s="46"/>
      <c r="AG48" s="46"/>
      <c r="AH48" s="46"/>
      <c r="AI48" s="46"/>
      <c r="AJ48" s="46"/>
      <c r="AK48" s="46"/>
      <c r="AL48" s="46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ht="16" customHeight="1" spans="1:51" x14ac:dyDescent="0.25">
      <c r="A49" s="45"/>
      <c r="B49" s="46" t="s">
        <v>80</v>
      </c>
      <c r="C49" s="46" t="s">
        <v>81</v>
      </c>
      <c r="D49" s="46" t="s">
        <v>29</v>
      </c>
      <c r="E49" s="46" t="s">
        <v>41</v>
      </c>
      <c r="F49" s="46" t="s">
        <v>59</v>
      </c>
      <c r="G49" s="46" t="s">
        <v>59</v>
      </c>
      <c r="H49" s="46" t="s">
        <v>59</v>
      </c>
      <c r="I49" s="46" t="s">
        <v>59</v>
      </c>
      <c r="J49" s="46" t="s">
        <v>37</v>
      </c>
      <c r="K49" s="46" t="s">
        <v>59</v>
      </c>
      <c r="L49" s="46" t="s">
        <v>59</v>
      </c>
      <c r="M49" s="46" t="s">
        <v>59</v>
      </c>
      <c r="N49" s="46" t="s">
        <v>41</v>
      </c>
      <c r="O49" s="46" t="s">
        <v>36</v>
      </c>
      <c r="P49" s="46" t="s">
        <v>36</v>
      </c>
      <c r="Q49" s="46" t="s">
        <v>37</v>
      </c>
      <c r="R49" s="46" t="s">
        <v>36</v>
      </c>
      <c r="S49" s="46" t="s">
        <v>36</v>
      </c>
      <c r="T49" s="46" t="s">
        <v>36</v>
      </c>
      <c r="U49" s="46" t="s">
        <v>36</v>
      </c>
      <c r="V49" s="46" t="s">
        <v>36</v>
      </c>
      <c r="W49" s="46" t="s">
        <v>36</v>
      </c>
      <c r="X49" s="46" t="s">
        <v>37</v>
      </c>
      <c r="Y49" s="46" t="s">
        <v>36</v>
      </c>
      <c r="Z49" s="46" t="s">
        <v>36</v>
      </c>
      <c r="AA49" s="46" t="s">
        <v>36</v>
      </c>
      <c r="AB49" s="46" t="s">
        <v>59</v>
      </c>
      <c r="AC49" s="46" t="s">
        <v>41</v>
      </c>
      <c r="AD49" s="46" t="s">
        <v>41</v>
      </c>
      <c r="AE49" s="46" t="s">
        <v>37</v>
      </c>
      <c r="AF49" s="46" t="s">
        <v>41</v>
      </c>
      <c r="AG49" s="46" t="s">
        <v>41</v>
      </c>
      <c r="AH49" s="46" t="s">
        <v>43</v>
      </c>
      <c r="AI49" s="46" t="s">
        <v>42</v>
      </c>
      <c r="AJ49" s="46">
        <f>=SUM(E50:AI50)</f>
      </c>
      <c r="AK49" s="46">
        <f>=+AY49</f>
      </c>
      <c r="AL49" s="46"/>
      <c r="AM49" s="1"/>
      <c r="AN49" s="1">
        <f>=COUNTIF(E49:AI49,"A")+COUNTIF(E49:AI49,"B")+COUNTIF(E49:AI49,"C")+COUNTIF(E49:AI49,"D")+COUNTIF(E49:AI49,"E")+COUNTIF(E49:AI49,"F")+COUNTIF(E49:AI49,"M")+COUNTIF(E49:AI49,"AB")+COUNTIF(E49:AI49,"UZ")+COUNTIF(E49:AI49,"G")+(COUNTIF(E49:AI49,"RT.")/2)+(COUNTIF(E49:AI49,"ÇRT.")/2)</f>
      </c>
      <c r="AO49" s="1">
        <f>=COUNTIF(E49:AI49,"O")</f>
      </c>
      <c r="AP49" s="1">
        <f>=COUNTIF(E49:AI49,"RT")+(COUNTIF(E49:AI49,"RT.")/2)</f>
      </c>
      <c r="AQ49" s="1">
        <f>=COUNTIF(E49:AI49,"ÇRT")+(COUNTIF(E49:AI49,"ÇRT.")/2)</f>
      </c>
      <c r="AR49" s="1">
        <f>=COUNTIF(E49:AI49,"ÇHT")</f>
      </c>
      <c r="AS49" s="1">
        <f>=COUNTIF(E49:AI49,"Ö")+COUNTIF(E49:AI49,"T")</f>
      </c>
      <c r="AT49" s="1">
        <f>=COUNTIF(E49:AI49,"Y")</f>
      </c>
      <c r="AU49" s="1">
        <f>=COUNTIF(E49:AI49,"R.")</f>
      </c>
      <c r="AV49" s="1">
        <f>=COUNTIF(E49:AI49,"Ü")</f>
      </c>
      <c r="AW49" s="1">
        <f>=COUNTIF(E49:AI49,"R")</f>
      </c>
      <c r="AX49" s="1">
        <f>=COUNTIF(E49:AI49,"DV")</f>
      </c>
      <c r="AY49" s="1">
        <f>=+AN49+AO49+AP49+AQ49+AR49+AS49+AT49+AU49</f>
      </c>
    </row>
    <row r="50" ht="16" customHeight="1" spans="1:51" x14ac:dyDescent="0.25">
      <c r="A50" s="45"/>
      <c r="B50" s="46"/>
      <c r="C50" s="46"/>
      <c r="D50" s="46" t="s">
        <v>33</v>
      </c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ht="16" customHeight="1" spans="1:51" x14ac:dyDescent="0.25">
      <c r="A51" s="45"/>
      <c r="B51" s="46" t="s">
        <v>82</v>
      </c>
      <c r="C51" s="46" t="s">
        <v>83</v>
      </c>
      <c r="D51" s="46" t="s">
        <v>29</v>
      </c>
      <c r="E51" s="46" t="s">
        <v>36</v>
      </c>
      <c r="F51" s="46" t="s">
        <v>36</v>
      </c>
      <c r="G51" s="46" t="s">
        <v>36</v>
      </c>
      <c r="H51" s="46" t="s">
        <v>36</v>
      </c>
      <c r="I51" s="46" t="s">
        <v>37</v>
      </c>
      <c r="J51" s="46" t="s">
        <v>36</v>
      </c>
      <c r="K51" s="46" t="s">
        <v>36</v>
      </c>
      <c r="L51" s="46" t="s">
        <v>36</v>
      </c>
      <c r="M51" s="46" t="s">
        <v>36</v>
      </c>
      <c r="N51" s="46" t="s">
        <v>36</v>
      </c>
      <c r="O51" s="46" t="s">
        <v>31</v>
      </c>
      <c r="P51" s="46" t="s">
        <v>37</v>
      </c>
      <c r="Q51" s="46" t="s">
        <v>36</v>
      </c>
      <c r="R51" s="46" t="s">
        <v>36</v>
      </c>
      <c r="S51" s="46" t="s">
        <v>36</v>
      </c>
      <c r="T51" s="46" t="s">
        <v>36</v>
      </c>
      <c r="U51" s="46" t="s">
        <v>36</v>
      </c>
      <c r="V51" s="46" t="s">
        <v>36</v>
      </c>
      <c r="W51" s="46" t="s">
        <v>37</v>
      </c>
      <c r="X51" s="46" t="s">
        <v>36</v>
      </c>
      <c r="Y51" s="46" t="s">
        <v>36</v>
      </c>
      <c r="Z51" s="46" t="s">
        <v>36</v>
      </c>
      <c r="AA51" s="46" t="s">
        <v>36</v>
      </c>
      <c r="AB51" s="46" t="s">
        <v>36</v>
      </c>
      <c r="AC51" s="46" t="s">
        <v>36</v>
      </c>
      <c r="AD51" s="46" t="s">
        <v>37</v>
      </c>
      <c r="AE51" s="46" t="s">
        <v>36</v>
      </c>
      <c r="AF51" s="46" t="s">
        <v>36</v>
      </c>
      <c r="AG51" s="46" t="s">
        <v>36</v>
      </c>
      <c r="AH51" s="46" t="s">
        <v>43</v>
      </c>
      <c r="AI51" s="46" t="s">
        <v>36</v>
      </c>
      <c r="AJ51" s="46">
        <f>=SUM(E52:AI52)</f>
      </c>
      <c r="AK51" s="46">
        <f>=+AY51</f>
      </c>
      <c r="AL51" s="46"/>
      <c r="AM51" s="1"/>
      <c r="AN51" s="1">
        <f>=COUNTIF(E51:AI51,"A")+COUNTIF(E51:AI51,"B")+COUNTIF(E51:AI51,"C")+COUNTIF(E51:AI51,"D")+COUNTIF(E51:AI51,"E")+COUNTIF(E51:AI51,"F")+COUNTIF(E51:AI51,"M")+COUNTIF(E51:AI51,"AB")+COUNTIF(E51:AI51,"UZ")+COUNTIF(E51:AI51,"G")+(COUNTIF(E51:AI51,"RT.")/2)+(COUNTIF(E51:AI51,"ÇRT.")/2)</f>
      </c>
      <c r="AO51" s="1">
        <f>=COUNTIF(E51:AI51,"O")</f>
      </c>
      <c r="AP51" s="1">
        <f>=COUNTIF(E51:AI51,"RT")+(COUNTIF(E51:AI51,"RT.")/2)</f>
      </c>
      <c r="AQ51" s="1">
        <f>=COUNTIF(E51:AI51,"ÇRT")+(COUNTIF(E51:AI51,"ÇRT.")/2)</f>
      </c>
      <c r="AR51" s="1">
        <f>=COUNTIF(E51:AI51,"ÇHT")</f>
      </c>
      <c r="AS51" s="1">
        <f>=COUNTIF(E51:AI51,"Ö")+COUNTIF(E51:AI51,"T")</f>
      </c>
      <c r="AT51" s="1">
        <f>=COUNTIF(E51:AI51,"Y")</f>
      </c>
      <c r="AU51" s="1">
        <f>=COUNTIF(E51:AI51,"R.")</f>
      </c>
      <c r="AV51" s="1">
        <f>=COUNTIF(E51:AI51,"Ü")</f>
      </c>
      <c r="AW51" s="1">
        <f>=COUNTIF(E51:AI51,"R")</f>
      </c>
      <c r="AX51" s="1">
        <f>=COUNTIF(E51:AI51,"DV")</f>
      </c>
      <c r="AY51" s="1">
        <f>=+AN51+AO51+AP51+AQ51+AR51+AS51+AT51+AU51</f>
      </c>
    </row>
    <row r="52" ht="16" customHeight="1" spans="1:51" x14ac:dyDescent="0.25">
      <c r="A52" s="45"/>
      <c r="B52" s="46"/>
      <c r="C52" s="46"/>
      <c r="D52" s="46" t="s">
        <v>33</v>
      </c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ht="16" customHeight="1" spans="1:51" x14ac:dyDescent="0.25">
      <c r="A53" s="45"/>
      <c r="B53" s="46" t="s">
        <v>84</v>
      </c>
      <c r="C53" s="46" t="s">
        <v>85</v>
      </c>
      <c r="D53" s="46" t="s">
        <v>29</v>
      </c>
      <c r="E53" s="46" t="s">
        <v>36</v>
      </c>
      <c r="F53" s="46" t="s">
        <v>36</v>
      </c>
      <c r="G53" s="46" t="s">
        <v>36</v>
      </c>
      <c r="H53" s="46" t="s">
        <v>37</v>
      </c>
      <c r="I53" s="46" t="s">
        <v>36</v>
      </c>
      <c r="J53" s="46" t="s">
        <v>36</v>
      </c>
      <c r="K53" s="46" t="s">
        <v>36</v>
      </c>
      <c r="L53" s="46" t="s">
        <v>36</v>
      </c>
      <c r="M53" s="46" t="s">
        <v>36</v>
      </c>
      <c r="N53" s="46" t="s">
        <v>59</v>
      </c>
      <c r="O53" s="46" t="s">
        <v>37</v>
      </c>
      <c r="P53" s="46" t="s">
        <v>59</v>
      </c>
      <c r="Q53" s="46" t="s">
        <v>59</v>
      </c>
      <c r="R53" s="46" t="s">
        <v>59</v>
      </c>
      <c r="S53" s="46" t="s">
        <v>59</v>
      </c>
      <c r="T53" s="46" t="s">
        <v>59</v>
      </c>
      <c r="U53" s="46" t="s">
        <v>31</v>
      </c>
      <c r="V53" s="46" t="s">
        <v>37</v>
      </c>
      <c r="W53" s="46" t="s">
        <v>36</v>
      </c>
      <c r="X53" s="46" t="s">
        <v>36</v>
      </c>
      <c r="Y53" s="46" t="s">
        <v>36</v>
      </c>
      <c r="Z53" s="46" t="s">
        <v>36</v>
      </c>
      <c r="AA53" s="46" t="s">
        <v>36</v>
      </c>
      <c r="AB53" s="46" t="s">
        <v>36</v>
      </c>
      <c r="AC53" s="46" t="s">
        <v>37</v>
      </c>
      <c r="AD53" s="46" t="s">
        <v>36</v>
      </c>
      <c r="AE53" s="46" t="s">
        <v>36</v>
      </c>
      <c r="AF53" s="46" t="s">
        <v>36</v>
      </c>
      <c r="AG53" s="46" t="s">
        <v>36</v>
      </c>
      <c r="AH53" s="46" t="s">
        <v>43</v>
      </c>
      <c r="AI53" s="46" t="s">
        <v>36</v>
      </c>
      <c r="AJ53" s="46">
        <f>=SUM(E54:AI54)</f>
      </c>
      <c r="AK53" s="46">
        <f>=+AY53</f>
      </c>
      <c r="AL53" s="46"/>
      <c r="AM53" s="1"/>
      <c r="AN53" s="1">
        <f>=COUNTIF(E53:AI53,"A")+COUNTIF(E53:AI53,"B")+COUNTIF(E53:AI53,"C")+COUNTIF(E53:AI53,"D")+COUNTIF(E53:AI53,"E")+COUNTIF(E53:AI53,"F")+COUNTIF(E53:AI53,"M")+COUNTIF(E53:AI53,"AB")+COUNTIF(E53:AI53,"UZ")+COUNTIF(E53:AI53,"G")+(COUNTIF(E53:AI53,"RT.")/2)+(COUNTIF(E53:AI53,"ÇRT.")/2)</f>
      </c>
      <c r="AO53" s="1">
        <f>=COUNTIF(E53:AI53,"O")</f>
      </c>
      <c r="AP53" s="1">
        <f>=COUNTIF(E53:AI53,"RT")+(COUNTIF(E53:AI53,"RT.")/2)</f>
      </c>
      <c r="AQ53" s="1">
        <f>=COUNTIF(E53:AI53,"ÇRT")+(COUNTIF(E53:AI53,"ÇRT.")/2)</f>
      </c>
      <c r="AR53" s="1">
        <f>=COUNTIF(E53:AI53,"ÇHT")</f>
      </c>
      <c r="AS53" s="1">
        <f>=COUNTIF(E53:AI53,"Ö")+COUNTIF(E53:AI53,"T")</f>
      </c>
      <c r="AT53" s="1">
        <f>=COUNTIF(E53:AI53,"Y")</f>
      </c>
      <c r="AU53" s="1">
        <f>=COUNTIF(E53:AI53,"R.")</f>
      </c>
      <c r="AV53" s="1">
        <f>=COUNTIF(E53:AI53,"Ü")</f>
      </c>
      <c r="AW53" s="1">
        <f>=COUNTIF(E53:AI53,"R")</f>
      </c>
      <c r="AX53" s="1">
        <f>=COUNTIF(E53:AI53,"DV")</f>
      </c>
      <c r="AY53" s="1">
        <f>=+AN53+AO53+AP53+AQ53+AR53+AS53+AT53+AU53</f>
      </c>
    </row>
    <row r="54" ht="16" customHeight="1" spans="1:51" x14ac:dyDescent="0.25">
      <c r="A54" s="45"/>
      <c r="B54" s="46"/>
      <c r="C54" s="46"/>
      <c r="D54" s="46" t="s">
        <v>33</v>
      </c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ht="16" customHeight="1" spans="1:51" x14ac:dyDescent="0.25">
      <c r="A55" s="45"/>
      <c r="B55" s="46" t="s">
        <v>86</v>
      </c>
      <c r="C55" s="46" t="s">
        <v>87</v>
      </c>
      <c r="D55" s="46" t="s">
        <v>29</v>
      </c>
      <c r="E55" s="46" t="s">
        <v>37</v>
      </c>
      <c r="F55" s="46" t="s">
        <v>42</v>
      </c>
      <c r="G55" s="46" t="s">
        <v>42</v>
      </c>
      <c r="H55" s="46" t="s">
        <v>42</v>
      </c>
      <c r="I55" s="46" t="s">
        <v>42</v>
      </c>
      <c r="J55" s="46" t="s">
        <v>42</v>
      </c>
      <c r="K55" s="46" t="s">
        <v>42</v>
      </c>
      <c r="L55" s="46" t="s">
        <v>37</v>
      </c>
      <c r="M55" s="46" t="s">
        <v>42</v>
      </c>
      <c r="N55" s="46" t="s">
        <v>42</v>
      </c>
      <c r="O55" s="46" t="s">
        <v>42</v>
      </c>
      <c r="P55" s="46" t="s">
        <v>42</v>
      </c>
      <c r="Q55" s="46" t="s">
        <v>42</v>
      </c>
      <c r="R55" s="46" t="s">
        <v>42</v>
      </c>
      <c r="S55" s="46" t="s">
        <v>37</v>
      </c>
      <c r="T55" s="46" t="s">
        <v>42</v>
      </c>
      <c r="U55" s="46" t="s">
        <v>42</v>
      </c>
      <c r="V55" s="46" t="s">
        <v>42</v>
      </c>
      <c r="W55" s="46" t="s">
        <v>42</v>
      </c>
      <c r="X55" s="46" t="s">
        <v>42</v>
      </c>
      <c r="Y55" s="46" t="s">
        <v>42</v>
      </c>
      <c r="Z55" s="46" t="s">
        <v>37</v>
      </c>
      <c r="AA55" s="46" t="s">
        <v>42</v>
      </c>
      <c r="AB55" s="46" t="s">
        <v>42</v>
      </c>
      <c r="AC55" s="46" t="s">
        <v>42</v>
      </c>
      <c r="AD55" s="46" t="s">
        <v>42</v>
      </c>
      <c r="AE55" s="46" t="s">
        <v>42</v>
      </c>
      <c r="AF55" s="46" t="s">
        <v>42</v>
      </c>
      <c r="AG55" s="46" t="s">
        <v>37</v>
      </c>
      <c r="AH55" s="46" t="s">
        <v>43</v>
      </c>
      <c r="AI55" s="46" t="s">
        <v>42</v>
      </c>
      <c r="AJ55" s="46">
        <f>=SUM(E56:AI56)</f>
      </c>
      <c r="AK55" s="46">
        <f>=+AY55</f>
      </c>
      <c r="AL55" s="46"/>
      <c r="AM55" s="1"/>
      <c r="AN55" s="1">
        <f>=COUNTIF(E55:AI55,"A")+COUNTIF(E55:AI55,"B")+COUNTIF(E55:AI55,"C")+COUNTIF(E55:AI55,"D")+COUNTIF(E55:AI55,"E")+COUNTIF(E55:AI55,"F")+COUNTIF(E55:AI55,"M")+COUNTIF(E55:AI55,"AB")+COUNTIF(E55:AI55,"UZ")+COUNTIF(E55:AI55,"G")+(COUNTIF(E55:AI55,"RT.")/2)+(COUNTIF(E55:AI55,"ÇRT.")/2)</f>
      </c>
      <c r="AO55" s="1">
        <f>=COUNTIF(E55:AI55,"O")</f>
      </c>
      <c r="AP55" s="1">
        <f>=COUNTIF(E55:AI55,"RT")+(COUNTIF(E55:AI55,"RT.")/2)</f>
      </c>
      <c r="AQ55" s="1">
        <f>=COUNTIF(E55:AI55,"ÇRT")+(COUNTIF(E55:AI55,"ÇRT.")/2)</f>
      </c>
      <c r="AR55" s="1">
        <f>=COUNTIF(E55:AI55,"ÇHT")</f>
      </c>
      <c r="AS55" s="1">
        <f>=COUNTIF(E55:AI55,"Ö")+COUNTIF(E55:AI55,"T")</f>
      </c>
      <c r="AT55" s="1">
        <f>=COUNTIF(E55:AI55,"Y")</f>
      </c>
      <c r="AU55" s="1">
        <f>=COUNTIF(E55:AI55,"R.")</f>
      </c>
      <c r="AV55" s="1">
        <f>=COUNTIF(E55:AI55,"Ü")</f>
      </c>
      <c r="AW55" s="1">
        <f>=COUNTIF(E55:AI55,"R")</f>
      </c>
      <c r="AX55" s="1">
        <f>=COUNTIF(E55:AI55,"DV")</f>
      </c>
      <c r="AY55" s="1">
        <f>=+AN55+AO55+AP55+AQ55+AR55+AS55+AT55+AU55</f>
      </c>
    </row>
    <row r="56" ht="16" customHeight="1" spans="1:51" x14ac:dyDescent="0.25">
      <c r="A56" s="45"/>
      <c r="B56" s="46"/>
      <c r="C56" s="46"/>
      <c r="D56" s="46" t="s">
        <v>33</v>
      </c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ht="16" customHeight="1" spans="1:51" x14ac:dyDescent="0.25">
      <c r="A57" s="45"/>
      <c r="B57" s="46" t="s">
        <v>88</v>
      </c>
      <c r="C57" s="46" t="s">
        <v>89</v>
      </c>
      <c r="D57" s="46" t="s">
        <v>29</v>
      </c>
      <c r="E57" s="46" t="s">
        <v>32</v>
      </c>
      <c r="F57" s="46" t="s">
        <v>32</v>
      </c>
      <c r="G57" s="46" t="s">
        <v>32</v>
      </c>
      <c r="H57" s="46" t="s">
        <v>32</v>
      </c>
      <c r="I57" s="46" t="s">
        <v>31</v>
      </c>
      <c r="J57" s="46" t="s">
        <v>31</v>
      </c>
      <c r="K57" s="46" t="s">
        <v>32</v>
      </c>
      <c r="L57" s="46" t="s">
        <v>32</v>
      </c>
      <c r="M57" s="46" t="s">
        <v>32</v>
      </c>
      <c r="N57" s="46" t="s">
        <v>41</v>
      </c>
      <c r="O57" s="46" t="s">
        <v>41</v>
      </c>
      <c r="P57" s="46" t="s">
        <v>41</v>
      </c>
      <c r="Q57" s="46" t="s">
        <v>41</v>
      </c>
      <c r="R57" s="46" t="s">
        <v>41</v>
      </c>
      <c r="S57" s="46" t="s">
        <v>37</v>
      </c>
      <c r="T57" s="46" t="s">
        <v>41</v>
      </c>
      <c r="U57" s="46" t="s">
        <v>46</v>
      </c>
      <c r="V57" s="46" t="s">
        <v>46</v>
      </c>
      <c r="W57" s="46" t="s">
        <v>46</v>
      </c>
      <c r="X57" s="46" t="s">
        <v>37</v>
      </c>
      <c r="Y57" s="46" t="s">
        <v>46</v>
      </c>
      <c r="Z57" s="46" t="s">
        <v>46</v>
      </c>
      <c r="AA57" s="46" t="s">
        <v>31</v>
      </c>
      <c r="AB57" s="46" t="s">
        <v>31</v>
      </c>
      <c r="AC57" s="46" t="s">
        <v>31</v>
      </c>
      <c r="AD57" s="46" t="s">
        <v>32</v>
      </c>
      <c r="AE57" s="46" t="s">
        <v>32</v>
      </c>
      <c r="AF57" s="46" t="s">
        <v>32</v>
      </c>
      <c r="AG57" s="46" t="s">
        <v>32</v>
      </c>
      <c r="AH57" s="46" t="s">
        <v>32</v>
      </c>
      <c r="AI57" s="46" t="s">
        <v>32</v>
      </c>
      <c r="AJ57" s="46">
        <f>=SUM(E58:AI58)</f>
      </c>
      <c r="AK57" s="46">
        <f>=+AY57</f>
      </c>
      <c r="AL57" s="46"/>
      <c r="AM57" s="1"/>
      <c r="AN57" s="1">
        <f>=COUNTIF(E57:AI57,"A")+COUNTIF(E57:AI57,"B")+COUNTIF(E57:AI57,"C")+COUNTIF(E57:AI57,"D")+COUNTIF(E57:AI57,"E")+COUNTIF(E57:AI57,"F")+COUNTIF(E57:AI57,"M")+COUNTIF(E57:AI57,"AB")+COUNTIF(E57:AI57,"UZ")+COUNTIF(E57:AI57,"G")+(COUNTIF(E57:AI57,"RT.")/2)+(COUNTIF(E57:AI57,"ÇRT.")/2)</f>
      </c>
      <c r="AO57" s="1">
        <f>=COUNTIF(E57:AI57,"O")</f>
      </c>
      <c r="AP57" s="1">
        <f>=COUNTIF(E57:AI57,"RT")+(COUNTIF(E57:AI57,"RT.")/2)</f>
      </c>
      <c r="AQ57" s="1">
        <f>=COUNTIF(E57:AI57,"ÇRT")+(COUNTIF(E57:AI57,"ÇRT.")/2)</f>
      </c>
      <c r="AR57" s="1">
        <f>=COUNTIF(E57:AI57,"ÇHT")</f>
      </c>
      <c r="AS57" s="1">
        <f>=COUNTIF(E57:AI57,"Ö")+COUNTIF(E57:AI57,"T")</f>
      </c>
      <c r="AT57" s="1">
        <f>=COUNTIF(E57:AI57,"Y")</f>
      </c>
      <c r="AU57" s="1">
        <f>=COUNTIF(E57:AI57,"R.")</f>
      </c>
      <c r="AV57" s="1">
        <f>=COUNTIF(E57:AI57,"Ü")</f>
      </c>
      <c r="AW57" s="1">
        <f>=COUNTIF(E57:AI57,"R")</f>
      </c>
      <c r="AX57" s="1">
        <f>=COUNTIF(E57:AI57,"DV")</f>
      </c>
      <c r="AY57" s="1">
        <f>=+AN57+AO57+AP57+AQ57+AR57+AS57+AT57+AU57</f>
      </c>
    </row>
    <row r="58" ht="16" customHeight="1" spans="1:51" x14ac:dyDescent="0.25">
      <c r="A58" s="45"/>
      <c r="B58" s="46"/>
      <c r="C58" s="46"/>
      <c r="D58" s="46" t="s">
        <v>33</v>
      </c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ht="16" customHeight="1" spans="1:51" x14ac:dyDescent="0.25">
      <c r="A59" s="45"/>
      <c r="B59" s="46" t="s">
        <v>90</v>
      </c>
      <c r="C59" s="46" t="s">
        <v>91</v>
      </c>
      <c r="D59" s="46" t="s">
        <v>29</v>
      </c>
      <c r="E59" s="46" t="s">
        <v>37</v>
      </c>
      <c r="F59" s="46" t="s">
        <v>41</v>
      </c>
      <c r="G59" s="46" t="s">
        <v>41</v>
      </c>
      <c r="H59" s="46" t="s">
        <v>41</v>
      </c>
      <c r="I59" s="46" t="s">
        <v>41</v>
      </c>
      <c r="J59" s="46" t="s">
        <v>41</v>
      </c>
      <c r="K59" s="46" t="s">
        <v>41</v>
      </c>
      <c r="L59" s="46" t="s">
        <v>37</v>
      </c>
      <c r="M59" s="46" t="s">
        <v>41</v>
      </c>
      <c r="N59" s="46" t="s">
        <v>41</v>
      </c>
      <c r="O59" s="46" t="s">
        <v>41</v>
      </c>
      <c r="P59" s="46" t="s">
        <v>41</v>
      </c>
      <c r="Q59" s="46" t="s">
        <v>41</v>
      </c>
      <c r="R59" s="46" t="s">
        <v>41</v>
      </c>
      <c r="S59" s="46" t="s">
        <v>37</v>
      </c>
      <c r="T59" s="46" t="s">
        <v>41</v>
      </c>
      <c r="U59" s="46" t="s">
        <v>41</v>
      </c>
      <c r="V59" s="46" t="s">
        <v>41</v>
      </c>
      <c r="W59" s="46" t="s">
        <v>41</v>
      </c>
      <c r="X59" s="46" t="s">
        <v>41</v>
      </c>
      <c r="Y59" s="46" t="s">
        <v>41</v>
      </c>
      <c r="Z59" s="46" t="s">
        <v>37</v>
      </c>
      <c r="AA59" s="46" t="s">
        <v>41</v>
      </c>
      <c r="AB59" s="46" t="s">
        <v>37</v>
      </c>
      <c r="AC59" s="46" t="s">
        <v>41</v>
      </c>
      <c r="AD59" s="46" t="s">
        <v>41</v>
      </c>
      <c r="AE59" s="46" t="s">
        <v>41</v>
      </c>
      <c r="AF59" s="46" t="s">
        <v>41</v>
      </c>
      <c r="AG59" s="46" t="s">
        <v>41</v>
      </c>
      <c r="AH59" s="46" t="s">
        <v>43</v>
      </c>
      <c r="AI59" s="46" t="s">
        <v>36</v>
      </c>
      <c r="AJ59" s="46">
        <f>=SUM(E60:AI60)</f>
      </c>
      <c r="AK59" s="46">
        <f>=+AY59</f>
      </c>
      <c r="AL59" s="46"/>
      <c r="AM59" s="1"/>
      <c r="AN59" s="1">
        <f>=COUNTIF(E59:AI59,"A")+COUNTIF(E59:AI59,"B")+COUNTIF(E59:AI59,"C")+COUNTIF(E59:AI59,"D")+COUNTIF(E59:AI59,"E")+COUNTIF(E59:AI59,"F")+COUNTIF(E59:AI59,"M")+COUNTIF(E59:AI59,"AB")+COUNTIF(E59:AI59,"UZ")+COUNTIF(E59:AI59,"G")+(COUNTIF(E59:AI59,"RT.")/2)+(COUNTIF(E59:AI59,"ÇRT.")/2)</f>
      </c>
      <c r="AO59" s="1">
        <f>=COUNTIF(E59:AI59,"O")</f>
      </c>
      <c r="AP59" s="1">
        <f>=COUNTIF(E59:AI59,"RT")+(COUNTIF(E59:AI59,"RT.")/2)</f>
      </c>
      <c r="AQ59" s="1">
        <f>=COUNTIF(E59:AI59,"ÇRT")+(COUNTIF(E59:AI59,"ÇRT.")/2)</f>
      </c>
      <c r="AR59" s="1">
        <f>=COUNTIF(E59:AI59,"ÇHT")</f>
      </c>
      <c r="AS59" s="1">
        <f>=COUNTIF(E59:AI59,"Ö")+COUNTIF(E59:AI59,"T")</f>
      </c>
      <c r="AT59" s="1">
        <f>=COUNTIF(E59:AI59,"Y")</f>
      </c>
      <c r="AU59" s="1">
        <f>=COUNTIF(E59:AI59,"R.")</f>
      </c>
      <c r="AV59" s="1">
        <f>=COUNTIF(E59:AI59,"Ü")</f>
      </c>
      <c r="AW59" s="1">
        <f>=COUNTIF(E59:AI59,"R")</f>
      </c>
      <c r="AX59" s="1">
        <f>=COUNTIF(E59:AI59,"DV")</f>
      </c>
      <c r="AY59" s="1">
        <f>=+AN59+AO59+AP59+AQ59+AR59+AS59+AT59+AU59</f>
      </c>
    </row>
    <row r="60" ht="16" customHeight="1" spans="1:51" x14ac:dyDescent="0.25">
      <c r="A60" s="45"/>
      <c r="B60" s="46"/>
      <c r="C60" s="46"/>
      <c r="D60" s="46" t="s">
        <v>33</v>
      </c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>
        <v>3</v>
      </c>
      <c r="V60" s="46"/>
      <c r="W60" s="46"/>
      <c r="X60" s="46">
        <v>3</v>
      </c>
      <c r="Y60" s="46"/>
      <c r="Z60" s="46"/>
      <c r="AA60" s="46"/>
      <c r="AB60" s="46"/>
      <c r="AC60" s="46"/>
      <c r="AD60" s="46"/>
      <c r="AE60" s="46">
        <v>2</v>
      </c>
      <c r="AF60" s="46"/>
      <c r="AG60" s="46"/>
      <c r="AH60" s="46"/>
      <c r="AI60" s="46"/>
      <c r="AJ60" s="46"/>
      <c r="AK60" s="46"/>
      <c r="AL60" s="46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ht="16" customHeight="1" spans="1:51" x14ac:dyDescent="0.25">
      <c r="A61" s="45"/>
      <c r="B61" s="46" t="s">
        <v>92</v>
      </c>
      <c r="C61" s="46" t="s">
        <v>93</v>
      </c>
      <c r="D61" s="46" t="s">
        <v>29</v>
      </c>
      <c r="E61" s="46" t="s">
        <v>41</v>
      </c>
      <c r="F61" s="46" t="s">
        <v>41</v>
      </c>
      <c r="G61" s="46" t="s">
        <v>41</v>
      </c>
      <c r="H61" s="46" t="s">
        <v>41</v>
      </c>
      <c r="I61" s="46" t="s">
        <v>41</v>
      </c>
      <c r="J61" s="46" t="s">
        <v>37</v>
      </c>
      <c r="K61" s="46" t="s">
        <v>41</v>
      </c>
      <c r="L61" s="46" t="s">
        <v>41</v>
      </c>
      <c r="M61" s="46" t="s">
        <v>41</v>
      </c>
      <c r="N61" s="46" t="s">
        <v>41</v>
      </c>
      <c r="O61" s="46" t="s">
        <v>41</v>
      </c>
      <c r="P61" s="46" t="s">
        <v>41</v>
      </c>
      <c r="Q61" s="46" t="s">
        <v>37</v>
      </c>
      <c r="R61" s="46" t="s">
        <v>41</v>
      </c>
      <c r="S61" s="46" t="s">
        <v>41</v>
      </c>
      <c r="T61" s="46" t="s">
        <v>41</v>
      </c>
      <c r="U61" s="46" t="s">
        <v>41</v>
      </c>
      <c r="V61" s="46" t="s">
        <v>41</v>
      </c>
      <c r="W61" s="46" t="s">
        <v>41</v>
      </c>
      <c r="X61" s="46" t="s">
        <v>37</v>
      </c>
      <c r="Y61" s="46" t="s">
        <v>41</v>
      </c>
      <c r="Z61" s="46" t="s">
        <v>41</v>
      </c>
      <c r="AA61" s="46" t="s">
        <v>41</v>
      </c>
      <c r="AB61" s="46" t="s">
        <v>41</v>
      </c>
      <c r="AC61" s="46" t="s">
        <v>41</v>
      </c>
      <c r="AD61" s="46" t="s">
        <v>41</v>
      </c>
      <c r="AE61" s="46" t="s">
        <v>37</v>
      </c>
      <c r="AF61" s="46" t="s">
        <v>41</v>
      </c>
      <c r="AG61" s="46" t="s">
        <v>41</v>
      </c>
      <c r="AH61" s="46" t="s">
        <v>43</v>
      </c>
      <c r="AI61" s="46" t="s">
        <v>41</v>
      </c>
      <c r="AJ61" s="46">
        <f>=SUM(E62:AI62)</f>
      </c>
      <c r="AK61" s="46">
        <f>=+AY61</f>
      </c>
      <c r="AL61" s="46"/>
      <c r="AM61" s="1"/>
      <c r="AN61" s="1">
        <f>=COUNTIF(E61:AI61,"A")+COUNTIF(E61:AI61,"B")+COUNTIF(E61:AI61,"C")+COUNTIF(E61:AI61,"D")+COUNTIF(E61:AI61,"E")+COUNTIF(E61:AI61,"F")+COUNTIF(E61:AI61,"M")+COUNTIF(E61:AI61,"AB")+COUNTIF(E61:AI61,"UZ")+COUNTIF(E61:AI61,"G")+(COUNTIF(E61:AI61,"RT.")/2)+(COUNTIF(E61:AI61,"ÇRT.")/2)</f>
      </c>
      <c r="AO61" s="1">
        <f>=COUNTIF(E61:AI61,"O")</f>
      </c>
      <c r="AP61" s="1">
        <f>=COUNTIF(E61:AI61,"RT")+(COUNTIF(E61:AI61,"RT.")/2)</f>
      </c>
      <c r="AQ61" s="1">
        <f>=COUNTIF(E61:AI61,"ÇRT")+(COUNTIF(E61:AI61,"ÇRT.")/2)</f>
      </c>
      <c r="AR61" s="1">
        <f>=COUNTIF(E61:AI61,"ÇHT")</f>
      </c>
      <c r="AS61" s="1">
        <f>=COUNTIF(E61:AI61,"Ö")+COUNTIF(E61:AI61,"T")</f>
      </c>
      <c r="AT61" s="1">
        <f>=COUNTIF(E61:AI61,"Y")</f>
      </c>
      <c r="AU61" s="1">
        <f>=COUNTIF(E61:AI61,"R.")</f>
      </c>
      <c r="AV61" s="1">
        <f>=COUNTIF(E61:AI61,"Ü")</f>
      </c>
      <c r="AW61" s="1">
        <f>=COUNTIF(E61:AI61,"R")</f>
      </c>
      <c r="AX61" s="1">
        <f>=COUNTIF(E61:AI61,"DV")</f>
      </c>
      <c r="AY61" s="1">
        <f>=+AN61+AO61+AP61+AQ61+AR61+AS61+AT61+AU61</f>
      </c>
    </row>
    <row r="62" ht="16" customHeight="1" spans="1:51" x14ac:dyDescent="0.25">
      <c r="A62" s="45"/>
      <c r="B62" s="46"/>
      <c r="C62" s="46"/>
      <c r="D62" s="46" t="s">
        <v>33</v>
      </c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6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ht="16" customHeight="1" spans="1:51" x14ac:dyDescent="0.25">
      <c r="A63" s="45"/>
      <c r="B63" s="46" t="s">
        <v>94</v>
      </c>
      <c r="C63" s="46" t="s">
        <v>95</v>
      </c>
      <c r="D63" s="46" t="s">
        <v>29</v>
      </c>
      <c r="E63" s="46" t="s">
        <v>36</v>
      </c>
      <c r="F63" s="46" t="s">
        <v>36</v>
      </c>
      <c r="G63" s="46" t="s">
        <v>36</v>
      </c>
      <c r="H63" s="46" t="s">
        <v>36</v>
      </c>
      <c r="I63" s="46" t="s">
        <v>36</v>
      </c>
      <c r="J63" s="46" t="s">
        <v>37</v>
      </c>
      <c r="K63" s="46" t="s">
        <v>36</v>
      </c>
      <c r="L63" s="46" t="s">
        <v>36</v>
      </c>
      <c r="M63" s="46" t="s">
        <v>36</v>
      </c>
      <c r="N63" s="46" t="s">
        <v>36</v>
      </c>
      <c r="O63" s="46" t="s">
        <v>36</v>
      </c>
      <c r="P63" s="46" t="s">
        <v>36</v>
      </c>
      <c r="Q63" s="46" t="s">
        <v>37</v>
      </c>
      <c r="R63" s="46" t="s">
        <v>36</v>
      </c>
      <c r="S63" s="46" t="s">
        <v>36</v>
      </c>
      <c r="T63" s="46" t="s">
        <v>36</v>
      </c>
      <c r="U63" s="46" t="s">
        <v>36</v>
      </c>
      <c r="V63" s="46" t="s">
        <v>36</v>
      </c>
      <c r="W63" s="46" t="s">
        <v>36</v>
      </c>
      <c r="X63" s="46" t="s">
        <v>37</v>
      </c>
      <c r="Y63" s="46" t="s">
        <v>36</v>
      </c>
      <c r="Z63" s="46" t="s">
        <v>36</v>
      </c>
      <c r="AA63" s="46" t="s">
        <v>36</v>
      </c>
      <c r="AB63" s="46" t="s">
        <v>36</v>
      </c>
      <c r="AC63" s="46" t="s">
        <v>36</v>
      </c>
      <c r="AD63" s="46" t="s">
        <v>36</v>
      </c>
      <c r="AE63" s="46" t="s">
        <v>37</v>
      </c>
      <c r="AF63" s="46" t="s">
        <v>36</v>
      </c>
      <c r="AG63" s="46" t="s">
        <v>36</v>
      </c>
      <c r="AH63" s="46" t="s">
        <v>43</v>
      </c>
      <c r="AI63" s="46" t="s">
        <v>36</v>
      </c>
      <c r="AJ63" s="46">
        <f>=SUM(E64:AI64)</f>
      </c>
      <c r="AK63" s="46">
        <f>=+AY63</f>
      </c>
      <c r="AL63" s="46"/>
      <c r="AM63" s="1"/>
      <c r="AN63" s="1">
        <f>=COUNTIF(E63:AI63,"A")+COUNTIF(E63:AI63,"B")+COUNTIF(E63:AI63,"C")+COUNTIF(E63:AI63,"D")+COUNTIF(E63:AI63,"E")+COUNTIF(E63:AI63,"F")+COUNTIF(E63:AI63,"M")+COUNTIF(E63:AI63,"AB")+COUNTIF(E63:AI63,"UZ")+COUNTIF(E63:AI63,"G")+(COUNTIF(E63:AI63,"RT.")/2)+(COUNTIF(E63:AI63,"ÇRT.")/2)</f>
      </c>
      <c r="AO63" s="1">
        <f>=COUNTIF(E63:AI63,"O")</f>
      </c>
      <c r="AP63" s="1">
        <f>=COUNTIF(E63:AI63,"RT")+(COUNTIF(E63:AI63,"RT.")/2)</f>
      </c>
      <c r="AQ63" s="1">
        <f>=COUNTIF(E63:AI63,"ÇRT")+(COUNTIF(E63:AI63,"ÇRT.")/2)</f>
      </c>
      <c r="AR63" s="1">
        <f>=COUNTIF(E63:AI63,"ÇHT")</f>
      </c>
      <c r="AS63" s="1">
        <f>=COUNTIF(E63:AI63,"Ö")+COUNTIF(E63:AI63,"T")</f>
      </c>
      <c r="AT63" s="1">
        <f>=COUNTIF(E63:AI63,"Y")</f>
      </c>
      <c r="AU63" s="1">
        <f>=COUNTIF(E63:AI63,"R.")</f>
      </c>
      <c r="AV63" s="1">
        <f>=COUNTIF(E63:AI63,"Ü")</f>
      </c>
      <c r="AW63" s="1">
        <f>=COUNTIF(E63:AI63,"R")</f>
      </c>
      <c r="AX63" s="1">
        <f>=COUNTIF(E63:AI63,"DV")</f>
      </c>
      <c r="AY63" s="1">
        <f>=+AN63+AO63+AP63+AQ63+AR63+AS63+AT63+AU63</f>
      </c>
    </row>
    <row r="64" ht="16" customHeight="1" spans="1:51" x14ac:dyDescent="0.25">
      <c r="A64" s="45"/>
      <c r="B64" s="46"/>
      <c r="C64" s="46"/>
      <c r="D64" s="46" t="s">
        <v>33</v>
      </c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ht="16" customHeight="1" spans="1:51" x14ac:dyDescent="0.25">
      <c r="A65" s="45"/>
      <c r="B65" s="46" t="s">
        <v>96</v>
      </c>
      <c r="C65" s="46" t="s">
        <v>97</v>
      </c>
      <c r="D65" s="46" t="s">
        <v>29</v>
      </c>
      <c r="E65" s="46" t="s">
        <v>42</v>
      </c>
      <c r="F65" s="46" t="s">
        <v>37</v>
      </c>
      <c r="G65" s="46" t="s">
        <v>42</v>
      </c>
      <c r="H65" s="46" t="s">
        <v>42</v>
      </c>
      <c r="I65" s="46" t="s">
        <v>42</v>
      </c>
      <c r="J65" s="46" t="s">
        <v>42</v>
      </c>
      <c r="K65" s="46" t="s">
        <v>42</v>
      </c>
      <c r="L65" s="46" t="s">
        <v>42</v>
      </c>
      <c r="M65" s="46" t="s">
        <v>37</v>
      </c>
      <c r="N65" s="46" t="s">
        <v>42</v>
      </c>
      <c r="O65" s="46" t="s">
        <v>42</v>
      </c>
      <c r="P65" s="46" t="s">
        <v>98</v>
      </c>
      <c r="Q65" s="46" t="s">
        <v>98</v>
      </c>
      <c r="R65" s="46" t="s">
        <v>98</v>
      </c>
      <c r="S65" s="46" t="s">
        <v>98</v>
      </c>
      <c r="T65" s="46" t="s">
        <v>37</v>
      </c>
      <c r="U65" s="46" t="s">
        <v>37</v>
      </c>
      <c r="V65" s="46" t="s">
        <v>42</v>
      </c>
      <c r="W65" s="46" t="s">
        <v>42</v>
      </c>
      <c r="X65" s="46" t="s">
        <v>42</v>
      </c>
      <c r="Y65" s="46" t="s">
        <v>42</v>
      </c>
      <c r="Z65" s="46" t="s">
        <v>42</v>
      </c>
      <c r="AA65" s="46" t="s">
        <v>42</v>
      </c>
      <c r="AB65" s="46" t="s">
        <v>42</v>
      </c>
      <c r="AC65" s="46" t="s">
        <v>42</v>
      </c>
      <c r="AD65" s="46" t="s">
        <v>42</v>
      </c>
      <c r="AE65" s="46" t="s">
        <v>42</v>
      </c>
      <c r="AF65" s="46" t="s">
        <v>37</v>
      </c>
      <c r="AG65" s="46" t="s">
        <v>42</v>
      </c>
      <c r="AH65" s="46" t="s">
        <v>43</v>
      </c>
      <c r="AI65" s="46" t="s">
        <v>42</v>
      </c>
      <c r="AJ65" s="46">
        <f>=SUM(E66:AI66)</f>
      </c>
      <c r="AK65" s="46">
        <f>=+AY65</f>
      </c>
      <c r="AL65" s="46"/>
      <c r="AM65" s="1"/>
      <c r="AN65" s="1">
        <f>=COUNTIF(E65:AI65,"A")+COUNTIF(E65:AI65,"B")+COUNTIF(E65:AI65,"C")+COUNTIF(E65:AI65,"D")+COUNTIF(E65:AI65,"E")+COUNTIF(E65:AI65,"F")+COUNTIF(E65:AI65,"M")+COUNTIF(E65:AI65,"AB")+COUNTIF(E65:AI65,"UZ")+COUNTIF(E65:AI65,"G")+(COUNTIF(E65:AI65,"RT.")/2)+(COUNTIF(E65:AI65,"ÇRT.")/2)</f>
      </c>
      <c r="AO65" s="1">
        <f>=COUNTIF(E65:AI65,"O")</f>
      </c>
      <c r="AP65" s="1">
        <f>=COUNTIF(E65:AI65,"RT")+(COUNTIF(E65:AI65,"RT.")/2)</f>
      </c>
      <c r="AQ65" s="1">
        <f>=COUNTIF(E65:AI65,"ÇRT")+(COUNTIF(E65:AI65,"ÇRT.")/2)</f>
      </c>
      <c r="AR65" s="1">
        <f>=COUNTIF(E65:AI65,"ÇHT")</f>
      </c>
      <c r="AS65" s="1">
        <f>=COUNTIF(E65:AI65,"Ö")+COUNTIF(E65:AI65,"T")</f>
      </c>
      <c r="AT65" s="1">
        <f>=COUNTIF(E65:AI65,"Y")</f>
      </c>
      <c r="AU65" s="1">
        <f>=COUNTIF(E65:AI65,"R.")</f>
      </c>
      <c r="AV65" s="1">
        <f>=COUNTIF(E65:AI65,"Ü")</f>
      </c>
      <c r="AW65" s="1">
        <f>=COUNTIF(E65:AI65,"R")</f>
      </c>
      <c r="AX65" s="1">
        <f>=COUNTIF(E65:AI65,"DV")</f>
      </c>
      <c r="AY65" s="1">
        <f>=+AN65+AO65+AP65+AQ65+AR65+AS65+AT65+AU65</f>
      </c>
    </row>
    <row r="66" ht="16" customHeight="1" spans="1:51" x14ac:dyDescent="0.25">
      <c r="A66" s="45"/>
      <c r="B66" s="46"/>
      <c r="C66" s="46"/>
      <c r="D66" s="46" t="s">
        <v>33</v>
      </c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ht="16" customHeight="1" spans="1:51" x14ac:dyDescent="0.25">
      <c r="A67" s="45"/>
      <c r="B67" s="46" t="s">
        <v>99</v>
      </c>
      <c r="C67" s="46" t="s">
        <v>100</v>
      </c>
      <c r="D67" s="46" t="s">
        <v>29</v>
      </c>
      <c r="E67" s="46" t="s">
        <v>32</v>
      </c>
      <c r="F67" s="46" t="s">
        <v>32</v>
      </c>
      <c r="G67" s="46" t="s">
        <v>32</v>
      </c>
      <c r="H67" s="46" t="s">
        <v>32</v>
      </c>
      <c r="I67" s="46" t="s">
        <v>32</v>
      </c>
      <c r="J67" s="46" t="s">
        <v>32</v>
      </c>
      <c r="K67" s="46" t="s">
        <v>32</v>
      </c>
      <c r="L67" s="46" t="s">
        <v>36</v>
      </c>
      <c r="M67" s="46" t="s">
        <v>36</v>
      </c>
      <c r="N67" s="46" t="s">
        <v>36</v>
      </c>
      <c r="O67" s="46" t="s">
        <v>36</v>
      </c>
      <c r="P67" s="46" t="s">
        <v>36</v>
      </c>
      <c r="Q67" s="46" t="s">
        <v>36</v>
      </c>
      <c r="R67" s="46" t="s">
        <v>37</v>
      </c>
      <c r="S67" s="46" t="s">
        <v>36</v>
      </c>
      <c r="T67" s="46" t="s">
        <v>36</v>
      </c>
      <c r="U67" s="46" t="s">
        <v>36</v>
      </c>
      <c r="V67" s="46" t="s">
        <v>36</v>
      </c>
      <c r="W67" s="46" t="s">
        <v>36</v>
      </c>
      <c r="X67" s="46" t="s">
        <v>36</v>
      </c>
      <c r="Y67" s="46" t="s">
        <v>37</v>
      </c>
      <c r="Z67" s="46" t="s">
        <v>36</v>
      </c>
      <c r="AA67" s="46" t="s">
        <v>36</v>
      </c>
      <c r="AB67" s="46" t="s">
        <v>36</v>
      </c>
      <c r="AC67" s="46" t="s">
        <v>36</v>
      </c>
      <c r="AD67" s="46" t="s">
        <v>36</v>
      </c>
      <c r="AE67" s="46" t="s">
        <v>36</v>
      </c>
      <c r="AF67" s="46" t="s">
        <v>37</v>
      </c>
      <c r="AG67" s="46" t="s">
        <v>36</v>
      </c>
      <c r="AH67" s="46" t="s">
        <v>43</v>
      </c>
      <c r="AI67" s="46" t="s">
        <v>36</v>
      </c>
      <c r="AJ67" s="46">
        <f>=SUM(E68:AI68)</f>
      </c>
      <c r="AK67" s="46">
        <f>=+AY67</f>
      </c>
      <c r="AL67" s="46"/>
      <c r="AM67" s="1"/>
      <c r="AN67" s="1">
        <f>=COUNTIF(E67:AI67,"A")+COUNTIF(E67:AI67,"B")+COUNTIF(E67:AI67,"C")+COUNTIF(E67:AI67,"D")+COUNTIF(E67:AI67,"E")+COUNTIF(E67:AI67,"F")+COUNTIF(E67:AI67,"M")+COUNTIF(E67:AI67,"AB")+COUNTIF(E67:AI67,"UZ")+COUNTIF(E67:AI67,"G")+(COUNTIF(E67:AI67,"RT.")/2)+(COUNTIF(E67:AI67,"ÇRT.")/2)</f>
      </c>
      <c r="AO67" s="1">
        <f>=COUNTIF(E67:AI67,"O")</f>
      </c>
      <c r="AP67" s="1">
        <f>=COUNTIF(E67:AI67,"RT")+(COUNTIF(E67:AI67,"RT.")/2)</f>
      </c>
      <c r="AQ67" s="1">
        <f>=COUNTIF(E67:AI67,"ÇRT")+(COUNTIF(E67:AI67,"ÇRT.")/2)</f>
      </c>
      <c r="AR67" s="1">
        <f>=COUNTIF(E67:AI67,"ÇHT")</f>
      </c>
      <c r="AS67" s="1">
        <f>=COUNTIF(E67:AI67,"Ö")+COUNTIF(E67:AI67,"T")</f>
      </c>
      <c r="AT67" s="1">
        <f>=COUNTIF(E67:AI67,"Y")</f>
      </c>
      <c r="AU67" s="1">
        <f>=COUNTIF(E67:AI67,"R.")</f>
      </c>
      <c r="AV67" s="1">
        <f>=COUNTIF(E67:AI67,"Ü")</f>
      </c>
      <c r="AW67" s="1">
        <f>=COUNTIF(E67:AI67,"R")</f>
      </c>
      <c r="AX67" s="1">
        <f>=COUNTIF(E67:AI67,"DV")</f>
      </c>
      <c r="AY67" s="1">
        <f>=+AN67+AO67+AP67+AQ67+AR67+AS67+AT67+AU67</f>
      </c>
    </row>
    <row r="68" ht="16" customHeight="1" spans="1:51" x14ac:dyDescent="0.25">
      <c r="A68" s="45"/>
      <c r="B68" s="46"/>
      <c r="C68" s="46"/>
      <c r="D68" s="46" t="s">
        <v>33</v>
      </c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  <c r="AL68" s="46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ht="16" customHeight="1" spans="1:51" x14ac:dyDescent="0.25">
      <c r="A69" s="45"/>
      <c r="B69" s="46" t="s">
        <v>101</v>
      </c>
      <c r="C69" s="46" t="s">
        <v>102</v>
      </c>
      <c r="D69" s="46" t="s">
        <v>29</v>
      </c>
      <c r="E69" s="46" t="s">
        <v>36</v>
      </c>
      <c r="F69" s="46" t="s">
        <v>36</v>
      </c>
      <c r="G69" s="46" t="s">
        <v>37</v>
      </c>
      <c r="H69" s="46" t="s">
        <v>36</v>
      </c>
      <c r="I69" s="46" t="s">
        <v>36</v>
      </c>
      <c r="J69" s="46" t="s">
        <v>36</v>
      </c>
      <c r="K69" s="46" t="s">
        <v>36</v>
      </c>
      <c r="L69" s="46" t="s">
        <v>36</v>
      </c>
      <c r="M69" s="46" t="s">
        <v>36</v>
      </c>
      <c r="N69" s="46" t="s">
        <v>37</v>
      </c>
      <c r="O69" s="46" t="s">
        <v>36</v>
      </c>
      <c r="P69" s="46" t="s">
        <v>36</v>
      </c>
      <c r="Q69" s="46" t="s">
        <v>36</v>
      </c>
      <c r="R69" s="46" t="s">
        <v>36</v>
      </c>
      <c r="S69" s="46" t="s">
        <v>36</v>
      </c>
      <c r="T69" s="46" t="s">
        <v>36</v>
      </c>
      <c r="U69" s="46" t="s">
        <v>37</v>
      </c>
      <c r="V69" s="46" t="s">
        <v>36</v>
      </c>
      <c r="W69" s="46" t="s">
        <v>36</v>
      </c>
      <c r="X69" s="46" t="s">
        <v>36</v>
      </c>
      <c r="Y69" s="46" t="s">
        <v>36</v>
      </c>
      <c r="Z69" s="46" t="s">
        <v>36</v>
      </c>
      <c r="AA69" s="46" t="s">
        <v>36</v>
      </c>
      <c r="AB69" s="46" t="s">
        <v>37</v>
      </c>
      <c r="AC69" s="46" t="s">
        <v>36</v>
      </c>
      <c r="AD69" s="46" t="s">
        <v>36</v>
      </c>
      <c r="AE69" s="46" t="s">
        <v>36</v>
      </c>
      <c r="AF69" s="46" t="s">
        <v>36</v>
      </c>
      <c r="AG69" s="46" t="s">
        <v>36</v>
      </c>
      <c r="AH69" s="46" t="s">
        <v>43</v>
      </c>
      <c r="AI69" s="46" t="s">
        <v>37</v>
      </c>
      <c r="AJ69" s="46">
        <f>=SUM(E70:AI70)</f>
      </c>
      <c r="AK69" s="46">
        <f>=+AY69</f>
      </c>
      <c r="AL69" s="46"/>
      <c r="AM69" s="1"/>
      <c r="AN69" s="1">
        <f>=COUNTIF(E69:AI69,"A")+COUNTIF(E69:AI69,"B")+COUNTIF(E69:AI69,"C")+COUNTIF(E69:AI69,"D")+COUNTIF(E69:AI69,"E")+COUNTIF(E69:AI69,"F")+COUNTIF(E69:AI69,"M")+COUNTIF(E69:AI69,"AB")+COUNTIF(E69:AI69,"UZ")+COUNTIF(E69:AI69,"G")+(COUNTIF(E69:AI69,"RT.")/2)+(COUNTIF(E69:AI69,"ÇRT.")/2)</f>
      </c>
      <c r="AO69" s="1">
        <f>=COUNTIF(E69:AI69,"O")</f>
      </c>
      <c r="AP69" s="1">
        <f>=COUNTIF(E69:AI69,"RT")+(COUNTIF(E69:AI69,"RT.")/2)</f>
      </c>
      <c r="AQ69" s="1">
        <f>=COUNTIF(E69:AI69,"ÇRT")+(COUNTIF(E69:AI69,"ÇRT.")/2)</f>
      </c>
      <c r="AR69" s="1">
        <f>=COUNTIF(E69:AI69,"ÇHT")</f>
      </c>
      <c r="AS69" s="1">
        <f>=COUNTIF(E69:AI69,"Ö")+COUNTIF(E69:AI69,"T")</f>
      </c>
      <c r="AT69" s="1">
        <f>=COUNTIF(E69:AI69,"Y")</f>
      </c>
      <c r="AU69" s="1">
        <f>=COUNTIF(E69:AI69,"R.")</f>
      </c>
      <c r="AV69" s="1">
        <f>=COUNTIF(E69:AI69,"Ü")</f>
      </c>
      <c r="AW69" s="1">
        <f>=COUNTIF(E69:AI69,"R")</f>
      </c>
      <c r="AX69" s="1">
        <f>=COUNTIF(E69:AI69,"DV")</f>
      </c>
      <c r="AY69" s="1">
        <f>=+AN69+AO69+AP69+AQ69+AR69+AS69+AT69+AU69</f>
      </c>
    </row>
    <row r="70" ht="16" customHeight="1" spans="1:51" x14ac:dyDescent="0.25">
      <c r="A70" s="45"/>
      <c r="B70" s="46"/>
      <c r="C70" s="46"/>
      <c r="D70" s="46" t="s">
        <v>33</v>
      </c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  <c r="AL70" s="46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ht="16" customHeight="1" spans="1:51" x14ac:dyDescent="0.25">
      <c r="A71" s="45"/>
      <c r="B71" s="46" t="s">
        <v>103</v>
      </c>
      <c r="C71" s="46" t="s">
        <v>104</v>
      </c>
      <c r="D71" s="46" t="s">
        <v>29</v>
      </c>
      <c r="E71" s="46" t="s">
        <v>36</v>
      </c>
      <c r="F71" s="46" t="s">
        <v>36</v>
      </c>
      <c r="G71" s="46" t="s">
        <v>36</v>
      </c>
      <c r="H71" s="46" t="s">
        <v>36</v>
      </c>
      <c r="I71" s="46" t="s">
        <v>37</v>
      </c>
      <c r="J71" s="46" t="s">
        <v>36</v>
      </c>
      <c r="K71" s="46" t="s">
        <v>36</v>
      </c>
      <c r="L71" s="46" t="s">
        <v>36</v>
      </c>
      <c r="M71" s="46" t="s">
        <v>36</v>
      </c>
      <c r="N71" s="46" t="s">
        <v>36</v>
      </c>
      <c r="O71" s="46" t="s">
        <v>36</v>
      </c>
      <c r="P71" s="46" t="s">
        <v>37</v>
      </c>
      <c r="Q71" s="46" t="s">
        <v>36</v>
      </c>
      <c r="R71" s="46" t="s">
        <v>36</v>
      </c>
      <c r="S71" s="46" t="s">
        <v>36</v>
      </c>
      <c r="T71" s="46" t="s">
        <v>36</v>
      </c>
      <c r="U71" s="46" t="s">
        <v>36</v>
      </c>
      <c r="V71" s="46" t="s">
        <v>36</v>
      </c>
      <c r="W71" s="46" t="s">
        <v>37</v>
      </c>
      <c r="X71" s="46" t="s">
        <v>36</v>
      </c>
      <c r="Y71" s="46" t="s">
        <v>36</v>
      </c>
      <c r="Z71" s="46" t="s">
        <v>36</v>
      </c>
      <c r="AA71" s="46" t="s">
        <v>36</v>
      </c>
      <c r="AB71" s="46" t="s">
        <v>36</v>
      </c>
      <c r="AC71" s="46" t="s">
        <v>36</v>
      </c>
      <c r="AD71" s="46" t="s">
        <v>36</v>
      </c>
      <c r="AE71" s="46" t="s">
        <v>36</v>
      </c>
      <c r="AF71" s="46" t="s">
        <v>36</v>
      </c>
      <c r="AG71" s="46" t="s">
        <v>37</v>
      </c>
      <c r="AH71" s="46" t="s">
        <v>43</v>
      </c>
      <c r="AI71" s="46" t="s">
        <v>36</v>
      </c>
      <c r="AJ71" s="46">
        <f>=SUM(E72:AI72)</f>
      </c>
      <c r="AK71" s="46">
        <f>=+AY71</f>
      </c>
      <c r="AL71" s="46"/>
      <c r="AM71" s="1"/>
      <c r="AN71" s="1">
        <f>=COUNTIF(E71:AI71,"A")+COUNTIF(E71:AI71,"B")+COUNTIF(E71:AI71,"C")+COUNTIF(E71:AI71,"D")+COUNTIF(E71:AI71,"E")+COUNTIF(E71:AI71,"F")+COUNTIF(E71:AI71,"M")+COUNTIF(E71:AI71,"AB")+COUNTIF(E71:AI71,"UZ")+COUNTIF(E71:AI71,"G")+(COUNTIF(E71:AI71,"RT.")/2)+(COUNTIF(E71:AI71,"ÇRT.")/2)</f>
      </c>
      <c r="AO71" s="1">
        <f>=COUNTIF(E71:AI71,"O")</f>
      </c>
      <c r="AP71" s="1">
        <f>=COUNTIF(E71:AI71,"RT")+(COUNTIF(E71:AI71,"RT.")/2)</f>
      </c>
      <c r="AQ71" s="1">
        <f>=COUNTIF(E71:AI71,"ÇRT")+(COUNTIF(E71:AI71,"ÇRT.")/2)</f>
      </c>
      <c r="AR71" s="1">
        <f>=COUNTIF(E71:AI71,"ÇHT")</f>
      </c>
      <c r="AS71" s="1">
        <f>=COUNTIF(E71:AI71,"Ö")+COUNTIF(E71:AI71,"T")</f>
      </c>
      <c r="AT71" s="1">
        <f>=COUNTIF(E71:AI71,"Y")</f>
      </c>
      <c r="AU71" s="1">
        <f>=COUNTIF(E71:AI71,"R.")</f>
      </c>
      <c r="AV71" s="1">
        <f>=COUNTIF(E71:AI71,"Ü")</f>
      </c>
      <c r="AW71" s="1">
        <f>=COUNTIF(E71:AI71,"R")</f>
      </c>
      <c r="AX71" s="1">
        <f>=COUNTIF(E71:AI71,"DV")</f>
      </c>
      <c r="AY71" s="1">
        <f>=+AN71+AO71+AP71+AQ71+AR71+AS71+AT71+AU71</f>
      </c>
    </row>
    <row r="72" ht="16" customHeight="1" spans="1:51" x14ac:dyDescent="0.25">
      <c r="A72" s="45"/>
      <c r="B72" s="46"/>
      <c r="C72" s="46"/>
      <c r="D72" s="46" t="s">
        <v>33</v>
      </c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>
        <v>3</v>
      </c>
      <c r="Y72" s="46"/>
      <c r="Z72" s="46"/>
      <c r="AA72" s="46">
        <v>3</v>
      </c>
      <c r="AB72" s="46">
        <v>3</v>
      </c>
      <c r="AC72" s="46"/>
      <c r="AD72" s="46">
        <v>3</v>
      </c>
      <c r="AE72" s="46">
        <v>3</v>
      </c>
      <c r="AF72" s="46"/>
      <c r="AG72" s="46"/>
      <c r="AH72" s="46">
        <v>3</v>
      </c>
      <c r="AI72" s="46"/>
      <c r="AJ72" s="46"/>
      <c r="AK72" s="46"/>
      <c r="AL72" s="46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ht="16" customHeight="1" spans="1:51" x14ac:dyDescent="0.25">
      <c r="A73" s="45"/>
      <c r="B73" s="46" t="s">
        <v>105</v>
      </c>
      <c r="C73" s="46" t="s">
        <v>106</v>
      </c>
      <c r="D73" s="46" t="s">
        <v>29</v>
      </c>
      <c r="E73" s="46" t="s">
        <v>37</v>
      </c>
      <c r="F73" s="46" t="s">
        <v>41</v>
      </c>
      <c r="G73" s="46" t="s">
        <v>41</v>
      </c>
      <c r="H73" s="46" t="s">
        <v>41</v>
      </c>
      <c r="I73" s="46" t="s">
        <v>41</v>
      </c>
      <c r="J73" s="46" t="s">
        <v>41</v>
      </c>
      <c r="K73" s="46" t="s">
        <v>41</v>
      </c>
      <c r="L73" s="46" t="s">
        <v>37</v>
      </c>
      <c r="M73" s="46" t="s">
        <v>41</v>
      </c>
      <c r="N73" s="46" t="s">
        <v>41</v>
      </c>
      <c r="O73" s="46" t="s">
        <v>41</v>
      </c>
      <c r="P73" s="46" t="s">
        <v>41</v>
      </c>
      <c r="Q73" s="46" t="s">
        <v>41</v>
      </c>
      <c r="R73" s="46" t="s">
        <v>41</v>
      </c>
      <c r="S73" s="46" t="s">
        <v>37</v>
      </c>
      <c r="T73" s="46" t="s">
        <v>41</v>
      </c>
      <c r="U73" s="46" t="s">
        <v>41</v>
      </c>
      <c r="V73" s="46" t="s">
        <v>41</v>
      </c>
      <c r="W73" s="46" t="s">
        <v>41</v>
      </c>
      <c r="X73" s="46" t="s">
        <v>41</v>
      </c>
      <c r="Y73" s="46" t="s">
        <v>41</v>
      </c>
      <c r="Z73" s="46" t="s">
        <v>37</v>
      </c>
      <c r="AA73" s="46" t="s">
        <v>41</v>
      </c>
      <c r="AB73" s="46" t="s">
        <v>41</v>
      </c>
      <c r="AC73" s="46" t="s">
        <v>41</v>
      </c>
      <c r="AD73" s="46" t="s">
        <v>41</v>
      </c>
      <c r="AE73" s="46" t="s">
        <v>41</v>
      </c>
      <c r="AF73" s="46" t="s">
        <v>41</v>
      </c>
      <c r="AG73" s="46" t="s">
        <v>37</v>
      </c>
      <c r="AH73" s="46" t="s">
        <v>43</v>
      </c>
      <c r="AI73" s="46" t="s">
        <v>41</v>
      </c>
      <c r="AJ73" s="46">
        <f>=SUM(E74:AI74)</f>
      </c>
      <c r="AK73" s="46">
        <f>=+AY73</f>
      </c>
      <c r="AL73" s="46"/>
      <c r="AM73" s="1"/>
      <c r="AN73" s="1">
        <f>=COUNTIF(E73:AI73,"A")+COUNTIF(E73:AI73,"B")+COUNTIF(E73:AI73,"C")+COUNTIF(E73:AI73,"D")+COUNTIF(E73:AI73,"E")+COUNTIF(E73:AI73,"F")+COUNTIF(E73:AI73,"M")+COUNTIF(E73:AI73,"AB")+COUNTIF(E73:AI73,"UZ")+COUNTIF(E73:AI73,"G")+(COUNTIF(E73:AI73,"RT.")/2)+(COUNTIF(E73:AI73,"ÇRT.")/2)</f>
      </c>
      <c r="AO73" s="1">
        <f>=COUNTIF(E73:AI73,"O")</f>
      </c>
      <c r="AP73" s="1">
        <f>=COUNTIF(E73:AI73,"RT")+(COUNTIF(E73:AI73,"RT.")/2)</f>
      </c>
      <c r="AQ73" s="1">
        <f>=COUNTIF(E73:AI73,"ÇRT")+(COUNTIF(E73:AI73,"ÇRT.")/2)</f>
      </c>
      <c r="AR73" s="1">
        <f>=COUNTIF(E73:AI73,"ÇHT")</f>
      </c>
      <c r="AS73" s="1">
        <f>=COUNTIF(E73:AI73,"Ö")+COUNTIF(E73:AI73,"T")</f>
      </c>
      <c r="AT73" s="1">
        <f>=COUNTIF(E73:AI73,"Y")</f>
      </c>
      <c r="AU73" s="1">
        <f>=COUNTIF(E73:AI73,"R.")</f>
      </c>
      <c r="AV73" s="1">
        <f>=COUNTIF(E73:AI73,"Ü")</f>
      </c>
      <c r="AW73" s="1">
        <f>=COUNTIF(E73:AI73,"R")</f>
      </c>
      <c r="AX73" s="1">
        <f>=COUNTIF(E73:AI73,"DV")</f>
      </c>
      <c r="AY73" s="1">
        <f>=+AN73+AO73+AP73+AQ73+AR73+AS73+AT73+AU73</f>
      </c>
    </row>
    <row r="74" ht="16" customHeight="1" spans="1:51" x14ac:dyDescent="0.25">
      <c r="A74" s="45"/>
      <c r="B74" s="46"/>
      <c r="C74" s="46"/>
      <c r="D74" s="46" t="s">
        <v>33</v>
      </c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6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ht="16" customHeight="1" spans="1:51" x14ac:dyDescent="0.25">
      <c r="A75" s="45"/>
      <c r="B75" s="46" t="s">
        <v>107</v>
      </c>
      <c r="C75" s="46" t="s">
        <v>108</v>
      </c>
      <c r="D75" s="46" t="s">
        <v>29</v>
      </c>
      <c r="E75" s="46" t="s">
        <v>41</v>
      </c>
      <c r="F75" s="46" t="s">
        <v>41</v>
      </c>
      <c r="G75" s="46" t="s">
        <v>42</v>
      </c>
      <c r="H75" s="46" t="s">
        <v>36</v>
      </c>
      <c r="I75" s="46" t="s">
        <v>46</v>
      </c>
      <c r="J75" s="46" t="s">
        <v>37</v>
      </c>
      <c r="K75" s="46" t="s">
        <v>46</v>
      </c>
      <c r="L75" s="46" t="s">
        <v>41</v>
      </c>
      <c r="M75" s="46" t="s">
        <v>36</v>
      </c>
      <c r="N75" s="46" t="s">
        <v>36</v>
      </c>
      <c r="O75" s="46" t="s">
        <v>36</v>
      </c>
      <c r="P75" s="46" t="s">
        <v>46</v>
      </c>
      <c r="Q75" s="46" t="s">
        <v>46</v>
      </c>
      <c r="R75" s="46" t="s">
        <v>46</v>
      </c>
      <c r="S75" s="46" t="s">
        <v>37</v>
      </c>
      <c r="T75" s="46" t="s">
        <v>36</v>
      </c>
      <c r="U75" s="46" t="s">
        <v>41</v>
      </c>
      <c r="V75" s="46" t="s">
        <v>41</v>
      </c>
      <c r="W75" s="46" t="s">
        <v>41</v>
      </c>
      <c r="X75" s="46" t="s">
        <v>41</v>
      </c>
      <c r="Y75" s="46" t="s">
        <v>41</v>
      </c>
      <c r="Z75" s="46" t="s">
        <v>37</v>
      </c>
      <c r="AA75" s="46" t="s">
        <v>41</v>
      </c>
      <c r="AB75" s="46" t="s">
        <v>41</v>
      </c>
      <c r="AC75" s="46" t="s">
        <v>41</v>
      </c>
      <c r="AD75" s="46" t="s">
        <v>41</v>
      </c>
      <c r="AE75" s="46" t="s">
        <v>41</v>
      </c>
      <c r="AF75" s="46" t="s">
        <v>41</v>
      </c>
      <c r="AG75" s="46" t="s">
        <v>37</v>
      </c>
      <c r="AH75" s="46" t="s">
        <v>43</v>
      </c>
      <c r="AI75" s="46" t="s">
        <v>36</v>
      </c>
      <c r="AJ75" s="46">
        <f>=SUM(E76:AI76)</f>
      </c>
      <c r="AK75" s="46">
        <f>=+AY75</f>
      </c>
      <c r="AL75" s="46"/>
      <c r="AM75" s="1"/>
      <c r="AN75" s="1">
        <f>=COUNTIF(E75:AI75,"A")+COUNTIF(E75:AI75,"B")+COUNTIF(E75:AI75,"C")+COUNTIF(E75:AI75,"D")+COUNTIF(E75:AI75,"E")+COUNTIF(E75:AI75,"F")+COUNTIF(E75:AI75,"M")+COUNTIF(E75:AI75,"AB")+COUNTIF(E75:AI75,"UZ")+COUNTIF(E75:AI75,"G")+(COUNTIF(E75:AI75,"RT.")/2)+(COUNTIF(E75:AI75,"ÇRT.")/2)</f>
      </c>
      <c r="AO75" s="1">
        <f>=COUNTIF(E75:AI75,"O")</f>
      </c>
      <c r="AP75" s="1">
        <f>=COUNTIF(E75:AI75,"RT")+(COUNTIF(E75:AI75,"RT.")/2)</f>
      </c>
      <c r="AQ75" s="1">
        <f>=COUNTIF(E75:AI75,"ÇRT")+(COUNTIF(E75:AI75,"ÇRT.")/2)</f>
      </c>
      <c r="AR75" s="1">
        <f>=COUNTIF(E75:AI75,"ÇHT")</f>
      </c>
      <c r="AS75" s="1">
        <f>=COUNTIF(E75:AI75,"Ö")+COUNTIF(E75:AI75,"T")</f>
      </c>
      <c r="AT75" s="1">
        <f>=COUNTIF(E75:AI75,"Y")</f>
      </c>
      <c r="AU75" s="1">
        <f>=COUNTIF(E75:AI75,"R.")</f>
      </c>
      <c r="AV75" s="1">
        <f>=COUNTIF(E75:AI75,"Ü")</f>
      </c>
      <c r="AW75" s="1">
        <f>=COUNTIF(E75:AI75,"R")</f>
      </c>
      <c r="AX75" s="1">
        <f>=COUNTIF(E75:AI75,"DV")</f>
      </c>
      <c r="AY75" s="1">
        <f>=+AN75+AO75+AP75+AQ75+AR75+AS75+AT75+AU75</f>
      </c>
    </row>
    <row r="76" ht="16" customHeight="1" spans="1:51" x14ac:dyDescent="0.25">
      <c r="A76" s="45"/>
      <c r="B76" s="46"/>
      <c r="C76" s="46"/>
      <c r="D76" s="46" t="s">
        <v>33</v>
      </c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ht="16" customHeight="1" spans="1:51" x14ac:dyDescent="0.25">
      <c r="A77" s="45"/>
      <c r="B77" s="46" t="s">
        <v>109</v>
      </c>
      <c r="C77" s="46" t="s">
        <v>110</v>
      </c>
      <c r="D77" s="46" t="s">
        <v>29</v>
      </c>
      <c r="E77" s="46" t="s">
        <v>36</v>
      </c>
      <c r="F77" s="46" t="s">
        <v>37</v>
      </c>
      <c r="G77" s="46" t="s">
        <v>36</v>
      </c>
      <c r="H77" s="46" t="s">
        <v>36</v>
      </c>
      <c r="I77" s="46" t="s">
        <v>36</v>
      </c>
      <c r="J77" s="46" t="s">
        <v>36</v>
      </c>
      <c r="K77" s="46" t="s">
        <v>46</v>
      </c>
      <c r="L77" s="46" t="s">
        <v>36</v>
      </c>
      <c r="M77" s="46" t="s">
        <v>37</v>
      </c>
      <c r="N77" s="46" t="s">
        <v>36</v>
      </c>
      <c r="O77" s="46" t="s">
        <v>36</v>
      </c>
      <c r="P77" s="46" t="s">
        <v>46</v>
      </c>
      <c r="Q77" s="46" t="s">
        <v>36</v>
      </c>
      <c r="R77" s="46" t="s">
        <v>46</v>
      </c>
      <c r="S77" s="46" t="s">
        <v>36</v>
      </c>
      <c r="T77" s="46" t="s">
        <v>37</v>
      </c>
      <c r="U77" s="46" t="s">
        <v>46</v>
      </c>
      <c r="V77" s="46" t="s">
        <v>46</v>
      </c>
      <c r="W77" s="46" t="s">
        <v>46</v>
      </c>
      <c r="X77" s="46" t="s">
        <v>46</v>
      </c>
      <c r="Y77" s="46" t="s">
        <v>46</v>
      </c>
      <c r="Z77" s="46" t="s">
        <v>46</v>
      </c>
      <c r="AA77" s="46" t="s">
        <v>37</v>
      </c>
      <c r="AB77" s="46" t="s">
        <v>46</v>
      </c>
      <c r="AC77" s="46" t="s">
        <v>46</v>
      </c>
      <c r="AD77" s="46" t="s">
        <v>46</v>
      </c>
      <c r="AE77" s="46" t="s">
        <v>46</v>
      </c>
      <c r="AF77" s="46" t="s">
        <v>46</v>
      </c>
      <c r="AG77" s="46" t="s">
        <v>46</v>
      </c>
      <c r="AH77" s="46" t="s">
        <v>37</v>
      </c>
      <c r="AI77" s="46" t="s">
        <v>46</v>
      </c>
      <c r="AJ77" s="46">
        <f>=SUM(E78:AI78)</f>
      </c>
      <c r="AK77" s="46">
        <f>=+AY77</f>
      </c>
      <c r="AL77" s="46"/>
      <c r="AM77" s="1"/>
      <c r="AN77" s="1">
        <f>=COUNTIF(E77:AI77,"A")+COUNTIF(E77:AI77,"B")+COUNTIF(E77:AI77,"C")+COUNTIF(E77:AI77,"D")+COUNTIF(E77:AI77,"E")+COUNTIF(E77:AI77,"F")+COUNTIF(E77:AI77,"M")+COUNTIF(E77:AI77,"AB")+COUNTIF(E77:AI77,"UZ")+COUNTIF(E77:AI77,"G")+(COUNTIF(E77:AI77,"RT.")/2)+(COUNTIF(E77:AI77,"ÇRT.")/2)</f>
      </c>
      <c r="AO77" s="1">
        <f>=COUNTIF(E77:AI77,"O")</f>
      </c>
      <c r="AP77" s="1">
        <f>=COUNTIF(E77:AI77,"RT")+(COUNTIF(E77:AI77,"RT.")/2)</f>
      </c>
      <c r="AQ77" s="1">
        <f>=COUNTIF(E77:AI77,"ÇRT")+(COUNTIF(E77:AI77,"ÇRT.")/2)</f>
      </c>
      <c r="AR77" s="1">
        <f>=COUNTIF(E77:AI77,"ÇHT")</f>
      </c>
      <c r="AS77" s="1">
        <f>=COUNTIF(E77:AI77,"Ö")+COUNTIF(E77:AI77,"T")</f>
      </c>
      <c r="AT77" s="1">
        <f>=COUNTIF(E77:AI77,"Y")</f>
      </c>
      <c r="AU77" s="1">
        <f>=COUNTIF(E77:AI77,"R.")</f>
      </c>
      <c r="AV77" s="1">
        <f>=COUNTIF(E77:AI77,"Ü")</f>
      </c>
      <c r="AW77" s="1">
        <f>=COUNTIF(E77:AI77,"R")</f>
      </c>
      <c r="AX77" s="1">
        <f>=COUNTIF(E77:AI77,"DV")</f>
      </c>
      <c r="AY77" s="1">
        <f>=+AN77+AO77+AP77+AQ77+AR77+AS77+AT77+AU77</f>
      </c>
    </row>
    <row r="78" ht="16" customHeight="1" spans="1:51" x14ac:dyDescent="0.25">
      <c r="A78" s="45"/>
      <c r="B78" s="46"/>
      <c r="C78" s="46"/>
      <c r="D78" s="46" t="s">
        <v>33</v>
      </c>
      <c r="E78" s="46"/>
      <c r="F78" s="46"/>
      <c r="G78" s="46">
        <v>3</v>
      </c>
      <c r="H78" s="46"/>
      <c r="I78" s="46">
        <v>3</v>
      </c>
      <c r="J78" s="46"/>
      <c r="K78" s="46">
        <v>3</v>
      </c>
      <c r="L78" s="46">
        <v>3</v>
      </c>
      <c r="M78" s="46"/>
      <c r="N78" s="46">
        <v>2</v>
      </c>
      <c r="O78" s="46"/>
      <c r="P78" s="46">
        <v>2</v>
      </c>
      <c r="Q78" s="46"/>
      <c r="R78" s="46">
        <v>2</v>
      </c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ht="16" customHeight="1" spans="1:51" x14ac:dyDescent="0.25">
      <c r="A79" s="45"/>
      <c r="B79" s="46" t="s">
        <v>111</v>
      </c>
      <c r="C79" s="46" t="s">
        <v>112</v>
      </c>
      <c r="D79" s="46" t="s">
        <v>29</v>
      </c>
      <c r="E79" s="46" t="s">
        <v>59</v>
      </c>
      <c r="F79" s="46" t="s">
        <v>59</v>
      </c>
      <c r="G79" s="46" t="s">
        <v>41</v>
      </c>
      <c r="H79" s="46" t="s">
        <v>41</v>
      </c>
      <c r="I79" s="46" t="s">
        <v>41</v>
      </c>
      <c r="J79" s="46" t="s">
        <v>37</v>
      </c>
      <c r="K79" s="46" t="s">
        <v>41</v>
      </c>
      <c r="L79" s="46" t="s">
        <v>41</v>
      </c>
      <c r="M79" s="46" t="s">
        <v>41</v>
      </c>
      <c r="N79" s="46" t="s">
        <v>42</v>
      </c>
      <c r="O79" s="46" t="s">
        <v>36</v>
      </c>
      <c r="P79" s="46" t="s">
        <v>36</v>
      </c>
      <c r="Q79" s="46" t="s">
        <v>37</v>
      </c>
      <c r="R79" s="46" t="s">
        <v>36</v>
      </c>
      <c r="S79" s="46" t="s">
        <v>36</v>
      </c>
      <c r="T79" s="46" t="s">
        <v>36</v>
      </c>
      <c r="U79" s="46" t="s">
        <v>59</v>
      </c>
      <c r="V79" s="46" t="s">
        <v>59</v>
      </c>
      <c r="W79" s="46" t="s">
        <v>59</v>
      </c>
      <c r="X79" s="46" t="s">
        <v>37</v>
      </c>
      <c r="Y79" s="46" t="s">
        <v>59</v>
      </c>
      <c r="Z79" s="46" t="s">
        <v>59</v>
      </c>
      <c r="AA79" s="46" t="s">
        <v>59</v>
      </c>
      <c r="AB79" s="46" t="s">
        <v>59</v>
      </c>
      <c r="AC79" s="46" t="s">
        <v>59</v>
      </c>
      <c r="AD79" s="46" t="s">
        <v>59</v>
      </c>
      <c r="AE79" s="46" t="s">
        <v>37</v>
      </c>
      <c r="AF79" s="46" t="s">
        <v>59</v>
      </c>
      <c r="AG79" s="46" t="s">
        <v>59</v>
      </c>
      <c r="AH79" s="46" t="s">
        <v>43</v>
      </c>
      <c r="AI79" s="46" t="s">
        <v>59</v>
      </c>
      <c r="AJ79" s="46">
        <f>=SUM(E80:AI80)</f>
      </c>
      <c r="AK79" s="46">
        <f>=+AY79</f>
      </c>
      <c r="AL79" s="46"/>
      <c r="AM79" s="1"/>
      <c r="AN79" s="1">
        <f>=COUNTIF(E79:AI79,"A")+COUNTIF(E79:AI79,"B")+COUNTIF(E79:AI79,"C")+COUNTIF(E79:AI79,"D")+COUNTIF(E79:AI79,"E")+COUNTIF(E79:AI79,"F")+COUNTIF(E79:AI79,"M")+COUNTIF(E79:AI79,"AB")+COUNTIF(E79:AI79,"UZ")+COUNTIF(E79:AI79,"G")+(COUNTIF(E79:AI79,"RT.")/2)+(COUNTIF(E79:AI79,"ÇRT.")/2)</f>
      </c>
      <c r="AO79" s="1">
        <f>=COUNTIF(E79:AI79,"O")</f>
      </c>
      <c r="AP79" s="1">
        <f>=COUNTIF(E79:AI79,"RT")+(COUNTIF(E79:AI79,"RT.")/2)</f>
      </c>
      <c r="AQ79" s="1">
        <f>=COUNTIF(E79:AI79,"ÇRT")+(COUNTIF(E79:AI79,"ÇRT.")/2)</f>
      </c>
      <c r="AR79" s="1">
        <f>=COUNTIF(E79:AI79,"ÇHT")</f>
      </c>
      <c r="AS79" s="1">
        <f>=COUNTIF(E79:AI79,"Ö")+COUNTIF(E79:AI79,"T")</f>
      </c>
      <c r="AT79" s="1">
        <f>=COUNTIF(E79:AI79,"Y")</f>
      </c>
      <c r="AU79" s="1">
        <f>=COUNTIF(E79:AI79,"R.")</f>
      </c>
      <c r="AV79" s="1">
        <f>=COUNTIF(E79:AI79,"Ü")</f>
      </c>
      <c r="AW79" s="1">
        <f>=COUNTIF(E79:AI79,"R")</f>
      </c>
      <c r="AX79" s="1">
        <f>=COUNTIF(E79:AI79,"DV")</f>
      </c>
      <c r="AY79" s="1">
        <f>=+AN79+AO79+AP79+AQ79+AR79+AS79+AT79+AU79</f>
      </c>
    </row>
    <row r="80" ht="16" customHeight="1" spans="1:51" x14ac:dyDescent="0.25">
      <c r="A80" s="45"/>
      <c r="B80" s="46"/>
      <c r="C80" s="46"/>
      <c r="D80" s="46" t="s">
        <v>33</v>
      </c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ht="16" customHeight="1" spans="1:51" x14ac:dyDescent="0.25">
      <c r="A81" s="45"/>
      <c r="B81" s="46" t="s">
        <v>113</v>
      </c>
      <c r="C81" s="46" t="s">
        <v>114</v>
      </c>
      <c r="D81" s="46" t="s">
        <v>29</v>
      </c>
      <c r="E81" s="46" t="s">
        <v>46</v>
      </c>
      <c r="F81" s="46" t="s">
        <v>46</v>
      </c>
      <c r="G81" s="46" t="s">
        <v>46</v>
      </c>
      <c r="H81" s="46" t="s">
        <v>46</v>
      </c>
      <c r="I81" s="46" t="s">
        <v>37</v>
      </c>
      <c r="J81" s="46" t="s">
        <v>46</v>
      </c>
      <c r="K81" s="46" t="s">
        <v>46</v>
      </c>
      <c r="L81" s="46" t="s">
        <v>46</v>
      </c>
      <c r="M81" s="46" t="s">
        <v>46</v>
      </c>
      <c r="N81" s="46" t="s">
        <v>46</v>
      </c>
      <c r="O81" s="46" t="s">
        <v>46</v>
      </c>
      <c r="P81" s="46" t="s">
        <v>37</v>
      </c>
      <c r="Q81" s="46" t="s">
        <v>46</v>
      </c>
      <c r="R81" s="46" t="s">
        <v>46</v>
      </c>
      <c r="S81" s="46" t="s">
        <v>46</v>
      </c>
      <c r="T81" s="46" t="s">
        <v>46</v>
      </c>
      <c r="U81" s="46" t="s">
        <v>46</v>
      </c>
      <c r="V81" s="46" t="s">
        <v>46</v>
      </c>
      <c r="W81" s="46" t="s">
        <v>37</v>
      </c>
      <c r="X81" s="46" t="s">
        <v>46</v>
      </c>
      <c r="Y81" s="46" t="s">
        <v>46</v>
      </c>
      <c r="Z81" s="46" t="s">
        <v>46</v>
      </c>
      <c r="AA81" s="46" t="s">
        <v>46</v>
      </c>
      <c r="AB81" s="46" t="s">
        <v>46</v>
      </c>
      <c r="AC81" s="46" t="s">
        <v>46</v>
      </c>
      <c r="AD81" s="46" t="s">
        <v>37</v>
      </c>
      <c r="AE81" s="46" t="s">
        <v>46</v>
      </c>
      <c r="AF81" s="46" t="s">
        <v>46</v>
      </c>
      <c r="AG81" s="46" t="s">
        <v>46</v>
      </c>
      <c r="AH81" s="46" t="s">
        <v>43</v>
      </c>
      <c r="AI81" s="46" t="s">
        <v>46</v>
      </c>
      <c r="AJ81" s="46">
        <f>=SUM(E82:AI82)</f>
      </c>
      <c r="AK81" s="46">
        <f>=+AY81</f>
      </c>
      <c r="AL81" s="46"/>
      <c r="AM81" s="1"/>
      <c r="AN81" s="1">
        <f>=COUNTIF(E81:AI81,"A")+COUNTIF(E81:AI81,"B")+COUNTIF(E81:AI81,"C")+COUNTIF(E81:AI81,"D")+COUNTIF(E81:AI81,"E")+COUNTIF(E81:AI81,"F")+COUNTIF(E81:AI81,"M")+COUNTIF(E81:AI81,"AB")+COUNTIF(E81:AI81,"UZ")+COUNTIF(E81:AI81,"G")+(COUNTIF(E81:AI81,"RT.")/2)+(COUNTIF(E81:AI81,"ÇRT.")/2)</f>
      </c>
      <c r="AO81" s="1">
        <f>=COUNTIF(E81:AI81,"O")</f>
      </c>
      <c r="AP81" s="1">
        <f>=COUNTIF(E81:AI81,"RT")+(COUNTIF(E81:AI81,"RT.")/2)</f>
      </c>
      <c r="AQ81" s="1">
        <f>=COUNTIF(E81:AI81,"ÇRT")+(COUNTIF(E81:AI81,"ÇRT.")/2)</f>
      </c>
      <c r="AR81" s="1">
        <f>=COUNTIF(E81:AI81,"ÇHT")</f>
      </c>
      <c r="AS81" s="1">
        <f>=COUNTIF(E81:AI81,"Ö")+COUNTIF(E81:AI81,"T")</f>
      </c>
      <c r="AT81" s="1">
        <f>=COUNTIF(E81:AI81,"Y")</f>
      </c>
      <c r="AU81" s="1">
        <f>=COUNTIF(E81:AI81,"R.")</f>
      </c>
      <c r="AV81" s="1">
        <f>=COUNTIF(E81:AI81,"Ü")</f>
      </c>
      <c r="AW81" s="1">
        <f>=COUNTIF(E81:AI81,"R")</f>
      </c>
      <c r="AX81" s="1">
        <f>=COUNTIF(E81:AI81,"DV")</f>
      </c>
      <c r="AY81" s="1">
        <f>=+AN81+AO81+AP81+AQ81+AR81+AS81+AT81+AU81</f>
      </c>
    </row>
    <row r="82" ht="16" customHeight="1" spans="1:51" x14ac:dyDescent="0.25">
      <c r="A82" s="45"/>
      <c r="B82" s="46"/>
      <c r="C82" s="46"/>
      <c r="D82" s="46" t="s">
        <v>33</v>
      </c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46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ht="16" customHeight="1" spans="1:51" x14ac:dyDescent="0.25">
      <c r="A83" s="45"/>
      <c r="B83" s="46" t="s">
        <v>115</v>
      </c>
      <c r="C83" s="46" t="s">
        <v>116</v>
      </c>
      <c r="D83" s="46" t="s">
        <v>29</v>
      </c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 t="s">
        <v>36</v>
      </c>
      <c r="AD83" s="46" t="s">
        <v>36</v>
      </c>
      <c r="AE83" s="46" t="s">
        <v>36</v>
      </c>
      <c r="AF83" s="46" t="s">
        <v>37</v>
      </c>
      <c r="AG83" s="46" t="s">
        <v>36</v>
      </c>
      <c r="AH83" s="46" t="s">
        <v>43</v>
      </c>
      <c r="AI83" s="46" t="s">
        <v>36</v>
      </c>
      <c r="AJ83" s="46">
        <f>=SUM(E84:AI84)</f>
      </c>
      <c r="AK83" s="46">
        <f>=+AY83</f>
      </c>
      <c r="AL83" s="46"/>
      <c r="AM83" s="1"/>
      <c r="AN83" s="1">
        <f>=COUNTIF(E83:AI83,"A")+COUNTIF(E83:AI83,"B")+COUNTIF(E83:AI83,"C")+COUNTIF(E83:AI83,"D")+COUNTIF(E83:AI83,"E")+COUNTIF(E83:AI83,"F")+COUNTIF(E83:AI83,"M")+COUNTIF(E83:AI83,"AB")+COUNTIF(E83:AI83,"UZ")+COUNTIF(E83:AI83,"G")+(COUNTIF(E83:AI83,"RT.")/2)+(COUNTIF(E83:AI83,"ÇRT.")/2)</f>
      </c>
      <c r="AO83" s="1">
        <f>=COUNTIF(E83:AI83,"O")</f>
      </c>
      <c r="AP83" s="1">
        <f>=COUNTIF(E83:AI83,"RT")+(COUNTIF(E83:AI83,"RT.")/2)</f>
      </c>
      <c r="AQ83" s="1">
        <f>=COUNTIF(E83:AI83,"ÇRT")+(COUNTIF(E83:AI83,"ÇRT.")/2)</f>
      </c>
      <c r="AR83" s="1">
        <f>=COUNTIF(E83:AI83,"ÇHT")</f>
      </c>
      <c r="AS83" s="1">
        <f>=COUNTIF(E83:AI83,"Ö")+COUNTIF(E83:AI83,"T")</f>
      </c>
      <c r="AT83" s="1">
        <f>=COUNTIF(E83:AI83,"Y")</f>
      </c>
      <c r="AU83" s="1">
        <f>=COUNTIF(E83:AI83,"R.")</f>
      </c>
      <c r="AV83" s="1">
        <f>=COUNTIF(E83:AI83,"Ü")</f>
      </c>
      <c r="AW83" s="1">
        <f>=COUNTIF(E83:AI83,"R")</f>
      </c>
      <c r="AX83" s="1">
        <f>=COUNTIF(E83:AI83,"DV")</f>
      </c>
      <c r="AY83" s="1">
        <f>=+AN83+AO83+AP83+AQ83+AR83+AS83+AT83+AU83</f>
      </c>
    </row>
    <row r="84" ht="16" customHeight="1" spans="1:51" x14ac:dyDescent="0.25">
      <c r="A84" s="45"/>
      <c r="B84" s="46"/>
      <c r="C84" s="46"/>
      <c r="D84" s="46" t="s">
        <v>33</v>
      </c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6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ht="16" customHeight="1" spans="1:51" x14ac:dyDescent="0.25">
      <c r="A85" s="45"/>
      <c r="B85" s="46" t="s">
        <v>117</v>
      </c>
      <c r="C85" s="46" t="s">
        <v>118</v>
      </c>
      <c r="D85" s="46" t="s">
        <v>29</v>
      </c>
      <c r="E85" s="46" t="s">
        <v>41</v>
      </c>
      <c r="F85" s="46" t="s">
        <v>41</v>
      </c>
      <c r="G85" s="46" t="s">
        <v>41</v>
      </c>
      <c r="H85" s="46" t="s">
        <v>37</v>
      </c>
      <c r="I85" s="46" t="s">
        <v>41</v>
      </c>
      <c r="J85" s="46" t="s">
        <v>41</v>
      </c>
      <c r="K85" s="46" t="s">
        <v>41</v>
      </c>
      <c r="L85" s="46" t="s">
        <v>41</v>
      </c>
      <c r="M85" s="46" t="s">
        <v>41</v>
      </c>
      <c r="N85" s="46" t="s">
        <v>41</v>
      </c>
      <c r="O85" s="46" t="s">
        <v>37</v>
      </c>
      <c r="P85" s="46" t="s">
        <v>41</v>
      </c>
      <c r="Q85" s="46" t="s">
        <v>41</v>
      </c>
      <c r="R85" s="46" t="s">
        <v>41</v>
      </c>
      <c r="S85" s="46" t="s">
        <v>41</v>
      </c>
      <c r="T85" s="46" t="s">
        <v>41</v>
      </c>
      <c r="U85" s="46" t="s">
        <v>41</v>
      </c>
      <c r="V85" s="46" t="s">
        <v>37</v>
      </c>
      <c r="W85" s="46" t="s">
        <v>41</v>
      </c>
      <c r="X85" s="46" t="s">
        <v>41</v>
      </c>
      <c r="Y85" s="46" t="s">
        <v>41</v>
      </c>
      <c r="Z85" s="46" t="s">
        <v>41</v>
      </c>
      <c r="AA85" s="46" t="s">
        <v>41</v>
      </c>
      <c r="AB85" s="46" t="s">
        <v>41</v>
      </c>
      <c r="AC85" s="46" t="s">
        <v>37</v>
      </c>
      <c r="AD85" s="46" t="s">
        <v>41</v>
      </c>
      <c r="AE85" s="46" t="s">
        <v>41</v>
      </c>
      <c r="AF85" s="46" t="s">
        <v>41</v>
      </c>
      <c r="AG85" s="46" t="s">
        <v>41</v>
      </c>
      <c r="AH85" s="46" t="s">
        <v>43</v>
      </c>
      <c r="AI85" s="46" t="s">
        <v>41</v>
      </c>
      <c r="AJ85" s="46">
        <f>=SUM(E86:AI86)</f>
      </c>
      <c r="AK85" s="46">
        <f>=+AY85</f>
      </c>
      <c r="AL85" s="46"/>
      <c r="AM85" s="1"/>
      <c r="AN85" s="1">
        <f>=COUNTIF(E85:AI85,"A")+COUNTIF(E85:AI85,"B")+COUNTIF(E85:AI85,"C")+COUNTIF(E85:AI85,"D")+COUNTIF(E85:AI85,"E")+COUNTIF(E85:AI85,"F")+COUNTIF(E85:AI85,"M")+COUNTIF(E85:AI85,"AB")+COUNTIF(E85:AI85,"UZ")+COUNTIF(E85:AI85,"G")+(COUNTIF(E85:AI85,"RT.")/2)+(COUNTIF(E85:AI85,"ÇRT.")/2)</f>
      </c>
      <c r="AO85" s="1">
        <f>=COUNTIF(E85:AI85,"O")</f>
      </c>
      <c r="AP85" s="1">
        <f>=COUNTIF(E85:AI85,"RT")+(COUNTIF(E85:AI85,"RT.")/2)</f>
      </c>
      <c r="AQ85" s="1">
        <f>=COUNTIF(E85:AI85,"ÇRT")+(COUNTIF(E85:AI85,"ÇRT.")/2)</f>
      </c>
      <c r="AR85" s="1">
        <f>=COUNTIF(E85:AI85,"ÇHT")</f>
      </c>
      <c r="AS85" s="1">
        <f>=COUNTIF(E85:AI85,"Ö")+COUNTIF(E85:AI85,"T")</f>
      </c>
      <c r="AT85" s="1">
        <f>=COUNTIF(E85:AI85,"Y")</f>
      </c>
      <c r="AU85" s="1">
        <f>=COUNTIF(E85:AI85,"R.")</f>
      </c>
      <c r="AV85" s="1">
        <f>=COUNTIF(E85:AI85,"Ü")</f>
      </c>
      <c r="AW85" s="1">
        <f>=COUNTIF(E85:AI85,"R")</f>
      </c>
      <c r="AX85" s="1">
        <f>=COUNTIF(E85:AI85,"DV")</f>
      </c>
      <c r="AY85" s="1">
        <f>=+AN85+AO85+AP85+AQ85+AR85+AS85+AT85+AU85</f>
      </c>
    </row>
    <row r="86" ht="16" customHeight="1" spans="1:51" x14ac:dyDescent="0.25">
      <c r="A86" s="45"/>
      <c r="B86" s="46"/>
      <c r="C86" s="46"/>
      <c r="D86" s="46" t="s">
        <v>33</v>
      </c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ht="16" customHeight="1" spans="1:51" x14ac:dyDescent="0.25">
      <c r="A87" s="45"/>
      <c r="B87" s="46" t="s">
        <v>119</v>
      </c>
      <c r="C87" s="46" t="s">
        <v>120</v>
      </c>
      <c r="D87" s="46" t="s">
        <v>29</v>
      </c>
      <c r="E87" s="46" t="s">
        <v>41</v>
      </c>
      <c r="F87" s="46" t="s">
        <v>41</v>
      </c>
      <c r="G87" s="46" t="s">
        <v>37</v>
      </c>
      <c r="H87" s="46" t="s">
        <v>41</v>
      </c>
      <c r="I87" s="46" t="s">
        <v>41</v>
      </c>
      <c r="J87" s="46" t="s">
        <v>41</v>
      </c>
      <c r="K87" s="46" t="s">
        <v>41</v>
      </c>
      <c r="L87" s="46" t="s">
        <v>41</v>
      </c>
      <c r="M87" s="46" t="s">
        <v>41</v>
      </c>
      <c r="N87" s="46" t="s">
        <v>37</v>
      </c>
      <c r="O87" s="46" t="s">
        <v>41</v>
      </c>
      <c r="P87" s="46" t="s">
        <v>41</v>
      </c>
      <c r="Q87" s="46" t="s">
        <v>41</v>
      </c>
      <c r="R87" s="46" t="s">
        <v>41</v>
      </c>
      <c r="S87" s="46" t="s">
        <v>41</v>
      </c>
      <c r="T87" s="46" t="s">
        <v>41</v>
      </c>
      <c r="U87" s="46" t="s">
        <v>37</v>
      </c>
      <c r="V87" s="46" t="s">
        <v>41</v>
      </c>
      <c r="W87" s="46" t="s">
        <v>41</v>
      </c>
      <c r="X87" s="46" t="s">
        <v>41</v>
      </c>
      <c r="Y87" s="46" t="s">
        <v>41</v>
      </c>
      <c r="Z87" s="46" t="s">
        <v>41</v>
      </c>
      <c r="AA87" s="46" t="s">
        <v>41</v>
      </c>
      <c r="AB87" s="46" t="s">
        <v>37</v>
      </c>
      <c r="AC87" s="46" t="s">
        <v>41</v>
      </c>
      <c r="AD87" s="46" t="s">
        <v>41</v>
      </c>
      <c r="AE87" s="46" t="s">
        <v>41</v>
      </c>
      <c r="AF87" s="46" t="s">
        <v>41</v>
      </c>
      <c r="AG87" s="46" t="s">
        <v>41</v>
      </c>
      <c r="AH87" s="46" t="s">
        <v>43</v>
      </c>
      <c r="AI87" s="46" t="s">
        <v>37</v>
      </c>
      <c r="AJ87" s="46">
        <f>=SUM(E88:AI88)</f>
      </c>
      <c r="AK87" s="46">
        <f>=+AY87</f>
      </c>
      <c r="AL87" s="46"/>
      <c r="AM87" s="1"/>
      <c r="AN87" s="1">
        <f>=COUNTIF(E87:AI87,"A")+COUNTIF(E87:AI87,"B")+COUNTIF(E87:AI87,"C")+COUNTIF(E87:AI87,"D")+COUNTIF(E87:AI87,"E")+COUNTIF(E87:AI87,"F")+COUNTIF(E87:AI87,"M")+COUNTIF(E87:AI87,"AB")+COUNTIF(E87:AI87,"UZ")+COUNTIF(E87:AI87,"G")+(COUNTIF(E87:AI87,"RT.")/2)+(COUNTIF(E87:AI87,"ÇRT.")/2)</f>
      </c>
      <c r="AO87" s="1">
        <f>=COUNTIF(E87:AI87,"O")</f>
      </c>
      <c r="AP87" s="1">
        <f>=COUNTIF(E87:AI87,"RT")+(COUNTIF(E87:AI87,"RT.")/2)</f>
      </c>
      <c r="AQ87" s="1">
        <f>=COUNTIF(E87:AI87,"ÇRT")+(COUNTIF(E87:AI87,"ÇRT.")/2)</f>
      </c>
      <c r="AR87" s="1">
        <f>=COUNTIF(E87:AI87,"ÇHT")</f>
      </c>
      <c r="AS87" s="1">
        <f>=COUNTIF(E87:AI87,"Ö")+COUNTIF(E87:AI87,"T")</f>
      </c>
      <c r="AT87" s="1">
        <f>=COUNTIF(E87:AI87,"Y")</f>
      </c>
      <c r="AU87" s="1">
        <f>=COUNTIF(E87:AI87,"R.")</f>
      </c>
      <c r="AV87" s="1">
        <f>=COUNTIF(E87:AI87,"Ü")</f>
      </c>
      <c r="AW87" s="1">
        <f>=COUNTIF(E87:AI87,"R")</f>
      </c>
      <c r="AX87" s="1">
        <f>=COUNTIF(E87:AI87,"DV")</f>
      </c>
      <c r="AY87" s="1">
        <f>=+AN87+AO87+AP87+AQ87+AR87+AS87+AT87+AU87</f>
      </c>
    </row>
    <row r="88" ht="16" customHeight="1" spans="1:51" x14ac:dyDescent="0.25">
      <c r="A88" s="45"/>
      <c r="B88" s="46"/>
      <c r="C88" s="46"/>
      <c r="D88" s="46" t="s">
        <v>33</v>
      </c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  <c r="AL88" s="46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ht="16" customHeight="1" spans="1:51" x14ac:dyDescent="0.25">
      <c r="A89" s="45"/>
      <c r="B89" s="46" t="s">
        <v>121</v>
      </c>
      <c r="C89" s="46" t="s">
        <v>122</v>
      </c>
      <c r="D89" s="46" t="s">
        <v>29</v>
      </c>
      <c r="E89" s="46" t="s">
        <v>36</v>
      </c>
      <c r="F89" s="46" t="s">
        <v>36</v>
      </c>
      <c r="G89" s="46" t="s">
        <v>36</v>
      </c>
      <c r="H89" s="46" t="s">
        <v>36</v>
      </c>
      <c r="I89" s="46" t="s">
        <v>36</v>
      </c>
      <c r="J89" s="46" t="s">
        <v>37</v>
      </c>
      <c r="K89" s="46" t="s">
        <v>36</v>
      </c>
      <c r="L89" s="46" t="s">
        <v>36</v>
      </c>
      <c r="M89" s="46" t="s">
        <v>36</v>
      </c>
      <c r="N89" s="46" t="s">
        <v>36</v>
      </c>
      <c r="O89" s="46" t="s">
        <v>36</v>
      </c>
      <c r="P89" s="46" t="s">
        <v>36</v>
      </c>
      <c r="Q89" s="46" t="s">
        <v>36</v>
      </c>
      <c r="R89" s="46" t="s">
        <v>36</v>
      </c>
      <c r="S89" s="46" t="s">
        <v>37</v>
      </c>
      <c r="T89" s="46" t="s">
        <v>36</v>
      </c>
      <c r="U89" s="46" t="s">
        <v>36</v>
      </c>
      <c r="V89" s="46" t="s">
        <v>36</v>
      </c>
      <c r="W89" s="46" t="s">
        <v>36</v>
      </c>
      <c r="X89" s="46" t="s">
        <v>37</v>
      </c>
      <c r="Y89" s="46" t="s">
        <v>36</v>
      </c>
      <c r="Z89" s="46" t="s">
        <v>36</v>
      </c>
      <c r="AA89" s="46" t="s">
        <v>36</v>
      </c>
      <c r="AB89" s="46" t="s">
        <v>36</v>
      </c>
      <c r="AC89" s="46" t="s">
        <v>36</v>
      </c>
      <c r="AD89" s="46" t="s">
        <v>36</v>
      </c>
      <c r="AE89" s="46" t="s">
        <v>37</v>
      </c>
      <c r="AF89" s="46" t="s">
        <v>36</v>
      </c>
      <c r="AG89" s="46" t="s">
        <v>36</v>
      </c>
      <c r="AH89" s="46" t="s">
        <v>43</v>
      </c>
      <c r="AI89" s="46" t="s">
        <v>36</v>
      </c>
      <c r="AJ89" s="46">
        <f>=SUM(E90:AI90)</f>
      </c>
      <c r="AK89" s="46">
        <f>=+AY89</f>
      </c>
      <c r="AL89" s="46"/>
      <c r="AM89" s="1"/>
      <c r="AN89" s="1">
        <f>=COUNTIF(E89:AI89,"A")+COUNTIF(E89:AI89,"B")+COUNTIF(E89:AI89,"C")+COUNTIF(E89:AI89,"D")+COUNTIF(E89:AI89,"E")+COUNTIF(E89:AI89,"F")+COUNTIF(E89:AI89,"M")+COUNTIF(E89:AI89,"AB")+COUNTIF(E89:AI89,"UZ")+COUNTIF(E89:AI89,"G")+(COUNTIF(E89:AI89,"RT.")/2)+(COUNTIF(E89:AI89,"ÇRT.")/2)</f>
      </c>
      <c r="AO89" s="1">
        <f>=COUNTIF(E89:AI89,"O")</f>
      </c>
      <c r="AP89" s="1">
        <f>=COUNTIF(E89:AI89,"RT")+(COUNTIF(E89:AI89,"RT.")/2)</f>
      </c>
      <c r="AQ89" s="1">
        <f>=COUNTIF(E89:AI89,"ÇRT")+(COUNTIF(E89:AI89,"ÇRT.")/2)</f>
      </c>
      <c r="AR89" s="1">
        <f>=COUNTIF(E89:AI89,"ÇHT")</f>
      </c>
      <c r="AS89" s="1">
        <f>=COUNTIF(E89:AI89,"Ö")+COUNTIF(E89:AI89,"T")</f>
      </c>
      <c r="AT89" s="1">
        <f>=COUNTIF(E89:AI89,"Y")</f>
      </c>
      <c r="AU89" s="1">
        <f>=COUNTIF(E89:AI89,"R.")</f>
      </c>
      <c r="AV89" s="1">
        <f>=COUNTIF(E89:AI89,"Ü")</f>
      </c>
      <c r="AW89" s="1">
        <f>=COUNTIF(E89:AI89,"R")</f>
      </c>
      <c r="AX89" s="1">
        <f>=COUNTIF(E89:AI89,"DV")</f>
      </c>
      <c r="AY89" s="1">
        <f>=+AN89+AO89+AP89+AQ89+AR89+AS89+AT89+AU89</f>
      </c>
    </row>
    <row r="90" ht="16" customHeight="1" spans="1:51" x14ac:dyDescent="0.25">
      <c r="A90" s="45"/>
      <c r="B90" s="46"/>
      <c r="C90" s="46"/>
      <c r="D90" s="46" t="s">
        <v>33</v>
      </c>
      <c r="E90" s="46"/>
      <c r="F90" s="46"/>
      <c r="G90" s="46">
        <v>2</v>
      </c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>
        <v>3</v>
      </c>
      <c r="AC90" s="46">
        <v>3</v>
      </c>
      <c r="AD90" s="46"/>
      <c r="AE90" s="46"/>
      <c r="AF90" s="46"/>
      <c r="AG90" s="46"/>
      <c r="AH90" s="46"/>
      <c r="AI90" s="46"/>
      <c r="AJ90" s="46"/>
      <c r="AK90" s="46"/>
      <c r="AL90" s="46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ht="16" customHeight="1" spans="1:51" x14ac:dyDescent="0.25">
      <c r="A91" s="45"/>
      <c r="B91" s="46" t="s">
        <v>123</v>
      </c>
      <c r="C91" s="46" t="s">
        <v>124</v>
      </c>
      <c r="D91" s="46" t="s">
        <v>29</v>
      </c>
      <c r="E91" s="46"/>
      <c r="F91" s="46"/>
      <c r="G91" s="46"/>
      <c r="H91" s="46"/>
      <c r="I91" s="46"/>
      <c r="J91" s="46" t="s">
        <v>30</v>
      </c>
      <c r="K91" s="46" t="s">
        <v>30</v>
      </c>
      <c r="L91" s="46" t="s">
        <v>30</v>
      </c>
      <c r="M91" s="46" t="s">
        <v>30</v>
      </c>
      <c r="N91" s="46" t="s">
        <v>30</v>
      </c>
      <c r="O91" s="46" t="s">
        <v>30</v>
      </c>
      <c r="P91" s="46" t="s">
        <v>30</v>
      </c>
      <c r="Q91" s="46" t="s">
        <v>30</v>
      </c>
      <c r="R91" s="46" t="s">
        <v>37</v>
      </c>
      <c r="S91" s="46" t="s">
        <v>30</v>
      </c>
      <c r="T91" s="46" t="s">
        <v>30</v>
      </c>
      <c r="U91" s="46" t="s">
        <v>30</v>
      </c>
      <c r="V91" s="46" t="s">
        <v>30</v>
      </c>
      <c r="W91" s="46" t="s">
        <v>30</v>
      </c>
      <c r="X91" s="46" t="s">
        <v>30</v>
      </c>
      <c r="Y91" s="46" t="s">
        <v>37</v>
      </c>
      <c r="Z91" s="46" t="s">
        <v>30</v>
      </c>
      <c r="AA91" s="46" t="s">
        <v>30</v>
      </c>
      <c r="AB91" s="46" t="s">
        <v>30</v>
      </c>
      <c r="AC91" s="46" t="s">
        <v>30</v>
      </c>
      <c r="AD91" s="46" t="s">
        <v>30</v>
      </c>
      <c r="AE91" s="46" t="s">
        <v>30</v>
      </c>
      <c r="AF91" s="46" t="s">
        <v>37</v>
      </c>
      <c r="AG91" s="46" t="s">
        <v>30</v>
      </c>
      <c r="AH91" s="46" t="s">
        <v>43</v>
      </c>
      <c r="AI91" s="46" t="s">
        <v>30</v>
      </c>
      <c r="AJ91" s="46">
        <f>=SUM(E92:AI92)</f>
      </c>
      <c r="AK91" s="46">
        <f>=+AY91</f>
      </c>
      <c r="AL91" s="46"/>
      <c r="AM91" s="1"/>
      <c r="AN91" s="1">
        <f>=COUNTIF(E91:AI91,"A")+COUNTIF(E91:AI91,"B")+COUNTIF(E91:AI91,"C")+COUNTIF(E91:AI91,"D")+COUNTIF(E91:AI91,"E")+COUNTIF(E91:AI91,"F")+COUNTIF(E91:AI91,"M")+COUNTIF(E91:AI91,"AB")+COUNTIF(E91:AI91,"UZ")+COUNTIF(E91:AI91,"G")+(COUNTIF(E91:AI91,"RT.")/2)+(COUNTIF(E91:AI91,"ÇRT.")/2)</f>
      </c>
      <c r="AO91" s="1">
        <f>=COUNTIF(E91:AI91,"O")</f>
      </c>
      <c r="AP91" s="1">
        <f>=COUNTIF(E91:AI91,"RT")+(COUNTIF(E91:AI91,"RT.")/2)</f>
      </c>
      <c r="AQ91" s="1">
        <f>=COUNTIF(E91:AI91,"ÇRT")+(COUNTIF(E91:AI91,"ÇRT.")/2)</f>
      </c>
      <c r="AR91" s="1">
        <f>=COUNTIF(E91:AI91,"ÇHT")</f>
      </c>
      <c r="AS91" s="1">
        <f>=COUNTIF(E91:AI91,"Ö")+COUNTIF(E91:AI91,"T")</f>
      </c>
      <c r="AT91" s="1">
        <f>=COUNTIF(E91:AI91,"Y")</f>
      </c>
      <c r="AU91" s="1">
        <f>=COUNTIF(E91:AI91,"R.")</f>
      </c>
      <c r="AV91" s="1">
        <f>=COUNTIF(E91:AI91,"Ü")</f>
      </c>
      <c r="AW91" s="1">
        <f>=COUNTIF(E91:AI91,"R")</f>
      </c>
      <c r="AX91" s="1">
        <f>=COUNTIF(E91:AI91,"DV")</f>
      </c>
      <c r="AY91" s="1">
        <f>=+AN91+AO91+AP91+AQ91+AR91+AS91+AT91+AU91</f>
      </c>
    </row>
    <row r="92" ht="16" customHeight="1" spans="1:51" x14ac:dyDescent="0.25">
      <c r="A92" s="45"/>
      <c r="B92" s="46"/>
      <c r="C92" s="46"/>
      <c r="D92" s="46" t="s">
        <v>33</v>
      </c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ht="16" customHeight="1" spans="1:51" x14ac:dyDescent="0.25">
      <c r="A93" s="45"/>
      <c r="B93" s="46" t="s">
        <v>125</v>
      </c>
      <c r="C93" s="46" t="s">
        <v>126</v>
      </c>
      <c r="D93" s="46" t="s">
        <v>29</v>
      </c>
      <c r="E93" s="46" t="s">
        <v>36</v>
      </c>
      <c r="F93" s="46" t="s">
        <v>36</v>
      </c>
      <c r="G93" s="46" t="s">
        <v>36</v>
      </c>
      <c r="H93" s="46" t="s">
        <v>37</v>
      </c>
      <c r="I93" s="46" t="s">
        <v>36</v>
      </c>
      <c r="J93" s="46" t="s">
        <v>36</v>
      </c>
      <c r="K93" s="46" t="s">
        <v>36</v>
      </c>
      <c r="L93" s="46" t="s">
        <v>36</v>
      </c>
      <c r="M93" s="46" t="s">
        <v>36</v>
      </c>
      <c r="N93" s="46" t="s">
        <v>36</v>
      </c>
      <c r="O93" s="46" t="s">
        <v>37</v>
      </c>
      <c r="P93" s="46" t="s">
        <v>36</v>
      </c>
      <c r="Q93" s="46" t="s">
        <v>36</v>
      </c>
      <c r="R93" s="46" t="s">
        <v>36</v>
      </c>
      <c r="S93" s="46" t="s">
        <v>36</v>
      </c>
      <c r="T93" s="46" t="s">
        <v>36</v>
      </c>
      <c r="U93" s="46" t="s">
        <v>36</v>
      </c>
      <c r="V93" s="46" t="s">
        <v>37</v>
      </c>
      <c r="W93" s="46" t="s">
        <v>36</v>
      </c>
      <c r="X93" s="46" t="s">
        <v>36</v>
      </c>
      <c r="Y93" s="46" t="s">
        <v>36</v>
      </c>
      <c r="Z93" s="46" t="s">
        <v>36</v>
      </c>
      <c r="AA93" s="46" t="s">
        <v>36</v>
      </c>
      <c r="AB93" s="46" t="s">
        <v>36</v>
      </c>
      <c r="AC93" s="46" t="s">
        <v>37</v>
      </c>
      <c r="AD93" s="46" t="s">
        <v>36</v>
      </c>
      <c r="AE93" s="46" t="s">
        <v>36</v>
      </c>
      <c r="AF93" s="46" t="s">
        <v>36</v>
      </c>
      <c r="AG93" s="46" t="s">
        <v>36</v>
      </c>
      <c r="AH93" s="46" t="s">
        <v>43</v>
      </c>
      <c r="AI93" s="46" t="s">
        <v>36</v>
      </c>
      <c r="AJ93" s="46">
        <f>=SUM(E94:AI94)</f>
      </c>
      <c r="AK93" s="46">
        <f>=+AY93</f>
      </c>
      <c r="AL93" s="46"/>
      <c r="AM93" s="1"/>
      <c r="AN93" s="1">
        <f>=COUNTIF(E93:AI93,"A")+COUNTIF(E93:AI93,"B")+COUNTIF(E93:AI93,"C")+COUNTIF(E93:AI93,"D")+COUNTIF(E93:AI93,"E")+COUNTIF(E93:AI93,"F")+COUNTIF(E93:AI93,"M")+COUNTIF(E93:AI93,"AB")+COUNTIF(E93:AI93,"UZ")+COUNTIF(E93:AI93,"G")+(COUNTIF(E93:AI93,"RT.")/2)+(COUNTIF(E93:AI93,"ÇRT.")/2)</f>
      </c>
      <c r="AO93" s="1">
        <f>=COUNTIF(E93:AI93,"O")</f>
      </c>
      <c r="AP93" s="1">
        <f>=COUNTIF(E93:AI93,"RT")+(COUNTIF(E93:AI93,"RT.")/2)</f>
      </c>
      <c r="AQ93" s="1">
        <f>=COUNTIF(E93:AI93,"ÇRT")+(COUNTIF(E93:AI93,"ÇRT.")/2)</f>
      </c>
      <c r="AR93" s="1">
        <f>=COUNTIF(E93:AI93,"ÇHT")</f>
      </c>
      <c r="AS93" s="1">
        <f>=COUNTIF(E93:AI93,"Ö")+COUNTIF(E93:AI93,"T")</f>
      </c>
      <c r="AT93" s="1">
        <f>=COUNTIF(E93:AI93,"Y")</f>
      </c>
      <c r="AU93" s="1">
        <f>=COUNTIF(E93:AI93,"R.")</f>
      </c>
      <c r="AV93" s="1">
        <f>=COUNTIF(E93:AI93,"Ü")</f>
      </c>
      <c r="AW93" s="1">
        <f>=COUNTIF(E93:AI93,"R")</f>
      </c>
      <c r="AX93" s="1">
        <f>=COUNTIF(E93:AI93,"DV")</f>
      </c>
      <c r="AY93" s="1">
        <f>=+AN93+AO93+AP93+AQ93+AR93+AS93+AT93+AU93</f>
      </c>
    </row>
    <row r="94" ht="16" customHeight="1" spans="1:51" x14ac:dyDescent="0.25">
      <c r="A94" s="45"/>
      <c r="B94" s="46"/>
      <c r="C94" s="46"/>
      <c r="D94" s="46" t="s">
        <v>33</v>
      </c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ht="16" customHeight="1" spans="1:51" x14ac:dyDescent="0.25">
      <c r="A95" s="45"/>
      <c r="B95" s="46" t="s">
        <v>127</v>
      </c>
      <c r="C95" s="46" t="s">
        <v>128</v>
      </c>
      <c r="D95" s="46" t="s">
        <v>29</v>
      </c>
      <c r="E95" s="46" t="s">
        <v>36</v>
      </c>
      <c r="F95" s="46" t="s">
        <v>46</v>
      </c>
      <c r="G95" s="46" t="s">
        <v>36</v>
      </c>
      <c r="H95" s="46" t="s">
        <v>36</v>
      </c>
      <c r="I95" s="46" t="s">
        <v>37</v>
      </c>
      <c r="J95" s="46" t="s">
        <v>46</v>
      </c>
      <c r="K95" s="46" t="s">
        <v>46</v>
      </c>
      <c r="L95" s="46" t="s">
        <v>46</v>
      </c>
      <c r="M95" s="46" t="s">
        <v>46</v>
      </c>
      <c r="N95" s="46" t="s">
        <v>46</v>
      </c>
      <c r="O95" s="46" t="s">
        <v>46</v>
      </c>
      <c r="P95" s="46" t="s">
        <v>37</v>
      </c>
      <c r="Q95" s="46" t="s">
        <v>46</v>
      </c>
      <c r="R95" s="46" t="s">
        <v>46</v>
      </c>
      <c r="S95" s="46" t="s">
        <v>46</v>
      </c>
      <c r="T95" s="46" t="s">
        <v>46</v>
      </c>
      <c r="U95" s="46" t="s">
        <v>36</v>
      </c>
      <c r="V95" s="46" t="s">
        <v>36</v>
      </c>
      <c r="W95" s="46" t="s">
        <v>37</v>
      </c>
      <c r="X95" s="46" t="s">
        <v>36</v>
      </c>
      <c r="Y95" s="46" t="s">
        <v>46</v>
      </c>
      <c r="Z95" s="46" t="s">
        <v>36</v>
      </c>
      <c r="AA95" s="46" t="s">
        <v>46</v>
      </c>
      <c r="AB95" s="46" t="s">
        <v>36</v>
      </c>
      <c r="AC95" s="46" t="s">
        <v>36</v>
      </c>
      <c r="AD95" s="46" t="s">
        <v>37</v>
      </c>
      <c r="AE95" s="46" t="s">
        <v>36</v>
      </c>
      <c r="AF95" s="46" t="s">
        <v>46</v>
      </c>
      <c r="AG95" s="46" t="s">
        <v>36</v>
      </c>
      <c r="AH95" s="46" t="s">
        <v>43</v>
      </c>
      <c r="AI95" s="46" t="s">
        <v>46</v>
      </c>
      <c r="AJ95" s="46">
        <f>=SUM(E96:AI96)</f>
      </c>
      <c r="AK95" s="46">
        <f>=+AY95</f>
      </c>
      <c r="AL95" s="46"/>
      <c r="AM95" s="1"/>
      <c r="AN95" s="1">
        <f>=COUNTIF(E95:AI95,"A")+COUNTIF(E95:AI95,"B")+COUNTIF(E95:AI95,"C")+COUNTIF(E95:AI95,"D")+COUNTIF(E95:AI95,"E")+COUNTIF(E95:AI95,"F")+COUNTIF(E95:AI95,"M")+COUNTIF(E95:AI95,"AB")+COUNTIF(E95:AI95,"UZ")+COUNTIF(E95:AI95,"G")+(COUNTIF(E95:AI95,"RT.")/2)+(COUNTIF(E95:AI95,"ÇRT.")/2)</f>
      </c>
      <c r="AO95" s="1">
        <f>=COUNTIF(E95:AI95,"O")</f>
      </c>
      <c r="AP95" s="1">
        <f>=COUNTIF(E95:AI95,"RT")+(COUNTIF(E95:AI95,"RT.")/2)</f>
      </c>
      <c r="AQ95" s="1">
        <f>=COUNTIF(E95:AI95,"ÇRT")+(COUNTIF(E95:AI95,"ÇRT.")/2)</f>
      </c>
      <c r="AR95" s="1">
        <f>=COUNTIF(E95:AI95,"ÇHT")</f>
      </c>
      <c r="AS95" s="1">
        <f>=COUNTIF(E95:AI95,"Ö")+COUNTIF(E95:AI95,"T")</f>
      </c>
      <c r="AT95" s="1">
        <f>=COUNTIF(E95:AI95,"Y")</f>
      </c>
      <c r="AU95" s="1">
        <f>=COUNTIF(E95:AI95,"R.")</f>
      </c>
      <c r="AV95" s="1">
        <f>=COUNTIF(E95:AI95,"Ü")</f>
      </c>
      <c r="AW95" s="1">
        <f>=COUNTIF(E95:AI95,"R")</f>
      </c>
      <c r="AX95" s="1">
        <f>=COUNTIF(E95:AI95,"DV")</f>
      </c>
      <c r="AY95" s="1">
        <f>=+AN95+AO95+AP95+AQ95+AR95+AS95+AT95+AU95</f>
      </c>
    </row>
    <row r="96" ht="16" customHeight="1" spans="1:51" x14ac:dyDescent="0.25">
      <c r="A96" s="45"/>
      <c r="B96" s="46"/>
      <c r="C96" s="46"/>
      <c r="D96" s="46" t="s">
        <v>33</v>
      </c>
      <c r="E96" s="46"/>
      <c r="F96" s="46"/>
      <c r="G96" s="46">
        <v>3</v>
      </c>
      <c r="H96" s="46">
        <v>3</v>
      </c>
      <c r="I96" s="46"/>
      <c r="J96" s="46">
        <v>3</v>
      </c>
      <c r="K96" s="46">
        <v>3</v>
      </c>
      <c r="L96" s="46"/>
      <c r="M96" s="46"/>
      <c r="N96" s="46"/>
      <c r="O96" s="46">
        <v>2</v>
      </c>
      <c r="P96" s="46"/>
      <c r="Q96" s="46">
        <v>2</v>
      </c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6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ht="16" customHeight="1" spans="1:51" x14ac:dyDescent="0.25">
      <c r="A97" s="45"/>
      <c r="B97" s="46" t="s">
        <v>129</v>
      </c>
      <c r="C97" s="46" t="s">
        <v>130</v>
      </c>
      <c r="D97" s="46" t="s">
        <v>29</v>
      </c>
      <c r="E97" s="46" t="s">
        <v>41</v>
      </c>
      <c r="F97" s="46" t="s">
        <v>41</v>
      </c>
      <c r="G97" s="46" t="s">
        <v>41</v>
      </c>
      <c r="H97" s="46" t="s">
        <v>41</v>
      </c>
      <c r="I97" s="46" t="s">
        <v>41</v>
      </c>
      <c r="J97" s="46" t="s">
        <v>41</v>
      </c>
      <c r="K97" s="46" t="s">
        <v>37</v>
      </c>
      <c r="L97" s="46" t="s">
        <v>41</v>
      </c>
      <c r="M97" s="46" t="s">
        <v>41</v>
      </c>
      <c r="N97" s="46" t="s">
        <v>42</v>
      </c>
      <c r="O97" s="46" t="s">
        <v>59</v>
      </c>
      <c r="P97" s="46" t="s">
        <v>59</v>
      </c>
      <c r="Q97" s="46" t="s">
        <v>59</v>
      </c>
      <c r="R97" s="46" t="s">
        <v>37</v>
      </c>
      <c r="S97" s="46" t="s">
        <v>59</v>
      </c>
      <c r="T97" s="46" t="s">
        <v>41</v>
      </c>
      <c r="U97" s="46" t="s">
        <v>41</v>
      </c>
      <c r="V97" s="46" t="s">
        <v>41</v>
      </c>
      <c r="W97" s="46" t="s">
        <v>41</v>
      </c>
      <c r="X97" s="46" t="s">
        <v>41</v>
      </c>
      <c r="Y97" s="46" t="s">
        <v>37</v>
      </c>
      <c r="Z97" s="46" t="s">
        <v>41</v>
      </c>
      <c r="AA97" s="46" t="s">
        <v>41</v>
      </c>
      <c r="AB97" s="46" t="s">
        <v>42</v>
      </c>
      <c r="AC97" s="46" t="s">
        <v>41</v>
      </c>
      <c r="AD97" s="46" t="s">
        <v>41</v>
      </c>
      <c r="AE97" s="46" t="s">
        <v>42</v>
      </c>
      <c r="AF97" s="46" t="s">
        <v>37</v>
      </c>
      <c r="AG97" s="46" t="s">
        <v>41</v>
      </c>
      <c r="AH97" s="46" t="s">
        <v>43</v>
      </c>
      <c r="AI97" s="46" t="s">
        <v>42</v>
      </c>
      <c r="AJ97" s="46">
        <f>=SUM(E98:AI98)</f>
      </c>
      <c r="AK97" s="46">
        <f>=+AY97</f>
      </c>
      <c r="AL97" s="46"/>
      <c r="AM97" s="1"/>
      <c r="AN97" s="1">
        <f>=COUNTIF(E97:AI97,"A")+COUNTIF(E97:AI97,"B")+COUNTIF(E97:AI97,"C")+COUNTIF(E97:AI97,"D")+COUNTIF(E97:AI97,"E")+COUNTIF(E97:AI97,"F")+COUNTIF(E97:AI97,"M")+COUNTIF(E97:AI97,"AB")+COUNTIF(E97:AI97,"UZ")+COUNTIF(E97:AI97,"G")+(COUNTIF(E97:AI97,"RT.")/2)+(COUNTIF(E97:AI97,"ÇRT.")/2)</f>
      </c>
      <c r="AO97" s="1">
        <f>=COUNTIF(E97:AI97,"O")</f>
      </c>
      <c r="AP97" s="1">
        <f>=COUNTIF(E97:AI97,"RT")+(COUNTIF(E97:AI97,"RT.")/2)</f>
      </c>
      <c r="AQ97" s="1">
        <f>=COUNTIF(E97:AI97,"ÇRT")+(COUNTIF(E97:AI97,"ÇRT.")/2)</f>
      </c>
      <c r="AR97" s="1">
        <f>=COUNTIF(E97:AI97,"ÇHT")</f>
      </c>
      <c r="AS97" s="1">
        <f>=COUNTIF(E97:AI97,"Ö")+COUNTIF(E97:AI97,"T")</f>
      </c>
      <c r="AT97" s="1">
        <f>=COUNTIF(E97:AI97,"Y")</f>
      </c>
      <c r="AU97" s="1">
        <f>=COUNTIF(E97:AI97,"R.")</f>
      </c>
      <c r="AV97" s="1">
        <f>=COUNTIF(E97:AI97,"Ü")</f>
      </c>
      <c r="AW97" s="1">
        <f>=COUNTIF(E97:AI97,"R")</f>
      </c>
      <c r="AX97" s="1">
        <f>=COUNTIF(E97:AI97,"DV")</f>
      </c>
      <c r="AY97" s="1">
        <f>=+AN97+AO97+AP97+AQ97+AR97+AS97+AT97+AU97</f>
      </c>
    </row>
    <row r="98" ht="16" customHeight="1" spans="1:51" x14ac:dyDescent="0.25">
      <c r="A98" s="45"/>
      <c r="B98" s="46"/>
      <c r="C98" s="46"/>
      <c r="D98" s="46" t="s">
        <v>33</v>
      </c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>
        <v>3</v>
      </c>
      <c r="AC98" s="46">
        <v>3</v>
      </c>
      <c r="AD98" s="46"/>
      <c r="AE98" s="46"/>
      <c r="AF98" s="46"/>
      <c r="AG98" s="46"/>
      <c r="AH98" s="46"/>
      <c r="AI98" s="46"/>
      <c r="AJ98" s="46"/>
      <c r="AK98" s="46"/>
      <c r="AL98" s="46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ht="16" customHeight="1" spans="1:51" x14ac:dyDescent="0.25">
      <c r="A99" s="45"/>
      <c r="B99" s="46" t="s">
        <v>131</v>
      </c>
      <c r="C99" s="46" t="s">
        <v>132</v>
      </c>
      <c r="D99" s="46" t="s">
        <v>29</v>
      </c>
      <c r="E99" s="46" t="s">
        <v>41</v>
      </c>
      <c r="F99" s="46" t="s">
        <v>41</v>
      </c>
      <c r="G99" s="46" t="s">
        <v>37</v>
      </c>
      <c r="H99" s="46" t="s">
        <v>41</v>
      </c>
      <c r="I99" s="46" t="s">
        <v>41</v>
      </c>
      <c r="J99" s="46" t="s">
        <v>41</v>
      </c>
      <c r="K99" s="46" t="s">
        <v>41</v>
      </c>
      <c r="L99" s="46" t="s">
        <v>41</v>
      </c>
      <c r="M99" s="46" t="s">
        <v>41</v>
      </c>
      <c r="N99" s="46" t="s">
        <v>37</v>
      </c>
      <c r="O99" s="46" t="s">
        <v>41</v>
      </c>
      <c r="P99" s="46" t="s">
        <v>41</v>
      </c>
      <c r="Q99" s="46" t="s">
        <v>41</v>
      </c>
      <c r="R99" s="46" t="s">
        <v>41</v>
      </c>
      <c r="S99" s="46" t="s">
        <v>41</v>
      </c>
      <c r="T99" s="46" t="s">
        <v>41</v>
      </c>
      <c r="U99" s="46" t="s">
        <v>37</v>
      </c>
      <c r="V99" s="46" t="s">
        <v>41</v>
      </c>
      <c r="W99" s="46" t="s">
        <v>41</v>
      </c>
      <c r="X99" s="46" t="s">
        <v>41</v>
      </c>
      <c r="Y99" s="46" t="s">
        <v>41</v>
      </c>
      <c r="Z99" s="46" t="s">
        <v>41</v>
      </c>
      <c r="AA99" s="46" t="s">
        <v>41</v>
      </c>
      <c r="AB99" s="46" t="s">
        <v>37</v>
      </c>
      <c r="AC99" s="46" t="s">
        <v>41</v>
      </c>
      <c r="AD99" s="46" t="s">
        <v>41</v>
      </c>
      <c r="AE99" s="46" t="s">
        <v>41</v>
      </c>
      <c r="AF99" s="46" t="s">
        <v>41</v>
      </c>
      <c r="AG99" s="46" t="s">
        <v>41</v>
      </c>
      <c r="AH99" s="46" t="s">
        <v>43</v>
      </c>
      <c r="AI99" s="46" t="s">
        <v>37</v>
      </c>
      <c r="AJ99" s="46">
        <f>=SUM(E100:AI100)</f>
      </c>
      <c r="AK99" s="46">
        <f>=+AY99</f>
      </c>
      <c r="AL99" s="46"/>
      <c r="AM99" s="1"/>
      <c r="AN99" s="1">
        <f>=COUNTIF(E99:AI99,"A")+COUNTIF(E99:AI99,"B")+COUNTIF(E99:AI99,"C")+COUNTIF(E99:AI99,"D")+COUNTIF(E99:AI99,"E")+COUNTIF(E99:AI99,"F")+COUNTIF(E99:AI99,"M")+COUNTIF(E99:AI99,"AB")+COUNTIF(E99:AI99,"UZ")+COUNTIF(E99:AI99,"G")+(COUNTIF(E99:AI99,"RT.")/2)+(COUNTIF(E99:AI99,"ÇRT.")/2)</f>
      </c>
      <c r="AO99" s="1">
        <f>=COUNTIF(E99:AI99,"O")</f>
      </c>
      <c r="AP99" s="1">
        <f>=COUNTIF(E99:AI99,"RT")+(COUNTIF(E99:AI99,"RT.")/2)</f>
      </c>
      <c r="AQ99" s="1">
        <f>=COUNTIF(E99:AI99,"ÇRT")+(COUNTIF(E99:AI99,"ÇRT.")/2)</f>
      </c>
      <c r="AR99" s="1">
        <f>=COUNTIF(E99:AI99,"ÇHT")</f>
      </c>
      <c r="AS99" s="1">
        <f>=COUNTIF(E99:AI99,"Ö")+COUNTIF(E99:AI99,"T")</f>
      </c>
      <c r="AT99" s="1">
        <f>=COUNTIF(E99:AI99,"Y")</f>
      </c>
      <c r="AU99" s="1">
        <f>=COUNTIF(E99:AI99,"R.")</f>
      </c>
      <c r="AV99" s="1">
        <f>=COUNTIF(E99:AI99,"Ü")</f>
      </c>
      <c r="AW99" s="1">
        <f>=COUNTIF(E99:AI99,"R")</f>
      </c>
      <c r="AX99" s="1">
        <f>=COUNTIF(E99:AI99,"DV")</f>
      </c>
      <c r="AY99" s="1">
        <f>=+AN99+AO99+AP99+AQ99+AR99+AS99+AT99+AU99</f>
      </c>
    </row>
    <row r="100" ht="16" customHeight="1" spans="1:51" x14ac:dyDescent="0.25">
      <c r="A100" s="45"/>
      <c r="B100" s="46"/>
      <c r="C100" s="46"/>
      <c r="D100" s="46" t="s">
        <v>33</v>
      </c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  <c r="AF100" s="46"/>
      <c r="AG100" s="46"/>
      <c r="AH100" s="46"/>
      <c r="AI100" s="46"/>
      <c r="AJ100" s="46"/>
      <c r="AK100" s="46"/>
      <c r="AL100" s="46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ht="16" customHeight="1" spans="1:51" x14ac:dyDescent="0.25">
      <c r="A101" s="45"/>
      <c r="B101" s="46" t="s">
        <v>133</v>
      </c>
      <c r="C101" s="46" t="s">
        <v>134</v>
      </c>
      <c r="D101" s="46" t="s">
        <v>29</v>
      </c>
      <c r="E101" s="46" t="s">
        <v>41</v>
      </c>
      <c r="F101" s="46" t="s">
        <v>41</v>
      </c>
      <c r="G101" s="46" t="s">
        <v>37</v>
      </c>
      <c r="H101" s="46" t="s">
        <v>41</v>
      </c>
      <c r="I101" s="46" t="s">
        <v>41</v>
      </c>
      <c r="J101" s="46" t="s">
        <v>41</v>
      </c>
      <c r="K101" s="46" t="s">
        <v>41</v>
      </c>
      <c r="L101" s="46" t="s">
        <v>41</v>
      </c>
      <c r="M101" s="46" t="s">
        <v>41</v>
      </c>
      <c r="N101" s="46" t="s">
        <v>37</v>
      </c>
      <c r="O101" s="46" t="s">
        <v>41</v>
      </c>
      <c r="P101" s="46" t="s">
        <v>41</v>
      </c>
      <c r="Q101" s="46" t="s">
        <v>41</v>
      </c>
      <c r="R101" s="46" t="s">
        <v>41</v>
      </c>
      <c r="S101" s="46" t="s">
        <v>41</v>
      </c>
      <c r="T101" s="46" t="s">
        <v>41</v>
      </c>
      <c r="U101" s="46" t="s">
        <v>37</v>
      </c>
      <c r="V101" s="46" t="s">
        <v>41</v>
      </c>
      <c r="W101" s="46" t="s">
        <v>41</v>
      </c>
      <c r="X101" s="46" t="s">
        <v>41</v>
      </c>
      <c r="Y101" s="46" t="s">
        <v>41</v>
      </c>
      <c r="Z101" s="46" t="s">
        <v>41</v>
      </c>
      <c r="AA101" s="46" t="s">
        <v>41</v>
      </c>
      <c r="AB101" s="46" t="s">
        <v>37</v>
      </c>
      <c r="AC101" s="46" t="s">
        <v>41</v>
      </c>
      <c r="AD101" s="46" t="s">
        <v>41</v>
      </c>
      <c r="AE101" s="46" t="s">
        <v>41</v>
      </c>
      <c r="AF101" s="46" t="s">
        <v>41</v>
      </c>
      <c r="AG101" s="46" t="s">
        <v>41</v>
      </c>
      <c r="AH101" s="46" t="s">
        <v>43</v>
      </c>
      <c r="AI101" s="46" t="s">
        <v>37</v>
      </c>
      <c r="AJ101" s="46">
        <f>=SUM(E102:AI102)</f>
      </c>
      <c r="AK101" s="46">
        <f>=+AY101</f>
      </c>
      <c r="AL101" s="46"/>
      <c r="AM101" s="1"/>
      <c r="AN101" s="1">
        <f>=COUNTIF(E101:AI101,"A")+COUNTIF(E101:AI101,"B")+COUNTIF(E101:AI101,"C")+COUNTIF(E101:AI101,"D")+COUNTIF(E101:AI101,"E")+COUNTIF(E101:AI101,"F")+COUNTIF(E101:AI101,"M")+COUNTIF(E101:AI101,"AB")+COUNTIF(E101:AI101,"UZ")+COUNTIF(E101:AI101,"G")+(COUNTIF(E101:AI101,"RT.")/2)+(COUNTIF(E101:AI101,"ÇRT.")/2)</f>
      </c>
      <c r="AO101" s="1">
        <f>=COUNTIF(E101:AI101,"O")</f>
      </c>
      <c r="AP101" s="1">
        <f>=COUNTIF(E101:AI101,"RT")+(COUNTIF(E101:AI101,"RT.")/2)</f>
      </c>
      <c r="AQ101" s="1">
        <f>=COUNTIF(E101:AI101,"ÇRT")+(COUNTIF(E101:AI101,"ÇRT.")/2)</f>
      </c>
      <c r="AR101" s="1">
        <f>=COUNTIF(E101:AI101,"ÇHT")</f>
      </c>
      <c r="AS101" s="1">
        <f>=COUNTIF(E101:AI101,"Ö")+COUNTIF(E101:AI101,"T")</f>
      </c>
      <c r="AT101" s="1">
        <f>=COUNTIF(E101:AI101,"Y")</f>
      </c>
      <c r="AU101" s="1">
        <f>=COUNTIF(E101:AI101,"R.")</f>
      </c>
      <c r="AV101" s="1">
        <f>=COUNTIF(E101:AI101,"Ü")</f>
      </c>
      <c r="AW101" s="1">
        <f>=COUNTIF(E101:AI101,"R")</f>
      </c>
      <c r="AX101" s="1">
        <f>=COUNTIF(E101:AI101,"DV")</f>
      </c>
      <c r="AY101" s="1">
        <f>=+AN101+AO101+AP101+AQ101+AR101+AS101+AT101+AU101</f>
      </c>
    </row>
    <row r="102" ht="16" customHeight="1" spans="1:51" x14ac:dyDescent="0.25">
      <c r="A102" s="45"/>
      <c r="B102" s="46"/>
      <c r="C102" s="46"/>
      <c r="D102" s="46" t="s">
        <v>33</v>
      </c>
      <c r="E102" s="46"/>
      <c r="F102" s="46"/>
      <c r="G102" s="46"/>
      <c r="H102" s="46"/>
      <c r="I102" s="46"/>
      <c r="J102" s="46">
        <v>2</v>
      </c>
      <c r="K102" s="46"/>
      <c r="L102" s="46">
        <v>2</v>
      </c>
      <c r="M102" s="46"/>
      <c r="N102" s="46"/>
      <c r="O102" s="46"/>
      <c r="P102" s="46"/>
      <c r="Q102" s="46">
        <v>2</v>
      </c>
      <c r="R102" s="46"/>
      <c r="S102" s="46">
        <v>2</v>
      </c>
      <c r="T102" s="46"/>
      <c r="U102" s="46"/>
      <c r="V102" s="46"/>
      <c r="W102" s="46">
        <v>2</v>
      </c>
      <c r="X102" s="46">
        <v>2</v>
      </c>
      <c r="Y102" s="46">
        <v>2</v>
      </c>
      <c r="Z102" s="46">
        <v>2</v>
      </c>
      <c r="AA102" s="46"/>
      <c r="AB102" s="46"/>
      <c r="AC102" s="46"/>
      <c r="AD102" s="46"/>
      <c r="AE102" s="46">
        <v>2</v>
      </c>
      <c r="AF102" s="46"/>
      <c r="AG102" s="46"/>
      <c r="AH102" s="46"/>
      <c r="AI102" s="46"/>
      <c r="AJ102" s="46"/>
      <c r="AK102" s="46"/>
      <c r="AL102" s="46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ht="16" customHeight="1" spans="1:51" x14ac:dyDescent="0.25">
      <c r="A103" s="45"/>
      <c r="B103" s="46" t="s">
        <v>135</v>
      </c>
      <c r="C103" s="46" t="s">
        <v>136</v>
      </c>
      <c r="D103" s="46" t="s">
        <v>29</v>
      </c>
      <c r="E103" s="46" t="s">
        <v>41</v>
      </c>
      <c r="F103" s="46" t="s">
        <v>41</v>
      </c>
      <c r="G103" s="46" t="s">
        <v>37</v>
      </c>
      <c r="H103" s="46" t="s">
        <v>41</v>
      </c>
      <c r="I103" s="46" t="s">
        <v>41</v>
      </c>
      <c r="J103" s="46" t="s">
        <v>41</v>
      </c>
      <c r="K103" s="46" t="s">
        <v>31</v>
      </c>
      <c r="L103" s="46" t="s">
        <v>31</v>
      </c>
      <c r="M103" s="46" t="s">
        <v>32</v>
      </c>
      <c r="N103" s="46" t="s">
        <v>32</v>
      </c>
      <c r="O103" s="46" t="s">
        <v>32</v>
      </c>
      <c r="P103" s="46" t="s">
        <v>32</v>
      </c>
      <c r="Q103" s="46" t="s">
        <v>32</v>
      </c>
      <c r="R103" s="46" t="s">
        <v>32</v>
      </c>
      <c r="S103" s="46" t="s">
        <v>32</v>
      </c>
      <c r="T103" s="46" t="s">
        <v>32</v>
      </c>
      <c r="U103" s="46" t="s">
        <v>32</v>
      </c>
      <c r="V103" s="46" t="s">
        <v>32</v>
      </c>
      <c r="W103" s="46" t="s">
        <v>32</v>
      </c>
      <c r="X103" s="46" t="s">
        <v>32</v>
      </c>
      <c r="Y103" s="46" t="s">
        <v>32</v>
      </c>
      <c r="Z103" s="46" t="s">
        <v>32</v>
      </c>
      <c r="AA103" s="46" t="s">
        <v>32</v>
      </c>
      <c r="AB103" s="46" t="s">
        <v>32</v>
      </c>
      <c r="AC103" s="46" t="s">
        <v>32</v>
      </c>
      <c r="AD103" s="46" t="s">
        <v>32</v>
      </c>
      <c r="AE103" s="46" t="s">
        <v>32</v>
      </c>
      <c r="AF103" s="46" t="s">
        <v>32</v>
      </c>
      <c r="AG103" s="46" t="s">
        <v>32</v>
      </c>
      <c r="AH103" s="46" t="s">
        <v>32</v>
      </c>
      <c r="AI103" s="46" t="s">
        <v>32</v>
      </c>
      <c r="AJ103" s="46">
        <f>=SUM(E104:AI104)</f>
      </c>
      <c r="AK103" s="46">
        <f>=+AY103</f>
      </c>
      <c r="AL103" s="46"/>
      <c r="AM103" s="1"/>
      <c r="AN103" s="1">
        <f>=COUNTIF(E103:AI103,"A")+COUNTIF(E103:AI103,"B")+COUNTIF(E103:AI103,"C")+COUNTIF(E103:AI103,"D")+COUNTIF(E103:AI103,"E")+COUNTIF(E103:AI103,"F")+COUNTIF(E103:AI103,"M")+COUNTIF(E103:AI103,"AB")+COUNTIF(E103:AI103,"UZ")+COUNTIF(E103:AI103,"G")+(COUNTIF(E103:AI103,"RT.")/2)+(COUNTIF(E103:AI103,"ÇRT.")/2)</f>
      </c>
      <c r="AO103" s="1">
        <f>=COUNTIF(E103:AI103,"O")</f>
      </c>
      <c r="AP103" s="1">
        <f>=COUNTIF(E103:AI103,"RT")+(COUNTIF(E103:AI103,"RT.")/2)</f>
      </c>
      <c r="AQ103" s="1">
        <f>=COUNTIF(E103:AI103,"ÇRT")+(COUNTIF(E103:AI103,"ÇRT.")/2)</f>
      </c>
      <c r="AR103" s="1">
        <f>=COUNTIF(E103:AI103,"ÇHT")</f>
      </c>
      <c r="AS103" s="1">
        <f>=COUNTIF(E103:AI103,"Ö")+COUNTIF(E103:AI103,"T")</f>
      </c>
      <c r="AT103" s="1">
        <f>=COUNTIF(E103:AI103,"Y")</f>
      </c>
      <c r="AU103" s="1">
        <f>=COUNTIF(E103:AI103,"R.")</f>
      </c>
      <c r="AV103" s="1">
        <f>=COUNTIF(E103:AI103,"Ü")</f>
      </c>
      <c r="AW103" s="1">
        <f>=COUNTIF(E103:AI103,"R")</f>
      </c>
      <c r="AX103" s="1">
        <f>=COUNTIF(E103:AI103,"DV")</f>
      </c>
      <c r="AY103" s="1">
        <f>=+AN103+AO103+AP103+AQ103+AR103+AS103+AT103+AU103</f>
      </c>
    </row>
    <row r="104" ht="16" customHeight="1" spans="1:51" x14ac:dyDescent="0.25">
      <c r="A104" s="45"/>
      <c r="B104" s="46"/>
      <c r="C104" s="46"/>
      <c r="D104" s="46" t="s">
        <v>33</v>
      </c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6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ht="16" customHeight="1" spans="1:51" x14ac:dyDescent="0.25">
      <c r="A105" s="45"/>
      <c r="B105" s="46" t="s">
        <v>137</v>
      </c>
      <c r="C105" s="46" t="s">
        <v>138</v>
      </c>
      <c r="D105" s="46" t="s">
        <v>29</v>
      </c>
      <c r="E105" s="46" t="s">
        <v>41</v>
      </c>
      <c r="F105" s="46" t="s">
        <v>41</v>
      </c>
      <c r="G105" s="46" t="s">
        <v>41</v>
      </c>
      <c r="H105" s="46" t="s">
        <v>46</v>
      </c>
      <c r="I105" s="46" t="s">
        <v>46</v>
      </c>
      <c r="J105" s="46" t="s">
        <v>41</v>
      </c>
      <c r="K105" s="46" t="s">
        <v>41</v>
      </c>
      <c r="L105" s="46" t="s">
        <v>41</v>
      </c>
      <c r="M105" s="46" t="s">
        <v>37</v>
      </c>
      <c r="N105" s="46" t="s">
        <v>41</v>
      </c>
      <c r="O105" s="46" t="s">
        <v>46</v>
      </c>
      <c r="P105" s="46" t="s">
        <v>46</v>
      </c>
      <c r="Q105" s="46" t="s">
        <v>41</v>
      </c>
      <c r="R105" s="46" t="s">
        <v>41</v>
      </c>
      <c r="S105" s="46" t="s">
        <v>41</v>
      </c>
      <c r="T105" s="46" t="s">
        <v>37</v>
      </c>
      <c r="U105" s="46" t="s">
        <v>41</v>
      </c>
      <c r="V105" s="46" t="s">
        <v>46</v>
      </c>
      <c r="W105" s="46" t="s">
        <v>46</v>
      </c>
      <c r="X105" s="46" t="s">
        <v>41</v>
      </c>
      <c r="Y105" s="46" t="s">
        <v>41</v>
      </c>
      <c r="Z105" s="46" t="s">
        <v>41</v>
      </c>
      <c r="AA105" s="46" t="s">
        <v>37</v>
      </c>
      <c r="AB105" s="46" t="s">
        <v>41</v>
      </c>
      <c r="AC105" s="46" t="s">
        <v>46</v>
      </c>
      <c r="AD105" s="46" t="s">
        <v>41</v>
      </c>
      <c r="AE105" s="46" t="s">
        <v>41</v>
      </c>
      <c r="AF105" s="46" t="s">
        <v>41</v>
      </c>
      <c r="AG105" s="46" t="s">
        <v>41</v>
      </c>
      <c r="AH105" s="46" t="s">
        <v>37</v>
      </c>
      <c r="AI105" s="46" t="s">
        <v>41</v>
      </c>
      <c r="AJ105" s="46">
        <f>=SUM(E106:AI106)</f>
      </c>
      <c r="AK105" s="46">
        <f>=+AY105</f>
      </c>
      <c r="AL105" s="46"/>
      <c r="AM105" s="1"/>
      <c r="AN105" s="1">
        <f>=COUNTIF(E105:AI105,"A")+COUNTIF(E105:AI105,"B")+COUNTIF(E105:AI105,"C")+COUNTIF(E105:AI105,"D")+COUNTIF(E105:AI105,"E")+COUNTIF(E105:AI105,"F")+COUNTIF(E105:AI105,"M")+COUNTIF(E105:AI105,"AB")+COUNTIF(E105:AI105,"UZ")+COUNTIF(E105:AI105,"G")+(COUNTIF(E105:AI105,"RT.")/2)+(COUNTIF(E105:AI105,"ÇRT.")/2)</f>
      </c>
      <c r="AO105" s="1">
        <f>=COUNTIF(E105:AI105,"O")</f>
      </c>
      <c r="AP105" s="1">
        <f>=COUNTIF(E105:AI105,"RT")+(COUNTIF(E105:AI105,"RT.")/2)</f>
      </c>
      <c r="AQ105" s="1">
        <f>=COUNTIF(E105:AI105,"ÇRT")+(COUNTIF(E105:AI105,"ÇRT.")/2)</f>
      </c>
      <c r="AR105" s="1">
        <f>=COUNTIF(E105:AI105,"ÇHT")</f>
      </c>
      <c r="AS105" s="1">
        <f>=COUNTIF(E105:AI105,"Ö")+COUNTIF(E105:AI105,"T")</f>
      </c>
      <c r="AT105" s="1">
        <f>=COUNTIF(E105:AI105,"Y")</f>
      </c>
      <c r="AU105" s="1">
        <f>=COUNTIF(E105:AI105,"R.")</f>
      </c>
      <c r="AV105" s="1">
        <f>=COUNTIF(E105:AI105,"Ü")</f>
      </c>
      <c r="AW105" s="1">
        <f>=COUNTIF(E105:AI105,"R")</f>
      </c>
      <c r="AX105" s="1">
        <f>=COUNTIF(E105:AI105,"DV")</f>
      </c>
      <c r="AY105" s="1">
        <f>=+AN105+AO105+AP105+AQ105+AR105+AS105+AT105+AU105</f>
      </c>
    </row>
    <row r="106" ht="16" customHeight="1" spans="1:51" x14ac:dyDescent="0.25">
      <c r="A106" s="45"/>
      <c r="B106" s="46"/>
      <c r="C106" s="46"/>
      <c r="D106" s="46" t="s">
        <v>33</v>
      </c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  <c r="AE106" s="46"/>
      <c r="AF106" s="46"/>
      <c r="AG106" s="46"/>
      <c r="AH106" s="46"/>
      <c r="AI106" s="46"/>
      <c r="AJ106" s="46"/>
      <c r="AK106" s="46"/>
      <c r="AL106" s="46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ht="16" customHeight="1" spans="1:51" x14ac:dyDescent="0.25">
      <c r="A107" s="45"/>
      <c r="B107" s="46" t="s">
        <v>139</v>
      </c>
      <c r="C107" s="46" t="s">
        <v>140</v>
      </c>
      <c r="D107" s="46" t="s">
        <v>29</v>
      </c>
      <c r="E107" s="46" t="s">
        <v>36</v>
      </c>
      <c r="F107" s="46" t="s">
        <v>36</v>
      </c>
      <c r="G107" s="46" t="s">
        <v>36</v>
      </c>
      <c r="H107" s="46" t="s">
        <v>36</v>
      </c>
      <c r="I107" s="46" t="s">
        <v>36</v>
      </c>
      <c r="J107" s="46" t="s">
        <v>37</v>
      </c>
      <c r="K107" s="46" t="s">
        <v>36</v>
      </c>
      <c r="L107" s="46" t="s">
        <v>36</v>
      </c>
      <c r="M107" s="46" t="s">
        <v>36</v>
      </c>
      <c r="N107" s="46" t="s">
        <v>36</v>
      </c>
      <c r="O107" s="46" t="s">
        <v>36</v>
      </c>
      <c r="P107" s="46" t="s">
        <v>36</v>
      </c>
      <c r="Q107" s="46" t="s">
        <v>36</v>
      </c>
      <c r="R107" s="46" t="s">
        <v>37</v>
      </c>
      <c r="S107" s="46" t="s">
        <v>36</v>
      </c>
      <c r="T107" s="46" t="s">
        <v>36</v>
      </c>
      <c r="U107" s="46" t="s">
        <v>36</v>
      </c>
      <c r="V107" s="46" t="s">
        <v>36</v>
      </c>
      <c r="W107" s="46" t="s">
        <v>36</v>
      </c>
      <c r="X107" s="46" t="s">
        <v>36</v>
      </c>
      <c r="Y107" s="46" t="s">
        <v>37</v>
      </c>
      <c r="Z107" s="46" t="s">
        <v>36</v>
      </c>
      <c r="AA107" s="46" t="s">
        <v>36</v>
      </c>
      <c r="AB107" s="46" t="s">
        <v>36</v>
      </c>
      <c r="AC107" s="46" t="s">
        <v>36</v>
      </c>
      <c r="AD107" s="46" t="s">
        <v>36</v>
      </c>
      <c r="AE107" s="46" t="s">
        <v>36</v>
      </c>
      <c r="AF107" s="46" t="s">
        <v>37</v>
      </c>
      <c r="AG107" s="46" t="s">
        <v>36</v>
      </c>
      <c r="AH107" s="46" t="s">
        <v>43</v>
      </c>
      <c r="AI107" s="46" t="s">
        <v>36</v>
      </c>
      <c r="AJ107" s="46">
        <f>=SUM(E108:AI108)</f>
      </c>
      <c r="AK107" s="46">
        <f>=+AY107</f>
      </c>
      <c r="AL107" s="46"/>
      <c r="AM107" s="1"/>
      <c r="AN107" s="1">
        <f>=COUNTIF(E107:AI107,"A")+COUNTIF(E107:AI107,"B")+COUNTIF(E107:AI107,"C")+COUNTIF(E107:AI107,"D")+COUNTIF(E107:AI107,"E")+COUNTIF(E107:AI107,"F")+COUNTIF(E107:AI107,"M")+COUNTIF(E107:AI107,"AB")+COUNTIF(E107:AI107,"UZ")+COUNTIF(E107:AI107,"G")+(COUNTIF(E107:AI107,"RT.")/2)+(COUNTIF(E107:AI107,"ÇRT.")/2)</f>
      </c>
      <c r="AO107" s="1">
        <f>=COUNTIF(E107:AI107,"O")</f>
      </c>
      <c r="AP107" s="1">
        <f>=COUNTIF(E107:AI107,"RT")+(COUNTIF(E107:AI107,"RT.")/2)</f>
      </c>
      <c r="AQ107" s="1">
        <f>=COUNTIF(E107:AI107,"ÇRT")+(COUNTIF(E107:AI107,"ÇRT.")/2)</f>
      </c>
      <c r="AR107" s="1">
        <f>=COUNTIF(E107:AI107,"ÇHT")</f>
      </c>
      <c r="AS107" s="1">
        <f>=COUNTIF(E107:AI107,"Ö")+COUNTIF(E107:AI107,"T")</f>
      </c>
      <c r="AT107" s="1">
        <f>=COUNTIF(E107:AI107,"Y")</f>
      </c>
      <c r="AU107" s="1">
        <f>=COUNTIF(E107:AI107,"R.")</f>
      </c>
      <c r="AV107" s="1">
        <f>=COUNTIF(E107:AI107,"Ü")</f>
      </c>
      <c r="AW107" s="1">
        <f>=COUNTIF(E107:AI107,"R")</f>
      </c>
      <c r="AX107" s="1">
        <f>=COUNTIF(E107:AI107,"DV")</f>
      </c>
      <c r="AY107" s="1">
        <f>=+AN107+AO107+AP107+AQ107+AR107+AS107+AT107+AU107</f>
      </c>
    </row>
    <row r="108" ht="16" customHeight="1" spans="1:51" x14ac:dyDescent="0.25">
      <c r="A108" s="45"/>
      <c r="B108" s="46"/>
      <c r="C108" s="46"/>
      <c r="D108" s="46" t="s">
        <v>33</v>
      </c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  <c r="AE108" s="46"/>
      <c r="AF108" s="46"/>
      <c r="AG108" s="46"/>
      <c r="AH108" s="46"/>
      <c r="AI108" s="46"/>
      <c r="AJ108" s="46"/>
      <c r="AK108" s="46"/>
      <c r="AL108" s="46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ht="16" customHeight="1" spans="1:51" x14ac:dyDescent="0.25">
      <c r="A109" s="45"/>
      <c r="B109" s="46" t="s">
        <v>141</v>
      </c>
      <c r="C109" s="46" t="s">
        <v>142</v>
      </c>
      <c r="D109" s="46" t="s">
        <v>29</v>
      </c>
      <c r="E109" s="46" t="s">
        <v>41</v>
      </c>
      <c r="F109" s="46" t="s">
        <v>37</v>
      </c>
      <c r="G109" s="46" t="s">
        <v>41</v>
      </c>
      <c r="H109" s="46" t="s">
        <v>41</v>
      </c>
      <c r="I109" s="46" t="s">
        <v>41</v>
      </c>
      <c r="J109" s="46" t="s">
        <v>41</v>
      </c>
      <c r="K109" s="46" t="s">
        <v>41</v>
      </c>
      <c r="L109" s="46" t="s">
        <v>41</v>
      </c>
      <c r="M109" s="46" t="s">
        <v>37</v>
      </c>
      <c r="N109" s="46" t="s">
        <v>31</v>
      </c>
      <c r="O109" s="46" t="s">
        <v>41</v>
      </c>
      <c r="P109" s="46" t="s">
        <v>41</v>
      </c>
      <c r="Q109" s="46" t="s">
        <v>41</v>
      </c>
      <c r="R109" s="46" t="s">
        <v>41</v>
      </c>
      <c r="S109" s="46" t="s">
        <v>41</v>
      </c>
      <c r="T109" s="46" t="s">
        <v>37</v>
      </c>
      <c r="U109" s="46" t="s">
        <v>41</v>
      </c>
      <c r="V109" s="46" t="s">
        <v>41</v>
      </c>
      <c r="W109" s="46" t="s">
        <v>41</v>
      </c>
      <c r="X109" s="46" t="s">
        <v>41</v>
      </c>
      <c r="Y109" s="46" t="s">
        <v>41</v>
      </c>
      <c r="Z109" s="46" t="s">
        <v>31</v>
      </c>
      <c r="AA109" s="46" t="s">
        <v>37</v>
      </c>
      <c r="AB109" s="46" t="s">
        <v>41</v>
      </c>
      <c r="AC109" s="46" t="s">
        <v>41</v>
      </c>
      <c r="AD109" s="46" t="s">
        <v>41</v>
      </c>
      <c r="AE109" s="46" t="s">
        <v>41</v>
      </c>
      <c r="AF109" s="46" t="s">
        <v>41</v>
      </c>
      <c r="AG109" s="46" t="s">
        <v>41</v>
      </c>
      <c r="AH109" s="46" t="s">
        <v>37</v>
      </c>
      <c r="AI109" s="46" t="s">
        <v>41</v>
      </c>
      <c r="AJ109" s="46">
        <f>=SUM(E110:AI110)</f>
      </c>
      <c r="AK109" s="46">
        <f>=+AY109</f>
      </c>
      <c r="AL109" s="46"/>
      <c r="AM109" s="1"/>
      <c r="AN109" s="1">
        <f>=COUNTIF(E109:AI109,"A")+COUNTIF(E109:AI109,"B")+COUNTIF(E109:AI109,"C")+COUNTIF(E109:AI109,"D")+COUNTIF(E109:AI109,"E")+COUNTIF(E109:AI109,"F")+COUNTIF(E109:AI109,"M")+COUNTIF(E109:AI109,"AB")+COUNTIF(E109:AI109,"UZ")+COUNTIF(E109:AI109,"G")+(COUNTIF(E109:AI109,"RT.")/2)+(COUNTIF(E109:AI109,"ÇRT.")/2)</f>
      </c>
      <c r="AO109" s="1">
        <f>=COUNTIF(E109:AI109,"O")</f>
      </c>
      <c r="AP109" s="1">
        <f>=COUNTIF(E109:AI109,"RT")+(COUNTIF(E109:AI109,"RT.")/2)</f>
      </c>
      <c r="AQ109" s="1">
        <f>=COUNTIF(E109:AI109,"ÇRT")+(COUNTIF(E109:AI109,"ÇRT.")/2)</f>
      </c>
      <c r="AR109" s="1">
        <f>=COUNTIF(E109:AI109,"ÇHT")</f>
      </c>
      <c r="AS109" s="1">
        <f>=COUNTIF(E109:AI109,"Ö")+COUNTIF(E109:AI109,"T")</f>
      </c>
      <c r="AT109" s="1">
        <f>=COUNTIF(E109:AI109,"Y")</f>
      </c>
      <c r="AU109" s="1">
        <f>=COUNTIF(E109:AI109,"R.")</f>
      </c>
      <c r="AV109" s="1">
        <f>=COUNTIF(E109:AI109,"Ü")</f>
      </c>
      <c r="AW109" s="1">
        <f>=COUNTIF(E109:AI109,"R")</f>
      </c>
      <c r="AX109" s="1">
        <f>=COUNTIF(E109:AI109,"DV")</f>
      </c>
      <c r="AY109" s="1">
        <f>=+AN109+AO109+AP109+AQ109+AR109+AS109+AT109+AU109</f>
      </c>
    </row>
    <row r="110" ht="16" customHeight="1" spans="1:51" x14ac:dyDescent="0.25">
      <c r="A110" s="45"/>
      <c r="B110" s="46"/>
      <c r="C110" s="46"/>
      <c r="D110" s="46" t="s">
        <v>33</v>
      </c>
      <c r="E110" s="46"/>
      <c r="F110" s="46"/>
      <c r="G110" s="46"/>
      <c r="H110" s="46"/>
      <c r="I110" s="46">
        <v>2</v>
      </c>
      <c r="J110" s="46">
        <v>2</v>
      </c>
      <c r="K110" s="46"/>
      <c r="L110" s="46"/>
      <c r="M110" s="46"/>
      <c r="N110" s="46"/>
      <c r="O110" s="46"/>
      <c r="P110" s="46">
        <v>2</v>
      </c>
      <c r="Q110" s="46">
        <v>2</v>
      </c>
      <c r="R110" s="46"/>
      <c r="S110" s="46"/>
      <c r="T110" s="46"/>
      <c r="U110" s="46"/>
      <c r="V110" s="46"/>
      <c r="W110" s="46">
        <v>2</v>
      </c>
      <c r="X110" s="46">
        <v>2</v>
      </c>
      <c r="Y110" s="46"/>
      <c r="Z110" s="46"/>
      <c r="AA110" s="46"/>
      <c r="AB110" s="46"/>
      <c r="AC110" s="46"/>
      <c r="AD110" s="46">
        <v>2</v>
      </c>
      <c r="AE110" s="46">
        <v>2</v>
      </c>
      <c r="AF110" s="46">
        <v>2</v>
      </c>
      <c r="AG110" s="46"/>
      <c r="AH110" s="46"/>
      <c r="AI110" s="46"/>
      <c r="AJ110" s="46"/>
      <c r="AK110" s="46"/>
      <c r="AL110" s="46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ht="16" customHeight="1" spans="1:51" x14ac:dyDescent="0.25">
      <c r="A111" s="45"/>
      <c r="B111" s="46" t="s">
        <v>143</v>
      </c>
      <c r="C111" s="46" t="s">
        <v>144</v>
      </c>
      <c r="D111" s="46" t="s">
        <v>29</v>
      </c>
      <c r="E111" s="46" t="s">
        <v>36</v>
      </c>
      <c r="F111" s="46" t="s">
        <v>36</v>
      </c>
      <c r="G111" s="46" t="s">
        <v>37</v>
      </c>
      <c r="H111" s="46" t="s">
        <v>36</v>
      </c>
      <c r="I111" s="46" t="s">
        <v>36</v>
      </c>
      <c r="J111" s="46" t="s">
        <v>36</v>
      </c>
      <c r="K111" s="46" t="s">
        <v>36</v>
      </c>
      <c r="L111" s="46" t="s">
        <v>36</v>
      </c>
      <c r="M111" s="46" t="s">
        <v>36</v>
      </c>
      <c r="N111" s="46" t="s">
        <v>37</v>
      </c>
      <c r="O111" s="46" t="s">
        <v>36</v>
      </c>
      <c r="P111" s="46" t="s">
        <v>36</v>
      </c>
      <c r="Q111" s="46" t="s">
        <v>36</v>
      </c>
      <c r="R111" s="46" t="s">
        <v>36</v>
      </c>
      <c r="S111" s="46" t="s">
        <v>36</v>
      </c>
      <c r="T111" s="46" t="s">
        <v>36</v>
      </c>
      <c r="U111" s="46" t="s">
        <v>37</v>
      </c>
      <c r="V111" s="46" t="s">
        <v>41</v>
      </c>
      <c r="W111" s="46" t="s">
        <v>41</v>
      </c>
      <c r="X111" s="46" t="s">
        <v>41</v>
      </c>
      <c r="Y111" s="46" t="s">
        <v>41</v>
      </c>
      <c r="Z111" s="46" t="s">
        <v>41</v>
      </c>
      <c r="AA111" s="46" t="s">
        <v>41</v>
      </c>
      <c r="AB111" s="46" t="s">
        <v>37</v>
      </c>
      <c r="AC111" s="46" t="s">
        <v>59</v>
      </c>
      <c r="AD111" s="46" t="s">
        <v>59</v>
      </c>
      <c r="AE111" s="46" t="s">
        <v>59</v>
      </c>
      <c r="AF111" s="46" t="s">
        <v>59</v>
      </c>
      <c r="AG111" s="46" t="s">
        <v>59</v>
      </c>
      <c r="AH111" s="46" t="s">
        <v>43</v>
      </c>
      <c r="AI111" s="46" t="s">
        <v>37</v>
      </c>
      <c r="AJ111" s="46">
        <f>=SUM(E112:AI112)</f>
      </c>
      <c r="AK111" s="46">
        <f>=+AY111</f>
      </c>
      <c r="AL111" s="46"/>
      <c r="AM111" s="1"/>
      <c r="AN111" s="1">
        <f>=COUNTIF(E111:AI111,"A")+COUNTIF(E111:AI111,"B")+COUNTIF(E111:AI111,"C")+COUNTIF(E111:AI111,"D")+COUNTIF(E111:AI111,"E")+COUNTIF(E111:AI111,"F")+COUNTIF(E111:AI111,"M")+COUNTIF(E111:AI111,"AB")+COUNTIF(E111:AI111,"UZ")+COUNTIF(E111:AI111,"G")+(COUNTIF(E111:AI111,"RT.")/2)+(COUNTIF(E111:AI111,"ÇRT.")/2)</f>
      </c>
      <c r="AO111" s="1">
        <f>=COUNTIF(E111:AI111,"O")</f>
      </c>
      <c r="AP111" s="1">
        <f>=COUNTIF(E111:AI111,"RT")+(COUNTIF(E111:AI111,"RT.")/2)</f>
      </c>
      <c r="AQ111" s="1">
        <f>=COUNTIF(E111:AI111,"ÇRT")+(COUNTIF(E111:AI111,"ÇRT.")/2)</f>
      </c>
      <c r="AR111" s="1">
        <f>=COUNTIF(E111:AI111,"ÇHT")</f>
      </c>
      <c r="AS111" s="1">
        <f>=COUNTIF(E111:AI111,"Ö")+COUNTIF(E111:AI111,"T")</f>
      </c>
      <c r="AT111" s="1">
        <f>=COUNTIF(E111:AI111,"Y")</f>
      </c>
      <c r="AU111" s="1">
        <f>=COUNTIF(E111:AI111,"R.")</f>
      </c>
      <c r="AV111" s="1">
        <f>=COUNTIF(E111:AI111,"Ü")</f>
      </c>
      <c r="AW111" s="1">
        <f>=COUNTIF(E111:AI111,"R")</f>
      </c>
      <c r="AX111" s="1">
        <f>=COUNTIF(E111:AI111,"DV")</f>
      </c>
      <c r="AY111" s="1">
        <f>=+AN111+AO111+AP111+AQ111+AR111+AS111+AT111+AU111</f>
      </c>
    </row>
    <row r="112" ht="16" customHeight="1" spans="1:51" x14ac:dyDescent="0.25">
      <c r="A112" s="45"/>
      <c r="B112" s="46"/>
      <c r="C112" s="46"/>
      <c r="D112" s="46" t="s">
        <v>33</v>
      </c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  <c r="AE112" s="46"/>
      <c r="AF112" s="46"/>
      <c r="AG112" s="46"/>
      <c r="AH112" s="46"/>
      <c r="AI112" s="46"/>
      <c r="AJ112" s="46"/>
      <c r="AK112" s="46"/>
      <c r="AL112" s="46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ht="16" customHeight="1" spans="1:51" x14ac:dyDescent="0.25">
      <c r="A113" s="45"/>
      <c r="B113" s="46" t="s">
        <v>145</v>
      </c>
      <c r="C113" s="46" t="s">
        <v>146</v>
      </c>
      <c r="D113" s="46" t="s">
        <v>29</v>
      </c>
      <c r="E113" s="46" t="s">
        <v>36</v>
      </c>
      <c r="F113" s="46" t="s">
        <v>36</v>
      </c>
      <c r="G113" s="46" t="s">
        <v>37</v>
      </c>
      <c r="H113" s="46" t="s">
        <v>36</v>
      </c>
      <c r="I113" s="46" t="s">
        <v>36</v>
      </c>
      <c r="J113" s="46" t="s">
        <v>36</v>
      </c>
      <c r="K113" s="46" t="s">
        <v>36</v>
      </c>
      <c r="L113" s="46" t="s">
        <v>36</v>
      </c>
      <c r="M113" s="46" t="s">
        <v>36</v>
      </c>
      <c r="N113" s="46" t="s">
        <v>37</v>
      </c>
      <c r="O113" s="46" t="s">
        <v>36</v>
      </c>
      <c r="P113" s="46" t="s">
        <v>36</v>
      </c>
      <c r="Q113" s="46" t="s">
        <v>36</v>
      </c>
      <c r="R113" s="46" t="s">
        <v>36</v>
      </c>
      <c r="S113" s="46" t="s">
        <v>36</v>
      </c>
      <c r="T113" s="46" t="s">
        <v>36</v>
      </c>
      <c r="U113" s="46" t="s">
        <v>37</v>
      </c>
      <c r="V113" s="46" t="s">
        <v>31</v>
      </c>
      <c r="W113" s="46" t="s">
        <v>36</v>
      </c>
      <c r="X113" s="46" t="s">
        <v>31</v>
      </c>
      <c r="Y113" s="46" t="s">
        <v>36</v>
      </c>
      <c r="Z113" s="46" t="s">
        <v>36</v>
      </c>
      <c r="AA113" s="46" t="s">
        <v>36</v>
      </c>
      <c r="AB113" s="46" t="s">
        <v>37</v>
      </c>
      <c r="AC113" s="46" t="s">
        <v>36</v>
      </c>
      <c r="AD113" s="46" t="s">
        <v>36</v>
      </c>
      <c r="AE113" s="46" t="s">
        <v>36</v>
      </c>
      <c r="AF113" s="46" t="s">
        <v>36</v>
      </c>
      <c r="AG113" s="46" t="s">
        <v>36</v>
      </c>
      <c r="AH113" s="46" t="s">
        <v>43</v>
      </c>
      <c r="AI113" s="46" t="s">
        <v>37</v>
      </c>
      <c r="AJ113" s="46">
        <f>=SUM(E114:AI114)</f>
      </c>
      <c r="AK113" s="46">
        <f>=+AY113</f>
      </c>
      <c r="AL113" s="46"/>
      <c r="AM113" s="1"/>
      <c r="AN113" s="1">
        <f>=COUNTIF(E113:AI113,"A")+COUNTIF(E113:AI113,"B")+COUNTIF(E113:AI113,"C")+COUNTIF(E113:AI113,"D")+COUNTIF(E113:AI113,"E")+COUNTIF(E113:AI113,"F")+COUNTIF(E113:AI113,"M")+COUNTIF(E113:AI113,"AB")+COUNTIF(E113:AI113,"UZ")+COUNTIF(E113:AI113,"G")+(COUNTIF(E113:AI113,"RT.")/2)+(COUNTIF(E113:AI113,"ÇRT.")/2)</f>
      </c>
      <c r="AO113" s="1">
        <f>=COUNTIF(E113:AI113,"O")</f>
      </c>
      <c r="AP113" s="1">
        <f>=COUNTIF(E113:AI113,"RT")+(COUNTIF(E113:AI113,"RT.")/2)</f>
      </c>
      <c r="AQ113" s="1">
        <f>=COUNTIF(E113:AI113,"ÇRT")+(COUNTIF(E113:AI113,"ÇRT.")/2)</f>
      </c>
      <c r="AR113" s="1">
        <f>=COUNTIF(E113:AI113,"ÇHT")</f>
      </c>
      <c r="AS113" s="1">
        <f>=COUNTIF(E113:AI113,"Ö")+COUNTIF(E113:AI113,"T")</f>
      </c>
      <c r="AT113" s="1">
        <f>=COUNTIF(E113:AI113,"Y")</f>
      </c>
      <c r="AU113" s="1">
        <f>=COUNTIF(E113:AI113,"R.")</f>
      </c>
      <c r="AV113" s="1">
        <f>=COUNTIF(E113:AI113,"Ü")</f>
      </c>
      <c r="AW113" s="1">
        <f>=COUNTIF(E113:AI113,"R")</f>
      </c>
      <c r="AX113" s="1">
        <f>=COUNTIF(E113:AI113,"DV")</f>
      </c>
      <c r="AY113" s="1">
        <f>=+AN113+AO113+AP113+AQ113+AR113+AS113+AT113+AU113</f>
      </c>
    </row>
    <row r="114" ht="16" customHeight="1" spans="1:51" x14ac:dyDescent="0.25">
      <c r="A114" s="45"/>
      <c r="B114" s="46"/>
      <c r="C114" s="46"/>
      <c r="D114" s="46" t="s">
        <v>33</v>
      </c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  <c r="AE114" s="46"/>
      <c r="AF114" s="46"/>
      <c r="AG114" s="46"/>
      <c r="AH114" s="46"/>
      <c r="AI114" s="46"/>
      <c r="AJ114" s="46"/>
      <c r="AK114" s="46"/>
      <c r="AL114" s="46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ht="16" customHeight="1" spans="1:51" x14ac:dyDescent="0.25">
      <c r="A115" s="45"/>
      <c r="B115" s="46" t="s">
        <v>147</v>
      </c>
      <c r="C115" s="46" t="s">
        <v>148</v>
      </c>
      <c r="D115" s="46" t="s">
        <v>29</v>
      </c>
      <c r="E115" s="46" t="s">
        <v>42</v>
      </c>
      <c r="F115" s="46" t="s">
        <v>42</v>
      </c>
      <c r="G115" s="46" t="s">
        <v>37</v>
      </c>
      <c r="H115" s="46" t="s">
        <v>42</v>
      </c>
      <c r="I115" s="46" t="s">
        <v>42</v>
      </c>
      <c r="J115" s="46" t="s">
        <v>42</v>
      </c>
      <c r="K115" s="46" t="s">
        <v>42</v>
      </c>
      <c r="L115" s="46" t="s">
        <v>42</v>
      </c>
      <c r="M115" s="46" t="s">
        <v>42</v>
      </c>
      <c r="N115" s="46" t="s">
        <v>37</v>
      </c>
      <c r="O115" s="46" t="s">
        <v>42</v>
      </c>
      <c r="P115" s="46" t="s">
        <v>42</v>
      </c>
      <c r="Q115" s="46" t="s">
        <v>42</v>
      </c>
      <c r="R115" s="46" t="s">
        <v>42</v>
      </c>
      <c r="S115" s="46" t="s">
        <v>42</v>
      </c>
      <c r="T115" s="46" t="s">
        <v>42</v>
      </c>
      <c r="U115" s="46" t="s">
        <v>37</v>
      </c>
      <c r="V115" s="46" t="s">
        <v>42</v>
      </c>
      <c r="W115" s="46" t="s">
        <v>42</v>
      </c>
      <c r="X115" s="46" t="s">
        <v>42</v>
      </c>
      <c r="Y115" s="46" t="s">
        <v>42</v>
      </c>
      <c r="Z115" s="46" t="s">
        <v>42</v>
      </c>
      <c r="AA115" s="46" t="s">
        <v>42</v>
      </c>
      <c r="AB115" s="46" t="s">
        <v>37</v>
      </c>
      <c r="AC115" s="46" t="s">
        <v>42</v>
      </c>
      <c r="AD115" s="46" t="s">
        <v>42</v>
      </c>
      <c r="AE115" s="46" t="s">
        <v>42</v>
      </c>
      <c r="AF115" s="46" t="s">
        <v>42</v>
      </c>
      <c r="AG115" s="46" t="s">
        <v>42</v>
      </c>
      <c r="AH115" s="46" t="s">
        <v>43</v>
      </c>
      <c r="AI115" s="46" t="s">
        <v>37</v>
      </c>
      <c r="AJ115" s="46">
        <f>=SUM(E116:AI116)</f>
      </c>
      <c r="AK115" s="46">
        <f>=+AY115</f>
      </c>
      <c r="AL115" s="46"/>
      <c r="AM115" s="1"/>
      <c r="AN115" s="1">
        <f>=COUNTIF(E115:AI115,"A")+COUNTIF(E115:AI115,"B")+COUNTIF(E115:AI115,"C")+COUNTIF(E115:AI115,"D")+COUNTIF(E115:AI115,"E")+COUNTIF(E115:AI115,"F")+COUNTIF(E115:AI115,"M")+COUNTIF(E115:AI115,"AB")+COUNTIF(E115:AI115,"UZ")+COUNTIF(E115:AI115,"G")+(COUNTIF(E115:AI115,"RT.")/2)+(COUNTIF(E115:AI115,"ÇRT.")/2)</f>
      </c>
      <c r="AO115" s="1">
        <f>=COUNTIF(E115:AI115,"O")</f>
      </c>
      <c r="AP115" s="1">
        <f>=COUNTIF(E115:AI115,"RT")+(COUNTIF(E115:AI115,"RT.")/2)</f>
      </c>
      <c r="AQ115" s="1">
        <f>=COUNTIF(E115:AI115,"ÇRT")+(COUNTIF(E115:AI115,"ÇRT.")/2)</f>
      </c>
      <c r="AR115" s="1">
        <f>=COUNTIF(E115:AI115,"ÇHT")</f>
      </c>
      <c r="AS115" s="1">
        <f>=COUNTIF(E115:AI115,"Ö")+COUNTIF(E115:AI115,"T")</f>
      </c>
      <c r="AT115" s="1">
        <f>=COUNTIF(E115:AI115,"Y")</f>
      </c>
      <c r="AU115" s="1">
        <f>=COUNTIF(E115:AI115,"R.")</f>
      </c>
      <c r="AV115" s="1">
        <f>=COUNTIF(E115:AI115,"Ü")</f>
      </c>
      <c r="AW115" s="1">
        <f>=COUNTIF(E115:AI115,"R")</f>
      </c>
      <c r="AX115" s="1">
        <f>=COUNTIF(E115:AI115,"DV")</f>
      </c>
      <c r="AY115" s="1">
        <f>=+AN115+AO115+AP115+AQ115+AR115+AS115+AT115+AU115</f>
      </c>
    </row>
    <row r="116" ht="16" customHeight="1" spans="1:51" x14ac:dyDescent="0.25">
      <c r="A116" s="45"/>
      <c r="B116" s="46"/>
      <c r="C116" s="46"/>
      <c r="D116" s="46" t="s">
        <v>33</v>
      </c>
      <c r="E116" s="46"/>
      <c r="F116" s="46"/>
      <c r="G116" s="46"/>
      <c r="H116" s="46">
        <v>1</v>
      </c>
      <c r="I116" s="46">
        <v>1</v>
      </c>
      <c r="J116" s="46">
        <v>1</v>
      </c>
      <c r="K116" s="46">
        <v>1</v>
      </c>
      <c r="L116" s="46">
        <v>1</v>
      </c>
      <c r="M116" s="46">
        <v>1</v>
      </c>
      <c r="N116" s="46"/>
      <c r="O116" s="46">
        <v>1</v>
      </c>
      <c r="P116" s="46">
        <v>1</v>
      </c>
      <c r="Q116" s="46">
        <v>1</v>
      </c>
      <c r="R116" s="46">
        <v>1</v>
      </c>
      <c r="S116" s="46">
        <v>1</v>
      </c>
      <c r="T116" s="46">
        <v>1</v>
      </c>
      <c r="U116" s="46"/>
      <c r="V116" s="46">
        <v>1</v>
      </c>
      <c r="W116" s="46">
        <v>1</v>
      </c>
      <c r="X116" s="46">
        <v>1</v>
      </c>
      <c r="Y116" s="46">
        <v>1</v>
      </c>
      <c r="Z116" s="46">
        <v>1</v>
      </c>
      <c r="AA116" s="46">
        <v>1</v>
      </c>
      <c r="AB116" s="46"/>
      <c r="AC116" s="46">
        <v>1</v>
      </c>
      <c r="AD116" s="46">
        <v>1</v>
      </c>
      <c r="AE116" s="46">
        <v>1</v>
      </c>
      <c r="AF116" s="46">
        <v>1</v>
      </c>
      <c r="AG116" s="46">
        <v>1</v>
      </c>
      <c r="AH116" s="46">
        <v>1</v>
      </c>
      <c r="AI116" s="46"/>
      <c r="AJ116" s="46"/>
      <c r="AK116" s="46"/>
      <c r="AL116" s="46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ht="16" customHeight="1" spans="1:51" x14ac:dyDescent="0.25">
      <c r="A117" s="45"/>
      <c r="B117" s="46" t="s">
        <v>149</v>
      </c>
      <c r="C117" s="46" t="s">
        <v>150</v>
      </c>
      <c r="D117" s="46" t="s">
        <v>29</v>
      </c>
      <c r="E117" s="46" t="s">
        <v>46</v>
      </c>
      <c r="F117" s="46" t="s">
        <v>46</v>
      </c>
      <c r="G117" s="46" t="s">
        <v>46</v>
      </c>
      <c r="H117" s="46" t="s">
        <v>46</v>
      </c>
      <c r="I117" s="46" t="s">
        <v>37</v>
      </c>
      <c r="J117" s="46" t="s">
        <v>46</v>
      </c>
      <c r="K117" s="46" t="s">
        <v>46</v>
      </c>
      <c r="L117" s="46" t="s">
        <v>46</v>
      </c>
      <c r="M117" s="46" t="s">
        <v>46</v>
      </c>
      <c r="N117" s="46" t="s">
        <v>46</v>
      </c>
      <c r="O117" s="46" t="s">
        <v>46</v>
      </c>
      <c r="P117" s="46" t="s">
        <v>37</v>
      </c>
      <c r="Q117" s="46" t="s">
        <v>46</v>
      </c>
      <c r="R117" s="46" t="s">
        <v>46</v>
      </c>
      <c r="S117" s="46" t="s">
        <v>46</v>
      </c>
      <c r="T117" s="46" t="s">
        <v>46</v>
      </c>
      <c r="U117" s="46" t="s">
        <v>46</v>
      </c>
      <c r="V117" s="46" t="s">
        <v>46</v>
      </c>
      <c r="W117" s="46" t="s">
        <v>37</v>
      </c>
      <c r="X117" s="46" t="s">
        <v>46</v>
      </c>
      <c r="Y117" s="46" t="s">
        <v>46</v>
      </c>
      <c r="Z117" s="46" t="s">
        <v>46</v>
      </c>
      <c r="AA117" s="46" t="s">
        <v>46</v>
      </c>
      <c r="AB117" s="46" t="s">
        <v>46</v>
      </c>
      <c r="AC117" s="46" t="s">
        <v>46</v>
      </c>
      <c r="AD117" s="46" t="s">
        <v>36</v>
      </c>
      <c r="AE117" s="46" t="s">
        <v>37</v>
      </c>
      <c r="AF117" s="46" t="s">
        <v>36</v>
      </c>
      <c r="AG117" s="46" t="s">
        <v>36</v>
      </c>
      <c r="AH117" s="46" t="s">
        <v>43</v>
      </c>
      <c r="AI117" s="46" t="s">
        <v>46</v>
      </c>
      <c r="AJ117" s="46">
        <f>=SUM(E118:AI118)</f>
      </c>
      <c r="AK117" s="46">
        <f>=+AY117</f>
      </c>
      <c r="AL117" s="46"/>
      <c r="AM117" s="1"/>
      <c r="AN117" s="1">
        <f>=COUNTIF(E117:AI117,"A")+COUNTIF(E117:AI117,"B")+COUNTIF(E117:AI117,"C")+COUNTIF(E117:AI117,"D")+COUNTIF(E117:AI117,"E")+COUNTIF(E117:AI117,"F")+COUNTIF(E117:AI117,"M")+COUNTIF(E117:AI117,"AB")+COUNTIF(E117:AI117,"UZ")+COUNTIF(E117:AI117,"G")+(COUNTIF(E117:AI117,"RT.")/2)+(COUNTIF(E117:AI117,"ÇRT.")/2)</f>
      </c>
      <c r="AO117" s="1">
        <f>=COUNTIF(E117:AI117,"O")</f>
      </c>
      <c r="AP117" s="1">
        <f>=COUNTIF(E117:AI117,"RT")+(COUNTIF(E117:AI117,"RT.")/2)</f>
      </c>
      <c r="AQ117" s="1">
        <f>=COUNTIF(E117:AI117,"ÇRT")+(COUNTIF(E117:AI117,"ÇRT.")/2)</f>
      </c>
      <c r="AR117" s="1">
        <f>=COUNTIF(E117:AI117,"ÇHT")</f>
      </c>
      <c r="AS117" s="1">
        <f>=COUNTIF(E117:AI117,"Ö")+COUNTIF(E117:AI117,"T")</f>
      </c>
      <c r="AT117" s="1">
        <f>=COUNTIF(E117:AI117,"Y")</f>
      </c>
      <c r="AU117" s="1">
        <f>=COUNTIF(E117:AI117,"R.")</f>
      </c>
      <c r="AV117" s="1">
        <f>=COUNTIF(E117:AI117,"Ü")</f>
      </c>
      <c r="AW117" s="1">
        <f>=COUNTIF(E117:AI117,"R")</f>
      </c>
      <c r="AX117" s="1">
        <f>=COUNTIF(E117:AI117,"DV")</f>
      </c>
      <c r="AY117" s="1">
        <f>=+AN117+AO117+AP117+AQ117+AR117+AS117+AT117+AU117</f>
      </c>
    </row>
    <row r="118" ht="16" customHeight="1" spans="1:51" x14ac:dyDescent="0.25">
      <c r="A118" s="45"/>
      <c r="B118" s="46"/>
      <c r="C118" s="46"/>
      <c r="D118" s="46" t="s">
        <v>33</v>
      </c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  <c r="AE118" s="46"/>
      <c r="AF118" s="46">
        <v>2</v>
      </c>
      <c r="AG118" s="46">
        <v>2</v>
      </c>
      <c r="AH118" s="46">
        <v>2</v>
      </c>
      <c r="AI118" s="46"/>
      <c r="AJ118" s="46"/>
      <c r="AK118" s="46"/>
      <c r="AL118" s="46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ht="16" customHeight="1" spans="1:51" x14ac:dyDescent="0.25">
      <c r="A119" s="45"/>
      <c r="B119" s="46" t="s">
        <v>151</v>
      </c>
      <c r="C119" s="46" t="s">
        <v>152</v>
      </c>
      <c r="D119" s="46" t="s">
        <v>29</v>
      </c>
      <c r="E119" s="46" t="s">
        <v>37</v>
      </c>
      <c r="F119" s="46" t="s">
        <v>36</v>
      </c>
      <c r="G119" s="46" t="s">
        <v>36</v>
      </c>
      <c r="H119" s="46" t="s">
        <v>36</v>
      </c>
      <c r="I119" s="46" t="s">
        <v>36</v>
      </c>
      <c r="J119" s="46" t="s">
        <v>36</v>
      </c>
      <c r="K119" s="46" t="s">
        <v>36</v>
      </c>
      <c r="L119" s="46" t="s">
        <v>37</v>
      </c>
      <c r="M119" s="46" t="s">
        <v>36</v>
      </c>
      <c r="N119" s="46" t="s">
        <v>31</v>
      </c>
      <c r="O119" s="46" t="s">
        <v>31</v>
      </c>
      <c r="P119" s="46" t="s">
        <v>31</v>
      </c>
      <c r="Q119" s="46" t="s">
        <v>31</v>
      </c>
      <c r="R119" s="46" t="s">
        <v>36</v>
      </c>
      <c r="S119" s="46" t="s">
        <v>37</v>
      </c>
      <c r="T119" s="46" t="s">
        <v>36</v>
      </c>
      <c r="U119" s="46" t="s">
        <v>36</v>
      </c>
      <c r="V119" s="46" t="s">
        <v>36</v>
      </c>
      <c r="W119" s="46" t="s">
        <v>36</v>
      </c>
      <c r="X119" s="46" t="s">
        <v>153</v>
      </c>
      <c r="Y119" s="46" t="s">
        <v>31</v>
      </c>
      <c r="Z119" s="46" t="s">
        <v>31</v>
      </c>
      <c r="AA119" s="46" t="s">
        <v>32</v>
      </c>
      <c r="AB119" s="46" t="s">
        <v>32</v>
      </c>
      <c r="AC119" s="46" t="s">
        <v>32</v>
      </c>
      <c r="AD119" s="46" t="s">
        <v>32</v>
      </c>
      <c r="AE119" s="46" t="s">
        <v>32</v>
      </c>
      <c r="AF119" s="46" t="s">
        <v>31</v>
      </c>
      <c r="AG119" s="46" t="s">
        <v>37</v>
      </c>
      <c r="AH119" s="46" t="s">
        <v>154</v>
      </c>
      <c r="AI119" s="46" t="s">
        <v>31</v>
      </c>
      <c r="AJ119" s="46">
        <f>=SUM(E120:AI120)</f>
      </c>
      <c r="AK119" s="46">
        <f>=+AY119</f>
      </c>
      <c r="AL119" s="46"/>
      <c r="AM119" s="1"/>
      <c r="AN119" s="1">
        <f>=COUNTIF(E119:AI119,"A")+COUNTIF(E119:AI119,"B")+COUNTIF(E119:AI119,"C")+COUNTIF(E119:AI119,"D")+COUNTIF(E119:AI119,"E")+COUNTIF(E119:AI119,"F")+COUNTIF(E119:AI119,"M")+COUNTIF(E119:AI119,"AB")+COUNTIF(E119:AI119,"UZ")+COUNTIF(E119:AI119,"G")+(COUNTIF(E119:AI119,"RT.")/2)+(COUNTIF(E119:AI119,"ÇRT.")/2)</f>
      </c>
      <c r="AO119" s="1">
        <f>=COUNTIF(E119:AI119,"O")</f>
      </c>
      <c r="AP119" s="1">
        <f>=COUNTIF(E119:AI119,"RT")+(COUNTIF(E119:AI119,"RT.")/2)</f>
      </c>
      <c r="AQ119" s="1">
        <f>=COUNTIF(E119:AI119,"ÇRT")+(COUNTIF(E119:AI119,"ÇRT.")/2)</f>
      </c>
      <c r="AR119" s="1">
        <f>=COUNTIF(E119:AI119,"ÇHT")</f>
      </c>
      <c r="AS119" s="1">
        <f>=COUNTIF(E119:AI119,"Ö")+COUNTIF(E119:AI119,"T")</f>
      </c>
      <c r="AT119" s="1">
        <f>=COUNTIF(E119:AI119,"Y")</f>
      </c>
      <c r="AU119" s="1">
        <f>=COUNTIF(E119:AI119,"R.")</f>
      </c>
      <c r="AV119" s="1">
        <f>=COUNTIF(E119:AI119,"Ü")</f>
      </c>
      <c r="AW119" s="1">
        <f>=COUNTIF(E119:AI119,"R")</f>
      </c>
      <c r="AX119" s="1">
        <f>=COUNTIF(E119:AI119,"DV")</f>
      </c>
      <c r="AY119" s="1">
        <f>=+AN119+AO119+AP119+AQ119+AR119+AS119+AT119+AU119</f>
      </c>
    </row>
    <row r="120" ht="16" customHeight="1" spans="1:51" x14ac:dyDescent="0.25">
      <c r="A120" s="45"/>
      <c r="B120" s="46"/>
      <c r="C120" s="46"/>
      <c r="D120" s="46" t="s">
        <v>33</v>
      </c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  <c r="AE120" s="46"/>
      <c r="AF120" s="46"/>
      <c r="AG120" s="46"/>
      <c r="AH120" s="46"/>
      <c r="AI120" s="46"/>
      <c r="AJ120" s="46"/>
      <c r="AK120" s="46"/>
      <c r="AL120" s="46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ht="16" customHeight="1" spans="1:51" x14ac:dyDescent="0.25">
      <c r="A121" s="45"/>
      <c r="B121" s="46" t="s">
        <v>155</v>
      </c>
      <c r="C121" s="46" t="s">
        <v>156</v>
      </c>
      <c r="D121" s="46" t="s">
        <v>29</v>
      </c>
      <c r="E121" s="46" t="s">
        <v>46</v>
      </c>
      <c r="F121" s="46" t="s">
        <v>37</v>
      </c>
      <c r="G121" s="46" t="s">
        <v>46</v>
      </c>
      <c r="H121" s="46" t="s">
        <v>46</v>
      </c>
      <c r="I121" s="46" t="s">
        <v>46</v>
      </c>
      <c r="J121" s="46" t="s">
        <v>46</v>
      </c>
      <c r="K121" s="46" t="s">
        <v>46</v>
      </c>
      <c r="L121" s="46" t="s">
        <v>46</v>
      </c>
      <c r="M121" s="46" t="s">
        <v>37</v>
      </c>
      <c r="N121" s="46" t="s">
        <v>46</v>
      </c>
      <c r="O121" s="46" t="s">
        <v>46</v>
      </c>
      <c r="P121" s="46" t="s">
        <v>46</v>
      </c>
      <c r="Q121" s="46" t="s">
        <v>46</v>
      </c>
      <c r="R121" s="46" t="s">
        <v>46</v>
      </c>
      <c r="S121" s="46" t="s">
        <v>46</v>
      </c>
      <c r="T121" s="46" t="s">
        <v>37</v>
      </c>
      <c r="U121" s="46" t="s">
        <v>46</v>
      </c>
      <c r="V121" s="46" t="s">
        <v>46</v>
      </c>
      <c r="W121" s="46" t="s">
        <v>46</v>
      </c>
      <c r="X121" s="46" t="s">
        <v>46</v>
      </c>
      <c r="Y121" s="46" t="s">
        <v>46</v>
      </c>
      <c r="Z121" s="46" t="s">
        <v>46</v>
      </c>
      <c r="AA121" s="46" t="s">
        <v>37</v>
      </c>
      <c r="AB121" s="46" t="s">
        <v>46</v>
      </c>
      <c r="AC121" s="46" t="s">
        <v>36</v>
      </c>
      <c r="AD121" s="46" t="s">
        <v>46</v>
      </c>
      <c r="AE121" s="46" t="s">
        <v>46</v>
      </c>
      <c r="AF121" s="46" t="s">
        <v>36</v>
      </c>
      <c r="AG121" s="46" t="s">
        <v>46</v>
      </c>
      <c r="AH121" s="46" t="s">
        <v>37</v>
      </c>
      <c r="AI121" s="46" t="s">
        <v>36</v>
      </c>
      <c r="AJ121" s="46">
        <f>=SUM(E122:AI122)</f>
      </c>
      <c r="AK121" s="46">
        <f>=+AY121</f>
      </c>
      <c r="AL121" s="46"/>
      <c r="AM121" s="1"/>
      <c r="AN121" s="1">
        <f>=COUNTIF(E121:AI121,"A")+COUNTIF(E121:AI121,"B")+COUNTIF(E121:AI121,"C")+COUNTIF(E121:AI121,"D")+COUNTIF(E121:AI121,"E")+COUNTIF(E121:AI121,"F")+COUNTIF(E121:AI121,"M")+COUNTIF(E121:AI121,"AB")+COUNTIF(E121:AI121,"UZ")+COUNTIF(E121:AI121,"G")+(COUNTIF(E121:AI121,"RT.")/2)+(COUNTIF(E121:AI121,"ÇRT.")/2)</f>
      </c>
      <c r="AO121" s="1">
        <f>=COUNTIF(E121:AI121,"O")</f>
      </c>
      <c r="AP121" s="1">
        <f>=COUNTIF(E121:AI121,"RT")+(COUNTIF(E121:AI121,"RT.")/2)</f>
      </c>
      <c r="AQ121" s="1">
        <f>=COUNTIF(E121:AI121,"ÇRT")+(COUNTIF(E121:AI121,"ÇRT.")/2)</f>
      </c>
      <c r="AR121" s="1">
        <f>=COUNTIF(E121:AI121,"ÇHT")</f>
      </c>
      <c r="AS121" s="1">
        <f>=COUNTIF(E121:AI121,"Ö")+COUNTIF(E121:AI121,"T")</f>
      </c>
      <c r="AT121" s="1">
        <f>=COUNTIF(E121:AI121,"Y")</f>
      </c>
      <c r="AU121" s="1">
        <f>=COUNTIF(E121:AI121,"R.")</f>
      </c>
      <c r="AV121" s="1">
        <f>=COUNTIF(E121:AI121,"Ü")</f>
      </c>
      <c r="AW121" s="1">
        <f>=COUNTIF(E121:AI121,"R")</f>
      </c>
      <c r="AX121" s="1">
        <f>=COUNTIF(E121:AI121,"DV")</f>
      </c>
      <c r="AY121" s="1">
        <f>=+AN121+AO121+AP121+AQ121+AR121+AS121+AT121+AU121</f>
      </c>
    </row>
    <row r="122" ht="16" customHeight="1" spans="1:51" x14ac:dyDescent="0.25">
      <c r="A122" s="45"/>
      <c r="B122" s="46"/>
      <c r="C122" s="46"/>
      <c r="D122" s="46" t="s">
        <v>33</v>
      </c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>
        <v>2</v>
      </c>
      <c r="AC122" s="46">
        <v>2</v>
      </c>
      <c r="AD122" s="46">
        <v>2</v>
      </c>
      <c r="AE122" s="46"/>
      <c r="AF122" s="46"/>
      <c r="AG122" s="46"/>
      <c r="AH122" s="46"/>
      <c r="AI122" s="46"/>
      <c r="AJ122" s="46"/>
      <c r="AK122" s="46"/>
      <c r="AL122" s="46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ht="16" customHeight="1" spans="1:51" x14ac:dyDescent="0.25">
      <c r="A123" s="45"/>
      <c r="B123" s="46" t="s">
        <v>157</v>
      </c>
      <c r="C123" s="46" t="s">
        <v>158</v>
      </c>
      <c r="D123" s="46" t="s">
        <v>29</v>
      </c>
      <c r="E123" s="46" t="s">
        <v>42</v>
      </c>
      <c r="F123" s="46" t="s">
        <v>42</v>
      </c>
      <c r="G123" s="46" t="s">
        <v>37</v>
      </c>
      <c r="H123" s="46" t="s">
        <v>42</v>
      </c>
      <c r="I123" s="46" t="s">
        <v>42</v>
      </c>
      <c r="J123" s="46" t="s">
        <v>42</v>
      </c>
      <c r="K123" s="46" t="s">
        <v>42</v>
      </c>
      <c r="L123" s="46" t="s">
        <v>42</v>
      </c>
      <c r="M123" s="46" t="s">
        <v>42</v>
      </c>
      <c r="N123" s="46" t="s">
        <v>37</v>
      </c>
      <c r="O123" s="46" t="s">
        <v>42</v>
      </c>
      <c r="P123" s="46" t="s">
        <v>42</v>
      </c>
      <c r="Q123" s="46" t="s">
        <v>42</v>
      </c>
      <c r="R123" s="46" t="s">
        <v>42</v>
      </c>
      <c r="S123" s="46" t="s">
        <v>42</v>
      </c>
      <c r="T123" s="46" t="s">
        <v>42</v>
      </c>
      <c r="U123" s="46" t="s">
        <v>42</v>
      </c>
      <c r="V123" s="46" t="s">
        <v>37</v>
      </c>
      <c r="W123" s="46" t="s">
        <v>42</v>
      </c>
      <c r="X123" s="46" t="s">
        <v>42</v>
      </c>
      <c r="Y123" s="46" t="s">
        <v>42</v>
      </c>
      <c r="Z123" s="46" t="s">
        <v>42</v>
      </c>
      <c r="AA123" s="46" t="s">
        <v>42</v>
      </c>
      <c r="AB123" s="46" t="s">
        <v>37</v>
      </c>
      <c r="AC123" s="46" t="s">
        <v>42</v>
      </c>
      <c r="AD123" s="46" t="s">
        <v>42</v>
      </c>
      <c r="AE123" s="46" t="s">
        <v>42</v>
      </c>
      <c r="AF123" s="46" t="s">
        <v>42</v>
      </c>
      <c r="AG123" s="46" t="s">
        <v>42</v>
      </c>
      <c r="AH123" s="46" t="s">
        <v>43</v>
      </c>
      <c r="AI123" s="46" t="s">
        <v>42</v>
      </c>
      <c r="AJ123" s="46">
        <f>=SUM(E124:AI124)</f>
      </c>
      <c r="AK123" s="46">
        <f>=+AY123</f>
      </c>
      <c r="AL123" s="46"/>
      <c r="AM123" s="1"/>
      <c r="AN123" s="1">
        <f>=COUNTIF(E123:AI123,"A")+COUNTIF(E123:AI123,"B")+COUNTIF(E123:AI123,"C")+COUNTIF(E123:AI123,"D")+COUNTIF(E123:AI123,"E")+COUNTIF(E123:AI123,"F")+COUNTIF(E123:AI123,"M")+COUNTIF(E123:AI123,"AB")+COUNTIF(E123:AI123,"UZ")+COUNTIF(E123:AI123,"G")+(COUNTIF(E123:AI123,"RT.")/2)+(COUNTIF(E123:AI123,"ÇRT.")/2)</f>
      </c>
      <c r="AO123" s="1">
        <f>=COUNTIF(E123:AI123,"O")</f>
      </c>
      <c r="AP123" s="1">
        <f>=COUNTIF(E123:AI123,"RT")+(COUNTIF(E123:AI123,"RT.")/2)</f>
      </c>
      <c r="AQ123" s="1">
        <f>=COUNTIF(E123:AI123,"ÇRT")+(COUNTIF(E123:AI123,"ÇRT.")/2)</f>
      </c>
      <c r="AR123" s="1">
        <f>=COUNTIF(E123:AI123,"ÇHT")</f>
      </c>
      <c r="AS123" s="1">
        <f>=COUNTIF(E123:AI123,"Ö")+COUNTIF(E123:AI123,"T")</f>
      </c>
      <c r="AT123" s="1">
        <f>=COUNTIF(E123:AI123,"Y")</f>
      </c>
      <c r="AU123" s="1">
        <f>=COUNTIF(E123:AI123,"R.")</f>
      </c>
      <c r="AV123" s="1">
        <f>=COUNTIF(E123:AI123,"Ü")</f>
      </c>
      <c r="AW123" s="1">
        <f>=COUNTIF(E123:AI123,"R")</f>
      </c>
      <c r="AX123" s="1">
        <f>=COUNTIF(E123:AI123,"DV")</f>
      </c>
      <c r="AY123" s="1">
        <f>=+AN123+AO123+AP123+AQ123+AR123+AS123+AT123+AU123</f>
      </c>
    </row>
    <row r="124" ht="16" customHeight="1" spans="1:51" x14ac:dyDescent="0.25">
      <c r="A124" s="45"/>
      <c r="B124" s="46"/>
      <c r="C124" s="46"/>
      <c r="D124" s="46" t="s">
        <v>33</v>
      </c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  <c r="AL124" s="46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ht="16" customHeight="1" spans="1:51" x14ac:dyDescent="0.25">
      <c r="A125" s="45"/>
      <c r="B125" s="46" t="s">
        <v>159</v>
      </c>
      <c r="C125" s="46" t="s">
        <v>160</v>
      </c>
      <c r="D125" s="46" t="s">
        <v>29</v>
      </c>
      <c r="E125" s="46" t="s">
        <v>41</v>
      </c>
      <c r="F125" s="46" t="s">
        <v>37</v>
      </c>
      <c r="G125" s="46" t="s">
        <v>41</v>
      </c>
      <c r="H125" s="46" t="s">
        <v>41</v>
      </c>
      <c r="I125" s="46" t="s">
        <v>41</v>
      </c>
      <c r="J125" s="46" t="s">
        <v>42</v>
      </c>
      <c r="K125" s="46" t="s">
        <v>41</v>
      </c>
      <c r="L125" s="46" t="s">
        <v>41</v>
      </c>
      <c r="M125" s="46" t="s">
        <v>37</v>
      </c>
      <c r="N125" s="46" t="s">
        <v>41</v>
      </c>
      <c r="O125" s="46" t="s">
        <v>41</v>
      </c>
      <c r="P125" s="46" t="s">
        <v>41</v>
      </c>
      <c r="Q125" s="46" t="s">
        <v>42</v>
      </c>
      <c r="R125" s="46" t="s">
        <v>41</v>
      </c>
      <c r="S125" s="46" t="s">
        <v>41</v>
      </c>
      <c r="T125" s="46" t="s">
        <v>37</v>
      </c>
      <c r="U125" s="46" t="s">
        <v>41</v>
      </c>
      <c r="V125" s="46" t="s">
        <v>41</v>
      </c>
      <c r="W125" s="46" t="s">
        <v>41</v>
      </c>
      <c r="X125" s="46" t="s">
        <v>41</v>
      </c>
      <c r="Y125" s="46" t="s">
        <v>41</v>
      </c>
      <c r="Z125" s="46" t="s">
        <v>41</v>
      </c>
      <c r="AA125" s="46" t="s">
        <v>37</v>
      </c>
      <c r="AB125" s="46" t="s">
        <v>41</v>
      </c>
      <c r="AC125" s="46" t="s">
        <v>41</v>
      </c>
      <c r="AD125" s="46" t="s">
        <v>41</v>
      </c>
      <c r="AE125" s="46" t="s">
        <v>41</v>
      </c>
      <c r="AF125" s="46" t="s">
        <v>41</v>
      </c>
      <c r="AG125" s="46" t="s">
        <v>41</v>
      </c>
      <c r="AH125" s="46" t="s">
        <v>37</v>
      </c>
      <c r="AI125" s="46" t="s">
        <v>41</v>
      </c>
      <c r="AJ125" s="46">
        <f>=SUM(E126:AI126)</f>
      </c>
      <c r="AK125" s="46">
        <f>=+AY125</f>
      </c>
      <c r="AL125" s="46"/>
      <c r="AM125" s="1"/>
      <c r="AN125" s="1">
        <f>=COUNTIF(E125:AI125,"A")+COUNTIF(E125:AI125,"B")+COUNTIF(E125:AI125,"C")+COUNTIF(E125:AI125,"D")+COUNTIF(E125:AI125,"E")+COUNTIF(E125:AI125,"F")+COUNTIF(E125:AI125,"M")+COUNTIF(E125:AI125,"AB")+COUNTIF(E125:AI125,"UZ")+COUNTIF(E125:AI125,"G")+(COUNTIF(E125:AI125,"RT.")/2)+(COUNTIF(E125:AI125,"ÇRT.")/2)</f>
      </c>
      <c r="AO125" s="1">
        <f>=COUNTIF(E125:AI125,"O")</f>
      </c>
      <c r="AP125" s="1">
        <f>=COUNTIF(E125:AI125,"RT")+(COUNTIF(E125:AI125,"RT.")/2)</f>
      </c>
      <c r="AQ125" s="1">
        <f>=COUNTIF(E125:AI125,"ÇRT")+(COUNTIF(E125:AI125,"ÇRT.")/2)</f>
      </c>
      <c r="AR125" s="1">
        <f>=COUNTIF(E125:AI125,"ÇHT")</f>
      </c>
      <c r="AS125" s="1">
        <f>=COUNTIF(E125:AI125,"Ö")+COUNTIF(E125:AI125,"T")</f>
      </c>
      <c r="AT125" s="1">
        <f>=COUNTIF(E125:AI125,"Y")</f>
      </c>
      <c r="AU125" s="1">
        <f>=COUNTIF(E125:AI125,"R.")</f>
      </c>
      <c r="AV125" s="1">
        <f>=COUNTIF(E125:AI125,"Ü")</f>
      </c>
      <c r="AW125" s="1">
        <f>=COUNTIF(E125:AI125,"R")</f>
      </c>
      <c r="AX125" s="1">
        <f>=COUNTIF(E125:AI125,"DV")</f>
      </c>
      <c r="AY125" s="1">
        <f>=+AN125+AO125+AP125+AQ125+AR125+AS125+AT125+AU125</f>
      </c>
    </row>
    <row r="126" ht="16" customHeight="1" spans="1:51" x14ac:dyDescent="0.25">
      <c r="A126" s="45"/>
      <c r="B126" s="46"/>
      <c r="C126" s="46"/>
      <c r="D126" s="46" t="s">
        <v>33</v>
      </c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>
        <v>2</v>
      </c>
      <c r="R126" s="46"/>
      <c r="S126" s="46">
        <v>2</v>
      </c>
      <c r="T126" s="46"/>
      <c r="U126" s="46"/>
      <c r="V126" s="46"/>
      <c r="W126" s="46"/>
      <c r="X126" s="46">
        <v>2</v>
      </c>
      <c r="Y126" s="46"/>
      <c r="Z126" s="46"/>
      <c r="AA126" s="46"/>
      <c r="AB126" s="46"/>
      <c r="AC126" s="46"/>
      <c r="AD126" s="46"/>
      <c r="AE126" s="46">
        <v>2</v>
      </c>
      <c r="AF126" s="46"/>
      <c r="AG126" s="46"/>
      <c r="AH126" s="46"/>
      <c r="AI126" s="46"/>
      <c r="AJ126" s="46"/>
      <c r="AK126" s="46"/>
      <c r="AL126" s="46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ht="16" customHeight="1" spans="1:51" x14ac:dyDescent="0.25">
      <c r="A127" s="45"/>
      <c r="B127" s="46" t="s">
        <v>161</v>
      </c>
      <c r="C127" s="46" t="s">
        <v>162</v>
      </c>
      <c r="D127" s="46" t="s">
        <v>29</v>
      </c>
      <c r="E127" s="46" t="s">
        <v>36</v>
      </c>
      <c r="F127" s="46" t="s">
        <v>36</v>
      </c>
      <c r="G127" s="46" t="s">
        <v>36</v>
      </c>
      <c r="H127" s="46" t="s">
        <v>37</v>
      </c>
      <c r="I127" s="46" t="s">
        <v>36</v>
      </c>
      <c r="J127" s="46" t="s">
        <v>36</v>
      </c>
      <c r="K127" s="46" t="s">
        <v>36</v>
      </c>
      <c r="L127" s="46" t="s">
        <v>36</v>
      </c>
      <c r="M127" s="46" t="s">
        <v>36</v>
      </c>
      <c r="N127" s="46" t="s">
        <v>36</v>
      </c>
      <c r="O127" s="46" t="s">
        <v>37</v>
      </c>
      <c r="P127" s="46" t="s">
        <v>36</v>
      </c>
      <c r="Q127" s="46" t="s">
        <v>36</v>
      </c>
      <c r="R127" s="46" t="s">
        <v>36</v>
      </c>
      <c r="S127" s="46" t="s">
        <v>36</v>
      </c>
      <c r="T127" s="46" t="s">
        <v>36</v>
      </c>
      <c r="U127" s="46" t="s">
        <v>36</v>
      </c>
      <c r="V127" s="46" t="s">
        <v>37</v>
      </c>
      <c r="W127" s="46" t="s">
        <v>36</v>
      </c>
      <c r="X127" s="46" t="s">
        <v>36</v>
      </c>
      <c r="Y127" s="46" t="s">
        <v>36</v>
      </c>
      <c r="Z127" s="46" t="s">
        <v>36</v>
      </c>
      <c r="AA127" s="46" t="s">
        <v>36</v>
      </c>
      <c r="AB127" s="46" t="s">
        <v>36</v>
      </c>
      <c r="AC127" s="46" t="s">
        <v>37</v>
      </c>
      <c r="AD127" s="46" t="s">
        <v>36</v>
      </c>
      <c r="AE127" s="46" t="s">
        <v>36</v>
      </c>
      <c r="AF127" s="46" t="s">
        <v>36</v>
      </c>
      <c r="AG127" s="46" t="s">
        <v>36</v>
      </c>
      <c r="AH127" s="46" t="s">
        <v>43</v>
      </c>
      <c r="AI127" s="46" t="s">
        <v>36</v>
      </c>
      <c r="AJ127" s="46">
        <f>=SUM(E128:AI128)</f>
      </c>
      <c r="AK127" s="46">
        <f>=+AY127</f>
      </c>
      <c r="AL127" s="46"/>
      <c r="AM127" s="1"/>
      <c r="AN127" s="1">
        <f>=COUNTIF(E127:AI127,"A")+COUNTIF(E127:AI127,"B")+COUNTIF(E127:AI127,"C")+COUNTIF(E127:AI127,"D")+COUNTIF(E127:AI127,"E")+COUNTIF(E127:AI127,"F")+COUNTIF(E127:AI127,"M")+COUNTIF(E127:AI127,"AB")+COUNTIF(E127:AI127,"UZ")+COUNTIF(E127:AI127,"G")+(COUNTIF(E127:AI127,"RT.")/2)+(COUNTIF(E127:AI127,"ÇRT.")/2)</f>
      </c>
      <c r="AO127" s="1">
        <f>=COUNTIF(E127:AI127,"O")</f>
      </c>
      <c r="AP127" s="1">
        <f>=COUNTIF(E127:AI127,"RT")+(COUNTIF(E127:AI127,"RT.")/2)</f>
      </c>
      <c r="AQ127" s="1">
        <f>=COUNTIF(E127:AI127,"ÇRT")+(COUNTIF(E127:AI127,"ÇRT.")/2)</f>
      </c>
      <c r="AR127" s="1">
        <f>=COUNTIF(E127:AI127,"ÇHT")</f>
      </c>
      <c r="AS127" s="1">
        <f>=COUNTIF(E127:AI127,"Ö")+COUNTIF(E127:AI127,"T")</f>
      </c>
      <c r="AT127" s="1">
        <f>=COUNTIF(E127:AI127,"Y")</f>
      </c>
      <c r="AU127" s="1">
        <f>=COUNTIF(E127:AI127,"R.")</f>
      </c>
      <c r="AV127" s="1">
        <f>=COUNTIF(E127:AI127,"Ü")</f>
      </c>
      <c r="AW127" s="1">
        <f>=COUNTIF(E127:AI127,"R")</f>
      </c>
      <c r="AX127" s="1">
        <f>=COUNTIF(E127:AI127,"DV")</f>
      </c>
      <c r="AY127" s="1">
        <f>=+AN127+AO127+AP127+AQ127+AR127+AS127+AT127+AU127</f>
      </c>
    </row>
    <row r="128" ht="16" customHeight="1" spans="1:51" x14ac:dyDescent="0.25">
      <c r="A128" s="45"/>
      <c r="B128" s="46"/>
      <c r="C128" s="46"/>
      <c r="D128" s="46" t="s">
        <v>33</v>
      </c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  <c r="AE128" s="46"/>
      <c r="AF128" s="46"/>
      <c r="AG128" s="46"/>
      <c r="AH128" s="46"/>
      <c r="AI128" s="46"/>
      <c r="AJ128" s="46"/>
      <c r="AK128" s="46"/>
      <c r="AL128" s="46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ht="16" customHeight="1" spans="1:51" x14ac:dyDescent="0.25">
      <c r="A129" s="45"/>
      <c r="B129" s="46" t="s">
        <v>163</v>
      </c>
      <c r="C129" s="46" t="s">
        <v>164</v>
      </c>
      <c r="D129" s="46" t="s">
        <v>29</v>
      </c>
      <c r="E129" s="46" t="s">
        <v>36</v>
      </c>
      <c r="F129" s="46" t="s">
        <v>36</v>
      </c>
      <c r="G129" s="46" t="s">
        <v>36</v>
      </c>
      <c r="H129" s="46" t="s">
        <v>41</v>
      </c>
      <c r="I129" s="46" t="s">
        <v>42</v>
      </c>
      <c r="J129" s="46" t="s">
        <v>37</v>
      </c>
      <c r="K129" s="46" t="s">
        <v>36</v>
      </c>
      <c r="L129" s="46" t="s">
        <v>36</v>
      </c>
      <c r="M129" s="46" t="s">
        <v>36</v>
      </c>
      <c r="N129" s="46" t="s">
        <v>36</v>
      </c>
      <c r="O129" s="46" t="s">
        <v>41</v>
      </c>
      <c r="P129" s="46" t="s">
        <v>42</v>
      </c>
      <c r="Q129" s="46" t="s">
        <v>37</v>
      </c>
      <c r="R129" s="46" t="s">
        <v>36</v>
      </c>
      <c r="S129" s="46" t="s">
        <v>36</v>
      </c>
      <c r="T129" s="46" t="s">
        <v>36</v>
      </c>
      <c r="U129" s="46" t="s">
        <v>36</v>
      </c>
      <c r="V129" s="46" t="s">
        <v>41</v>
      </c>
      <c r="W129" s="46" t="s">
        <v>42</v>
      </c>
      <c r="X129" s="46" t="s">
        <v>37</v>
      </c>
      <c r="Y129" s="46" t="s">
        <v>36</v>
      </c>
      <c r="Z129" s="46" t="s">
        <v>36</v>
      </c>
      <c r="AA129" s="46" t="s">
        <v>36</v>
      </c>
      <c r="AB129" s="46" t="s">
        <v>36</v>
      </c>
      <c r="AC129" s="46" t="s">
        <v>41</v>
      </c>
      <c r="AD129" s="46" t="s">
        <v>41</v>
      </c>
      <c r="AE129" s="46" t="s">
        <v>37</v>
      </c>
      <c r="AF129" s="46" t="s">
        <v>41</v>
      </c>
      <c r="AG129" s="46" t="s">
        <v>41</v>
      </c>
      <c r="AH129" s="46" t="s">
        <v>43</v>
      </c>
      <c r="AI129" s="46" t="s">
        <v>41</v>
      </c>
      <c r="AJ129" s="46">
        <f>=SUM(E130:AI130)</f>
      </c>
      <c r="AK129" s="46">
        <f>=+AY129</f>
      </c>
      <c r="AL129" s="46"/>
      <c r="AM129" s="1"/>
      <c r="AN129" s="1">
        <f>=COUNTIF(E129:AI129,"A")+COUNTIF(E129:AI129,"B")+COUNTIF(E129:AI129,"C")+COUNTIF(E129:AI129,"D")+COUNTIF(E129:AI129,"E")+COUNTIF(E129:AI129,"F")+COUNTIF(E129:AI129,"M")+COUNTIF(E129:AI129,"AB")+COUNTIF(E129:AI129,"UZ")+COUNTIF(E129:AI129,"G")+(COUNTIF(E129:AI129,"RT.")/2)+(COUNTIF(E129:AI129,"ÇRT.")/2)</f>
      </c>
      <c r="AO129" s="1">
        <f>=COUNTIF(E129:AI129,"O")</f>
      </c>
      <c r="AP129" s="1">
        <f>=COUNTIF(E129:AI129,"RT")+(COUNTIF(E129:AI129,"RT.")/2)</f>
      </c>
      <c r="AQ129" s="1">
        <f>=COUNTIF(E129:AI129,"ÇRT")+(COUNTIF(E129:AI129,"ÇRT.")/2)</f>
      </c>
      <c r="AR129" s="1">
        <f>=COUNTIF(E129:AI129,"ÇHT")</f>
      </c>
      <c r="AS129" s="1">
        <f>=COUNTIF(E129:AI129,"Ö")+COUNTIF(E129:AI129,"T")</f>
      </c>
      <c r="AT129" s="1">
        <f>=COUNTIF(E129:AI129,"Y")</f>
      </c>
      <c r="AU129" s="1">
        <f>=COUNTIF(E129:AI129,"R.")</f>
      </c>
      <c r="AV129" s="1">
        <f>=COUNTIF(E129:AI129,"Ü")</f>
      </c>
      <c r="AW129" s="1">
        <f>=COUNTIF(E129:AI129,"R")</f>
      </c>
      <c r="AX129" s="1">
        <f>=COUNTIF(E129:AI129,"DV")</f>
      </c>
      <c r="AY129" s="1">
        <f>=+AN129+AO129+AP129+AQ129+AR129+AS129+AT129+AU129</f>
      </c>
    </row>
    <row r="130" ht="16" customHeight="1" spans="1:51" x14ac:dyDescent="0.25">
      <c r="A130" s="45"/>
      <c r="B130" s="46"/>
      <c r="C130" s="46"/>
      <c r="D130" s="46" t="s">
        <v>33</v>
      </c>
      <c r="E130" s="46"/>
      <c r="F130" s="46"/>
      <c r="G130" s="46"/>
      <c r="H130" s="46"/>
      <c r="I130" s="46"/>
      <c r="J130" s="46"/>
      <c r="K130" s="46"/>
      <c r="L130" s="46">
        <v>3</v>
      </c>
      <c r="M130" s="46">
        <v>3</v>
      </c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ht="16" customHeight="1" spans="1:51" x14ac:dyDescent="0.25">
      <c r="A131" s="45"/>
      <c r="B131" s="46" t="s">
        <v>165</v>
      </c>
      <c r="C131" s="46" t="s">
        <v>166</v>
      </c>
      <c r="D131" s="46" t="s">
        <v>29</v>
      </c>
      <c r="E131" s="46" t="s">
        <v>42</v>
      </c>
      <c r="F131" s="46" t="s">
        <v>42</v>
      </c>
      <c r="G131" s="46" t="s">
        <v>42</v>
      </c>
      <c r="H131" s="46" t="s">
        <v>42</v>
      </c>
      <c r="I131" s="46" t="s">
        <v>37</v>
      </c>
      <c r="J131" s="46" t="s">
        <v>42</v>
      </c>
      <c r="K131" s="46" t="s">
        <v>42</v>
      </c>
      <c r="L131" s="46" t="s">
        <v>42</v>
      </c>
      <c r="M131" s="46" t="s">
        <v>42</v>
      </c>
      <c r="N131" s="46" t="s">
        <v>42</v>
      </c>
      <c r="O131" s="46" t="s">
        <v>42</v>
      </c>
      <c r="P131" s="46" t="s">
        <v>37</v>
      </c>
      <c r="Q131" s="46" t="s">
        <v>42</v>
      </c>
      <c r="R131" s="46" t="s">
        <v>42</v>
      </c>
      <c r="S131" s="46" t="s">
        <v>42</v>
      </c>
      <c r="T131" s="46" t="s">
        <v>42</v>
      </c>
      <c r="U131" s="46" t="s">
        <v>42</v>
      </c>
      <c r="V131" s="46" t="s">
        <v>42</v>
      </c>
      <c r="W131" s="46" t="s">
        <v>37</v>
      </c>
      <c r="X131" s="46" t="s">
        <v>42</v>
      </c>
      <c r="Y131" s="46" t="s">
        <v>42</v>
      </c>
      <c r="Z131" s="46" t="s">
        <v>42</v>
      </c>
      <c r="AA131" s="46" t="s">
        <v>42</v>
      </c>
      <c r="AB131" s="46" t="s">
        <v>42</v>
      </c>
      <c r="AC131" s="46" t="s">
        <v>42</v>
      </c>
      <c r="AD131" s="46" t="s">
        <v>37</v>
      </c>
      <c r="AE131" s="46" t="s">
        <v>42</v>
      </c>
      <c r="AF131" s="46" t="s">
        <v>42</v>
      </c>
      <c r="AG131" s="46" t="s">
        <v>42</v>
      </c>
      <c r="AH131" s="46" t="s">
        <v>43</v>
      </c>
      <c r="AI131" s="46" t="s">
        <v>42</v>
      </c>
      <c r="AJ131" s="46">
        <f>=SUM(E132:AI132)</f>
      </c>
      <c r="AK131" s="46">
        <f>=+AY131</f>
      </c>
      <c r="AL131" s="46"/>
      <c r="AM131" s="1"/>
      <c r="AN131" s="1">
        <f>=COUNTIF(E131:AI131,"A")+COUNTIF(E131:AI131,"B")+COUNTIF(E131:AI131,"C")+COUNTIF(E131:AI131,"D")+COUNTIF(E131:AI131,"E")+COUNTIF(E131:AI131,"F")+COUNTIF(E131:AI131,"M")+COUNTIF(E131:AI131,"AB")+COUNTIF(E131:AI131,"UZ")+COUNTIF(E131:AI131,"G")+(COUNTIF(E131:AI131,"RT.")/2)+(COUNTIF(E131:AI131,"ÇRT.")/2)</f>
      </c>
      <c r="AO131" s="1">
        <f>=COUNTIF(E131:AI131,"O")</f>
      </c>
      <c r="AP131" s="1">
        <f>=COUNTIF(E131:AI131,"RT")+(COUNTIF(E131:AI131,"RT.")/2)</f>
      </c>
      <c r="AQ131" s="1">
        <f>=COUNTIF(E131:AI131,"ÇRT")+(COUNTIF(E131:AI131,"ÇRT.")/2)</f>
      </c>
      <c r="AR131" s="1">
        <f>=COUNTIF(E131:AI131,"ÇHT")</f>
      </c>
      <c r="AS131" s="1">
        <f>=COUNTIF(E131:AI131,"Ö")+COUNTIF(E131:AI131,"T")</f>
      </c>
      <c r="AT131" s="1">
        <f>=COUNTIF(E131:AI131,"Y")</f>
      </c>
      <c r="AU131" s="1">
        <f>=COUNTIF(E131:AI131,"R.")</f>
      </c>
      <c r="AV131" s="1">
        <f>=COUNTIF(E131:AI131,"Ü")</f>
      </c>
      <c r="AW131" s="1">
        <f>=COUNTIF(E131:AI131,"R")</f>
      </c>
      <c r="AX131" s="1">
        <f>=COUNTIF(E131:AI131,"DV")</f>
      </c>
      <c r="AY131" s="1">
        <f>=+AN131+AO131+AP131+AQ131+AR131+AS131+AT131+AU131</f>
      </c>
    </row>
    <row r="132" ht="16" customHeight="1" spans="1:51" x14ac:dyDescent="0.25">
      <c r="A132" s="45"/>
      <c r="B132" s="46"/>
      <c r="C132" s="46"/>
      <c r="D132" s="46" t="s">
        <v>33</v>
      </c>
      <c r="E132" s="46"/>
      <c r="F132" s="46"/>
      <c r="G132" s="46">
        <v>1</v>
      </c>
      <c r="H132" s="46">
        <v>1</v>
      </c>
      <c r="I132" s="46"/>
      <c r="J132" s="46">
        <v>1</v>
      </c>
      <c r="K132" s="46">
        <v>1</v>
      </c>
      <c r="L132" s="46">
        <v>1</v>
      </c>
      <c r="M132" s="46">
        <v>1</v>
      </c>
      <c r="N132" s="46">
        <v>1</v>
      </c>
      <c r="O132" s="46">
        <v>1</v>
      </c>
      <c r="P132" s="46"/>
      <c r="Q132" s="46">
        <v>1</v>
      </c>
      <c r="R132" s="46">
        <v>1</v>
      </c>
      <c r="S132" s="46">
        <v>1</v>
      </c>
      <c r="T132" s="46">
        <v>1</v>
      </c>
      <c r="U132" s="46">
        <v>1</v>
      </c>
      <c r="V132" s="46">
        <v>1</v>
      </c>
      <c r="W132" s="46"/>
      <c r="X132" s="46">
        <v>1</v>
      </c>
      <c r="Y132" s="46">
        <v>1</v>
      </c>
      <c r="Z132" s="46">
        <v>1</v>
      </c>
      <c r="AA132" s="46">
        <v>1</v>
      </c>
      <c r="AB132" s="46">
        <v>1</v>
      </c>
      <c r="AC132" s="46">
        <v>1</v>
      </c>
      <c r="AD132" s="46"/>
      <c r="AE132" s="46">
        <v>1</v>
      </c>
      <c r="AF132" s="46">
        <v>1</v>
      </c>
      <c r="AG132" s="46">
        <v>1</v>
      </c>
      <c r="AH132" s="46">
        <v>1</v>
      </c>
      <c r="AI132" s="46"/>
      <c r="AJ132" s="46"/>
      <c r="AK132" s="46"/>
      <c r="AL132" s="46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ht="16" customHeight="1" spans="1:51" x14ac:dyDescent="0.25">
      <c r="A133" s="45"/>
      <c r="B133" s="46" t="s">
        <v>167</v>
      </c>
      <c r="C133" s="46" t="s">
        <v>168</v>
      </c>
      <c r="D133" s="46" t="s">
        <v>29</v>
      </c>
      <c r="E133" s="46" t="s">
        <v>46</v>
      </c>
      <c r="F133" s="46" t="s">
        <v>46</v>
      </c>
      <c r="G133" s="46" t="s">
        <v>46</v>
      </c>
      <c r="H133" s="46" t="s">
        <v>46</v>
      </c>
      <c r="I133" s="46" t="s">
        <v>46</v>
      </c>
      <c r="J133" s="46" t="s">
        <v>46</v>
      </c>
      <c r="K133" s="46" t="s">
        <v>37</v>
      </c>
      <c r="L133" s="46" t="s">
        <v>46</v>
      </c>
      <c r="M133" s="46" t="s">
        <v>46</v>
      </c>
      <c r="N133" s="46" t="s">
        <v>46</v>
      </c>
      <c r="O133" s="46" t="s">
        <v>46</v>
      </c>
      <c r="P133" s="46" t="s">
        <v>46</v>
      </c>
      <c r="Q133" s="46" t="s">
        <v>46</v>
      </c>
      <c r="R133" s="46" t="s">
        <v>37</v>
      </c>
      <c r="S133" s="46" t="s">
        <v>46</v>
      </c>
      <c r="T133" s="46" t="s">
        <v>46</v>
      </c>
      <c r="U133" s="46" t="s">
        <v>46</v>
      </c>
      <c r="V133" s="46" t="s">
        <v>46</v>
      </c>
      <c r="W133" s="46" t="s">
        <v>46</v>
      </c>
      <c r="X133" s="46" t="s">
        <v>46</v>
      </c>
      <c r="Y133" s="46" t="s">
        <v>37</v>
      </c>
      <c r="Z133" s="46" t="s">
        <v>46</v>
      </c>
      <c r="AA133" s="46" t="s">
        <v>46</v>
      </c>
      <c r="AB133" s="46" t="s">
        <v>46</v>
      </c>
      <c r="AC133" s="46" t="s">
        <v>46</v>
      </c>
      <c r="AD133" s="46" t="s">
        <v>46</v>
      </c>
      <c r="AE133" s="46" t="s">
        <v>46</v>
      </c>
      <c r="AF133" s="46" t="s">
        <v>37</v>
      </c>
      <c r="AG133" s="46" t="s">
        <v>46</v>
      </c>
      <c r="AH133" s="46" t="s">
        <v>43</v>
      </c>
      <c r="AI133" s="46" t="s">
        <v>46</v>
      </c>
      <c r="AJ133" s="46">
        <f>=SUM(E134:AI134)</f>
      </c>
      <c r="AK133" s="46">
        <f>=+AY133</f>
      </c>
      <c r="AL133" s="46"/>
      <c r="AM133" s="1"/>
      <c r="AN133" s="1">
        <f>=COUNTIF(E133:AI133,"A")+COUNTIF(E133:AI133,"B")+COUNTIF(E133:AI133,"C")+COUNTIF(E133:AI133,"D")+COUNTIF(E133:AI133,"E")+COUNTIF(E133:AI133,"F")+COUNTIF(E133:AI133,"M")+COUNTIF(E133:AI133,"AB")+COUNTIF(E133:AI133,"UZ")+COUNTIF(E133:AI133,"G")+(COUNTIF(E133:AI133,"RT.")/2)+(COUNTIF(E133:AI133,"ÇRT.")/2)</f>
      </c>
      <c r="AO133" s="1">
        <f>=COUNTIF(E133:AI133,"O")</f>
      </c>
      <c r="AP133" s="1">
        <f>=COUNTIF(E133:AI133,"RT")+(COUNTIF(E133:AI133,"RT.")/2)</f>
      </c>
      <c r="AQ133" s="1">
        <f>=COUNTIF(E133:AI133,"ÇRT")+(COUNTIF(E133:AI133,"ÇRT.")/2)</f>
      </c>
      <c r="AR133" s="1">
        <f>=COUNTIF(E133:AI133,"ÇHT")</f>
      </c>
      <c r="AS133" s="1">
        <f>=COUNTIF(E133:AI133,"Ö")+COUNTIF(E133:AI133,"T")</f>
      </c>
      <c r="AT133" s="1">
        <f>=COUNTIF(E133:AI133,"Y")</f>
      </c>
      <c r="AU133" s="1">
        <f>=COUNTIF(E133:AI133,"R.")</f>
      </c>
      <c r="AV133" s="1">
        <f>=COUNTIF(E133:AI133,"Ü")</f>
      </c>
      <c r="AW133" s="1">
        <f>=COUNTIF(E133:AI133,"R")</f>
      </c>
      <c r="AX133" s="1">
        <f>=COUNTIF(E133:AI133,"DV")</f>
      </c>
      <c r="AY133" s="1">
        <f>=+AN133+AO133+AP133+AQ133+AR133+AS133+AT133+AU133</f>
      </c>
    </row>
    <row r="134" ht="16" customHeight="1" spans="1:51" x14ac:dyDescent="0.25">
      <c r="A134" s="45"/>
      <c r="B134" s="46"/>
      <c r="C134" s="46"/>
      <c r="D134" s="46" t="s">
        <v>33</v>
      </c>
      <c r="E134" s="46"/>
      <c r="F134" s="46"/>
      <c r="G134" s="46"/>
      <c r="H134" s="46"/>
      <c r="I134" s="46">
        <v>2</v>
      </c>
      <c r="J134" s="46">
        <v>2</v>
      </c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ht="16" customHeight="1" spans="1:51" x14ac:dyDescent="0.25">
      <c r="A135" s="45"/>
      <c r="B135" s="46" t="s">
        <v>169</v>
      </c>
      <c r="C135" s="46" t="s">
        <v>170</v>
      </c>
      <c r="D135" s="46" t="s">
        <v>29</v>
      </c>
      <c r="E135" s="46" t="s">
        <v>37</v>
      </c>
      <c r="F135" s="46" t="s">
        <v>36</v>
      </c>
      <c r="G135" s="46" t="s">
        <v>36</v>
      </c>
      <c r="H135" s="46" t="s">
        <v>36</v>
      </c>
      <c r="I135" s="46" t="s">
        <v>36</v>
      </c>
      <c r="J135" s="46" t="s">
        <v>36</v>
      </c>
      <c r="K135" s="46" t="s">
        <v>36</v>
      </c>
      <c r="L135" s="46" t="s">
        <v>37</v>
      </c>
      <c r="M135" s="46" t="s">
        <v>36</v>
      </c>
      <c r="N135" s="46" t="s">
        <v>36</v>
      </c>
      <c r="O135" s="46" t="s">
        <v>36</v>
      </c>
      <c r="P135" s="46" t="s">
        <v>36</v>
      </c>
      <c r="Q135" s="46" t="s">
        <v>36</v>
      </c>
      <c r="R135" s="46" t="s">
        <v>36</v>
      </c>
      <c r="S135" s="46" t="s">
        <v>37</v>
      </c>
      <c r="T135" s="46" t="s">
        <v>36</v>
      </c>
      <c r="U135" s="46" t="s">
        <v>36</v>
      </c>
      <c r="V135" s="46" t="s">
        <v>36</v>
      </c>
      <c r="W135" s="46" t="s">
        <v>36</v>
      </c>
      <c r="X135" s="46" t="s">
        <v>36</v>
      </c>
      <c r="Y135" s="46" t="s">
        <v>36</v>
      </c>
      <c r="Z135" s="46" t="s">
        <v>37</v>
      </c>
      <c r="AA135" s="46" t="s">
        <v>36</v>
      </c>
      <c r="AB135" s="46" t="s">
        <v>36</v>
      </c>
      <c r="AC135" s="46" t="s">
        <v>36</v>
      </c>
      <c r="AD135" s="46" t="s">
        <v>36</v>
      </c>
      <c r="AE135" s="46" t="s">
        <v>36</v>
      </c>
      <c r="AF135" s="46" t="s">
        <v>36</v>
      </c>
      <c r="AG135" s="46" t="s">
        <v>37</v>
      </c>
      <c r="AH135" s="46" t="s">
        <v>43</v>
      </c>
      <c r="AI135" s="46" t="s">
        <v>36</v>
      </c>
      <c r="AJ135" s="46">
        <f>=SUM(E136:AI136)</f>
      </c>
      <c r="AK135" s="46">
        <f>=+AY135</f>
      </c>
      <c r="AL135" s="46"/>
      <c r="AM135" s="1"/>
      <c r="AN135" s="1">
        <f>=COUNTIF(E135:AI135,"A")+COUNTIF(E135:AI135,"B")+COUNTIF(E135:AI135,"C")+COUNTIF(E135:AI135,"D")+COUNTIF(E135:AI135,"E")+COUNTIF(E135:AI135,"F")+COUNTIF(E135:AI135,"M")+COUNTIF(E135:AI135,"AB")+COUNTIF(E135:AI135,"UZ")+COUNTIF(E135:AI135,"G")+(COUNTIF(E135:AI135,"RT.")/2)+(COUNTIF(E135:AI135,"ÇRT.")/2)</f>
      </c>
      <c r="AO135" s="1">
        <f>=COUNTIF(E135:AI135,"O")</f>
      </c>
      <c r="AP135" s="1">
        <f>=COUNTIF(E135:AI135,"RT")+(COUNTIF(E135:AI135,"RT.")/2)</f>
      </c>
      <c r="AQ135" s="1">
        <f>=COUNTIF(E135:AI135,"ÇRT")+(COUNTIF(E135:AI135,"ÇRT.")/2)</f>
      </c>
      <c r="AR135" s="1">
        <f>=COUNTIF(E135:AI135,"ÇHT")</f>
      </c>
      <c r="AS135" s="1">
        <f>=COUNTIF(E135:AI135,"Ö")+COUNTIF(E135:AI135,"T")</f>
      </c>
      <c r="AT135" s="1">
        <f>=COUNTIF(E135:AI135,"Y")</f>
      </c>
      <c r="AU135" s="1">
        <f>=COUNTIF(E135:AI135,"R.")</f>
      </c>
      <c r="AV135" s="1">
        <f>=COUNTIF(E135:AI135,"Ü")</f>
      </c>
      <c r="AW135" s="1">
        <f>=COUNTIF(E135:AI135,"R")</f>
      </c>
      <c r="AX135" s="1">
        <f>=COUNTIF(E135:AI135,"DV")</f>
      </c>
      <c r="AY135" s="1">
        <f>=+AN135+AO135+AP135+AQ135+AR135+AS135+AT135+AU135</f>
      </c>
    </row>
    <row r="136" ht="16" customHeight="1" spans="1:51" x14ac:dyDescent="0.25">
      <c r="A136" s="45"/>
      <c r="B136" s="46"/>
      <c r="C136" s="46"/>
      <c r="D136" s="46" t="s">
        <v>33</v>
      </c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ht="16" customHeight="1" spans="1:51" x14ac:dyDescent="0.25">
      <c r="A137" s="45"/>
      <c r="B137" s="46" t="s">
        <v>171</v>
      </c>
      <c r="C137" s="46" t="s">
        <v>172</v>
      </c>
      <c r="D137" s="46" t="s">
        <v>29</v>
      </c>
      <c r="E137" s="46" t="s">
        <v>41</v>
      </c>
      <c r="F137" s="46" t="s">
        <v>41</v>
      </c>
      <c r="G137" s="46" t="s">
        <v>41</v>
      </c>
      <c r="H137" s="46" t="s">
        <v>41</v>
      </c>
      <c r="I137" s="46" t="s">
        <v>41</v>
      </c>
      <c r="J137" s="46" t="s">
        <v>37</v>
      </c>
      <c r="K137" s="46" t="s">
        <v>41</v>
      </c>
      <c r="L137" s="46" t="s">
        <v>41</v>
      </c>
      <c r="M137" s="46" t="s">
        <v>41</v>
      </c>
      <c r="N137" s="46" t="s">
        <v>42</v>
      </c>
      <c r="O137" s="46" t="s">
        <v>36</v>
      </c>
      <c r="P137" s="46" t="s">
        <v>36</v>
      </c>
      <c r="Q137" s="46" t="s">
        <v>37</v>
      </c>
      <c r="R137" s="46" t="s">
        <v>36</v>
      </c>
      <c r="S137" s="46" t="s">
        <v>36</v>
      </c>
      <c r="T137" s="46" t="s">
        <v>36</v>
      </c>
      <c r="U137" s="46" t="s">
        <v>41</v>
      </c>
      <c r="V137" s="46" t="s">
        <v>41</v>
      </c>
      <c r="W137" s="46" t="s">
        <v>41</v>
      </c>
      <c r="X137" s="46" t="s">
        <v>37</v>
      </c>
      <c r="Y137" s="46" t="s">
        <v>41</v>
      </c>
      <c r="Z137" s="46" t="s">
        <v>41</v>
      </c>
      <c r="AA137" s="46" t="s">
        <v>41</v>
      </c>
      <c r="AB137" s="46" t="s">
        <v>41</v>
      </c>
      <c r="AC137" s="46" t="s">
        <v>41</v>
      </c>
      <c r="AD137" s="46" t="s">
        <v>41</v>
      </c>
      <c r="AE137" s="46" t="s">
        <v>37</v>
      </c>
      <c r="AF137" s="46" t="s">
        <v>41</v>
      </c>
      <c r="AG137" s="46" t="s">
        <v>41</v>
      </c>
      <c r="AH137" s="46" t="s">
        <v>173</v>
      </c>
      <c r="AI137" s="46"/>
      <c r="AJ137" s="46">
        <f>=SUM(E138:AI138)</f>
      </c>
      <c r="AK137" s="46">
        <f>=+AY137</f>
      </c>
      <c r="AL137" s="46"/>
      <c r="AM137" s="1"/>
      <c r="AN137" s="1">
        <f>=COUNTIF(E137:AI137,"A")+COUNTIF(E137:AI137,"B")+COUNTIF(E137:AI137,"C")+COUNTIF(E137:AI137,"D")+COUNTIF(E137:AI137,"E")+COUNTIF(E137:AI137,"F")+COUNTIF(E137:AI137,"M")+COUNTIF(E137:AI137,"AB")+COUNTIF(E137:AI137,"UZ")+COUNTIF(E137:AI137,"G")+(COUNTIF(E137:AI137,"RT.")/2)+(COUNTIF(E137:AI137,"ÇRT.")/2)</f>
      </c>
      <c r="AO137" s="1">
        <f>=COUNTIF(E137:AI137,"O")</f>
      </c>
      <c r="AP137" s="1">
        <f>=COUNTIF(E137:AI137,"RT")+(COUNTIF(E137:AI137,"RT.")/2)</f>
      </c>
      <c r="AQ137" s="1">
        <f>=COUNTIF(E137:AI137,"ÇRT")+(COUNTIF(E137:AI137,"ÇRT.")/2)</f>
      </c>
      <c r="AR137" s="1">
        <f>=COUNTIF(E137:AI137,"ÇHT")</f>
      </c>
      <c r="AS137" s="1">
        <f>=COUNTIF(E137:AI137,"Ö")+COUNTIF(E137:AI137,"T")</f>
      </c>
      <c r="AT137" s="1">
        <f>=COUNTIF(E137:AI137,"Y")</f>
      </c>
      <c r="AU137" s="1">
        <f>=COUNTIF(E137:AI137,"R.")</f>
      </c>
      <c r="AV137" s="1">
        <f>=COUNTIF(E137:AI137,"Ü")</f>
      </c>
      <c r="AW137" s="1">
        <f>=COUNTIF(E137:AI137,"R")</f>
      </c>
      <c r="AX137" s="1">
        <f>=COUNTIF(E137:AI137,"DV")</f>
      </c>
      <c r="AY137" s="1">
        <f>=+AN137+AO137+AP137+AQ137+AR137+AS137+AT137+AU137</f>
      </c>
    </row>
    <row r="138" ht="16" customHeight="1" spans="1:51" x14ac:dyDescent="0.25">
      <c r="A138" s="45"/>
      <c r="B138" s="46"/>
      <c r="C138" s="46"/>
      <c r="D138" s="46" t="s">
        <v>33</v>
      </c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ht="16" customHeight="1" spans="1:51" x14ac:dyDescent="0.25">
      <c r="A139" s="45"/>
      <c r="B139" s="46" t="s">
        <v>174</v>
      </c>
      <c r="C139" s="46" t="s">
        <v>175</v>
      </c>
      <c r="D139" s="46" t="s">
        <v>29</v>
      </c>
      <c r="E139" s="46" t="s">
        <v>37</v>
      </c>
      <c r="F139" s="46" t="s">
        <v>36</v>
      </c>
      <c r="G139" s="46" t="s">
        <v>42</v>
      </c>
      <c r="H139" s="46" t="s">
        <v>36</v>
      </c>
      <c r="I139" s="46" t="s">
        <v>36</v>
      </c>
      <c r="J139" s="46" t="s">
        <v>36</v>
      </c>
      <c r="K139" s="46" t="s">
        <v>36</v>
      </c>
      <c r="L139" s="46" t="s">
        <v>37</v>
      </c>
      <c r="M139" s="46" t="s">
        <v>36</v>
      </c>
      <c r="N139" s="46" t="s">
        <v>36</v>
      </c>
      <c r="O139" s="46" t="s">
        <v>36</v>
      </c>
      <c r="P139" s="46" t="s">
        <v>36</v>
      </c>
      <c r="Q139" s="46" t="s">
        <v>36</v>
      </c>
      <c r="R139" s="46" t="s">
        <v>36</v>
      </c>
      <c r="S139" s="46" t="s">
        <v>37</v>
      </c>
      <c r="T139" s="46" t="s">
        <v>36</v>
      </c>
      <c r="U139" s="46" t="s">
        <v>36</v>
      </c>
      <c r="V139" s="46" t="s">
        <v>36</v>
      </c>
      <c r="W139" s="46" t="s">
        <v>36</v>
      </c>
      <c r="X139" s="46" t="s">
        <v>36</v>
      </c>
      <c r="Y139" s="46" t="s">
        <v>36</v>
      </c>
      <c r="Z139" s="46" t="s">
        <v>37</v>
      </c>
      <c r="AA139" s="46" t="s">
        <v>36</v>
      </c>
      <c r="AB139" s="46" t="s">
        <v>36</v>
      </c>
      <c r="AC139" s="46" t="s">
        <v>36</v>
      </c>
      <c r="AD139" s="46" t="s">
        <v>36</v>
      </c>
      <c r="AE139" s="46" t="s">
        <v>36</v>
      </c>
      <c r="AF139" s="46" t="s">
        <v>36</v>
      </c>
      <c r="AG139" s="46" t="s">
        <v>37</v>
      </c>
      <c r="AH139" s="46" t="s">
        <v>43</v>
      </c>
      <c r="AI139" s="46" t="s">
        <v>36</v>
      </c>
      <c r="AJ139" s="46">
        <f>=SUM(E140:AI140)</f>
      </c>
      <c r="AK139" s="46">
        <f>=+AY139</f>
      </c>
      <c r="AL139" s="46"/>
      <c r="AM139" s="1"/>
      <c r="AN139" s="1">
        <f>=COUNTIF(E139:AI139,"A")+COUNTIF(E139:AI139,"B")+COUNTIF(E139:AI139,"C")+COUNTIF(E139:AI139,"D")+COUNTIF(E139:AI139,"E")+COUNTIF(E139:AI139,"F")+COUNTIF(E139:AI139,"M")+COUNTIF(E139:AI139,"AB")+COUNTIF(E139:AI139,"UZ")+COUNTIF(E139:AI139,"G")+(COUNTIF(E139:AI139,"RT.")/2)+(COUNTIF(E139:AI139,"ÇRT.")/2)</f>
      </c>
      <c r="AO139" s="1">
        <f>=COUNTIF(E139:AI139,"O")</f>
      </c>
      <c r="AP139" s="1">
        <f>=COUNTIF(E139:AI139,"RT")+(COUNTIF(E139:AI139,"RT.")/2)</f>
      </c>
      <c r="AQ139" s="1">
        <f>=COUNTIF(E139:AI139,"ÇRT")+(COUNTIF(E139:AI139,"ÇRT.")/2)</f>
      </c>
      <c r="AR139" s="1">
        <f>=COUNTIF(E139:AI139,"ÇHT")</f>
      </c>
      <c r="AS139" s="1">
        <f>=COUNTIF(E139:AI139,"Ö")+COUNTIF(E139:AI139,"T")</f>
      </c>
      <c r="AT139" s="1">
        <f>=COUNTIF(E139:AI139,"Y")</f>
      </c>
      <c r="AU139" s="1">
        <f>=COUNTIF(E139:AI139,"R.")</f>
      </c>
      <c r="AV139" s="1">
        <f>=COUNTIF(E139:AI139,"Ü")</f>
      </c>
      <c r="AW139" s="1">
        <f>=COUNTIF(E139:AI139,"R")</f>
      </c>
      <c r="AX139" s="1">
        <f>=COUNTIF(E139:AI139,"DV")</f>
      </c>
      <c r="AY139" s="1">
        <f>=+AN139+AO139+AP139+AQ139+AR139+AS139+AT139+AU139</f>
      </c>
    </row>
    <row r="140" ht="16" customHeight="1" spans="1:51" x14ac:dyDescent="0.25">
      <c r="A140" s="45"/>
      <c r="B140" s="46"/>
      <c r="C140" s="46"/>
      <c r="D140" s="46" t="s">
        <v>33</v>
      </c>
      <c r="E140" s="46"/>
      <c r="F140" s="46"/>
      <c r="G140" s="46"/>
      <c r="H140" s="46"/>
      <c r="I140" s="46"/>
      <c r="J140" s="46"/>
      <c r="K140" s="46"/>
      <c r="L140" s="46"/>
      <c r="M140" s="46"/>
      <c r="N140" s="46">
        <v>2</v>
      </c>
      <c r="O140" s="46"/>
      <c r="P140" s="46"/>
      <c r="Q140" s="46"/>
      <c r="R140" s="46"/>
      <c r="S140" s="46"/>
      <c r="T140" s="46">
        <v>2</v>
      </c>
      <c r="U140" s="46"/>
      <c r="V140" s="46"/>
      <c r="W140" s="46"/>
      <c r="X140" s="46"/>
      <c r="Y140" s="46"/>
      <c r="Z140" s="46"/>
      <c r="AA140" s="46"/>
      <c r="AB140" s="46">
        <v>2</v>
      </c>
      <c r="AC140" s="46"/>
      <c r="AD140" s="46"/>
      <c r="AE140" s="46"/>
      <c r="AF140" s="46"/>
      <c r="AG140" s="46"/>
      <c r="AH140" s="46">
        <v>2</v>
      </c>
      <c r="AI140" s="46"/>
      <c r="AJ140" s="46"/>
      <c r="AK140" s="46"/>
      <c r="AL140" s="46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ht="16" customHeight="1" spans="1:51" x14ac:dyDescent="0.25">
      <c r="A141" s="45"/>
      <c r="B141" s="46" t="s">
        <v>176</v>
      </c>
      <c r="C141" s="46" t="s">
        <v>177</v>
      </c>
      <c r="D141" s="46" t="s">
        <v>29</v>
      </c>
      <c r="E141" s="46" t="s">
        <v>37</v>
      </c>
      <c r="F141" s="46" t="s">
        <v>41</v>
      </c>
      <c r="G141" s="46" t="s">
        <v>41</v>
      </c>
      <c r="H141" s="46" t="s">
        <v>41</v>
      </c>
      <c r="I141" s="46" t="s">
        <v>41</v>
      </c>
      <c r="J141" s="46" t="s">
        <v>41</v>
      </c>
      <c r="K141" s="46" t="s">
        <v>41</v>
      </c>
      <c r="L141" s="46" t="s">
        <v>37</v>
      </c>
      <c r="M141" s="46" t="s">
        <v>41</v>
      </c>
      <c r="N141" s="46" t="s">
        <v>41</v>
      </c>
      <c r="O141" s="46" t="s">
        <v>41</v>
      </c>
      <c r="P141" s="46" t="s">
        <v>41</v>
      </c>
      <c r="Q141" s="46" t="s">
        <v>41</v>
      </c>
      <c r="R141" s="46" t="s">
        <v>41</v>
      </c>
      <c r="S141" s="46" t="s">
        <v>37</v>
      </c>
      <c r="T141" s="46" t="s">
        <v>41</v>
      </c>
      <c r="U141" s="46" t="s">
        <v>41</v>
      </c>
      <c r="V141" s="46" t="s">
        <v>41</v>
      </c>
      <c r="W141" s="46" t="s">
        <v>41</v>
      </c>
      <c r="X141" s="46" t="s">
        <v>41</v>
      </c>
      <c r="Y141" s="46" t="s">
        <v>41</v>
      </c>
      <c r="Z141" s="46" t="s">
        <v>37</v>
      </c>
      <c r="AA141" s="46" t="s">
        <v>41</v>
      </c>
      <c r="AB141" s="46" t="s">
        <v>41</v>
      </c>
      <c r="AC141" s="46" t="s">
        <v>41</v>
      </c>
      <c r="AD141" s="46" t="s">
        <v>41</v>
      </c>
      <c r="AE141" s="46" t="s">
        <v>41</v>
      </c>
      <c r="AF141" s="46" t="s">
        <v>41</v>
      </c>
      <c r="AG141" s="46" t="s">
        <v>37</v>
      </c>
      <c r="AH141" s="46" t="s">
        <v>43</v>
      </c>
      <c r="AI141" s="46" t="s">
        <v>41</v>
      </c>
      <c r="AJ141" s="46">
        <f>=SUM(E142:AI142)</f>
      </c>
      <c r="AK141" s="46">
        <f>=+AY141</f>
      </c>
      <c r="AL141" s="46"/>
      <c r="AM141" s="1"/>
      <c r="AN141" s="1">
        <f>=COUNTIF(E141:AI141,"A")+COUNTIF(E141:AI141,"B")+COUNTIF(E141:AI141,"C")+COUNTIF(E141:AI141,"D")+COUNTIF(E141:AI141,"E")+COUNTIF(E141:AI141,"F")+COUNTIF(E141:AI141,"M")+COUNTIF(E141:AI141,"AB")+COUNTIF(E141:AI141,"UZ")+COUNTIF(E141:AI141,"G")+(COUNTIF(E141:AI141,"RT.")/2)+(COUNTIF(E141:AI141,"ÇRT.")/2)</f>
      </c>
      <c r="AO141" s="1">
        <f>=COUNTIF(E141:AI141,"O")</f>
      </c>
      <c r="AP141" s="1">
        <f>=COUNTIF(E141:AI141,"RT")+(COUNTIF(E141:AI141,"RT.")/2)</f>
      </c>
      <c r="AQ141" s="1">
        <f>=COUNTIF(E141:AI141,"ÇRT")+(COUNTIF(E141:AI141,"ÇRT.")/2)</f>
      </c>
      <c r="AR141" s="1">
        <f>=COUNTIF(E141:AI141,"ÇHT")</f>
      </c>
      <c r="AS141" s="1">
        <f>=COUNTIF(E141:AI141,"Ö")+COUNTIF(E141:AI141,"T")</f>
      </c>
      <c r="AT141" s="1">
        <f>=COUNTIF(E141:AI141,"Y")</f>
      </c>
      <c r="AU141" s="1">
        <f>=COUNTIF(E141:AI141,"R.")</f>
      </c>
      <c r="AV141" s="1">
        <f>=COUNTIF(E141:AI141,"Ü")</f>
      </c>
      <c r="AW141" s="1">
        <f>=COUNTIF(E141:AI141,"R")</f>
      </c>
      <c r="AX141" s="1">
        <f>=COUNTIF(E141:AI141,"DV")</f>
      </c>
      <c r="AY141" s="1">
        <f>=+AN141+AO141+AP141+AQ141+AR141+AS141+AT141+AU141</f>
      </c>
    </row>
    <row r="142" ht="16" customHeight="1" spans="1:51" x14ac:dyDescent="0.25">
      <c r="A142" s="45"/>
      <c r="B142" s="46"/>
      <c r="C142" s="46"/>
      <c r="D142" s="46" t="s">
        <v>33</v>
      </c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>
        <v>3</v>
      </c>
      <c r="Z142" s="46"/>
      <c r="AA142" s="46">
        <v>3</v>
      </c>
      <c r="AB142" s="46">
        <v>2</v>
      </c>
      <c r="AC142" s="46">
        <v>2</v>
      </c>
      <c r="AD142" s="46">
        <v>2</v>
      </c>
      <c r="AE142" s="46">
        <v>2</v>
      </c>
      <c r="AF142" s="46">
        <v>2</v>
      </c>
      <c r="AG142" s="46"/>
      <c r="AH142" s="46">
        <v>2</v>
      </c>
      <c r="AI142" s="46"/>
      <c r="AJ142" s="46"/>
      <c r="AK142" s="46"/>
      <c r="AL142" s="46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ht="16" customHeight="1" spans="1:51" x14ac:dyDescent="0.25">
      <c r="A143" s="45"/>
      <c r="B143" s="46" t="s">
        <v>178</v>
      </c>
      <c r="C143" s="46" t="s">
        <v>179</v>
      </c>
      <c r="D143" s="46" t="s">
        <v>29</v>
      </c>
      <c r="E143" s="46" t="s">
        <v>41</v>
      </c>
      <c r="F143" s="46" t="s">
        <v>41</v>
      </c>
      <c r="G143" s="46" t="s">
        <v>41</v>
      </c>
      <c r="H143" s="46" t="s">
        <v>37</v>
      </c>
      <c r="I143" s="46" t="s">
        <v>41</v>
      </c>
      <c r="J143" s="46" t="s">
        <v>41</v>
      </c>
      <c r="K143" s="46" t="s">
        <v>41</v>
      </c>
      <c r="L143" s="46" t="s">
        <v>41</v>
      </c>
      <c r="M143" s="46" t="s">
        <v>41</v>
      </c>
      <c r="N143" s="46" t="s">
        <v>41</v>
      </c>
      <c r="O143" s="46" t="s">
        <v>37</v>
      </c>
      <c r="P143" s="46" t="s">
        <v>41</v>
      </c>
      <c r="Q143" s="46" t="s">
        <v>41</v>
      </c>
      <c r="R143" s="46" t="s">
        <v>41</v>
      </c>
      <c r="S143" s="46" t="s">
        <v>41</v>
      </c>
      <c r="T143" s="46" t="s">
        <v>41</v>
      </c>
      <c r="U143" s="46" t="s">
        <v>41</v>
      </c>
      <c r="V143" s="46" t="s">
        <v>37</v>
      </c>
      <c r="W143" s="46" t="s">
        <v>41</v>
      </c>
      <c r="X143" s="46" t="s">
        <v>41</v>
      </c>
      <c r="Y143" s="46" t="s">
        <v>41</v>
      </c>
      <c r="Z143" s="46" t="s">
        <v>41</v>
      </c>
      <c r="AA143" s="46" t="s">
        <v>41</v>
      </c>
      <c r="AB143" s="46" t="s">
        <v>41</v>
      </c>
      <c r="AC143" s="46" t="s">
        <v>37</v>
      </c>
      <c r="AD143" s="46" t="s">
        <v>41</v>
      </c>
      <c r="AE143" s="46" t="s">
        <v>41</v>
      </c>
      <c r="AF143" s="46" t="s">
        <v>41</v>
      </c>
      <c r="AG143" s="46" t="s">
        <v>41</v>
      </c>
      <c r="AH143" s="46" t="s">
        <v>43</v>
      </c>
      <c r="AI143" s="46" t="s">
        <v>41</v>
      </c>
      <c r="AJ143" s="46">
        <f>=SUM(E144:AI144)</f>
      </c>
      <c r="AK143" s="46">
        <f>=+AY143</f>
      </c>
      <c r="AL143" s="46"/>
      <c r="AM143" s="1"/>
      <c r="AN143" s="1">
        <f>=COUNTIF(E143:AI143,"A")+COUNTIF(E143:AI143,"B")+COUNTIF(E143:AI143,"C")+COUNTIF(E143:AI143,"D")+COUNTIF(E143:AI143,"E")+COUNTIF(E143:AI143,"F")+COUNTIF(E143:AI143,"M")+COUNTIF(E143:AI143,"AB")+COUNTIF(E143:AI143,"UZ")+COUNTIF(E143:AI143,"G")+(COUNTIF(E143:AI143,"RT.")/2)+(COUNTIF(E143:AI143,"ÇRT.")/2)</f>
      </c>
      <c r="AO143" s="1">
        <f>=COUNTIF(E143:AI143,"O")</f>
      </c>
      <c r="AP143" s="1">
        <f>=COUNTIF(E143:AI143,"RT")+(COUNTIF(E143:AI143,"RT.")/2)</f>
      </c>
      <c r="AQ143" s="1">
        <f>=COUNTIF(E143:AI143,"ÇRT")+(COUNTIF(E143:AI143,"ÇRT.")/2)</f>
      </c>
      <c r="AR143" s="1">
        <f>=COUNTIF(E143:AI143,"ÇHT")</f>
      </c>
      <c r="AS143" s="1">
        <f>=COUNTIF(E143:AI143,"Ö")+COUNTIF(E143:AI143,"T")</f>
      </c>
      <c r="AT143" s="1">
        <f>=COUNTIF(E143:AI143,"Y")</f>
      </c>
      <c r="AU143" s="1">
        <f>=COUNTIF(E143:AI143,"R.")</f>
      </c>
      <c r="AV143" s="1">
        <f>=COUNTIF(E143:AI143,"Ü")</f>
      </c>
      <c r="AW143" s="1">
        <f>=COUNTIF(E143:AI143,"R")</f>
      </c>
      <c r="AX143" s="1">
        <f>=COUNTIF(E143:AI143,"DV")</f>
      </c>
      <c r="AY143" s="1">
        <f>=+AN143+AO143+AP143+AQ143+AR143+AS143+AT143+AU143</f>
      </c>
    </row>
    <row r="144" ht="16" customHeight="1" spans="1:51" x14ac:dyDescent="0.25">
      <c r="A144" s="45"/>
      <c r="B144" s="46"/>
      <c r="C144" s="46"/>
      <c r="D144" s="46" t="s">
        <v>33</v>
      </c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ht="16" customHeight="1" spans="1:51" x14ac:dyDescent="0.25">
      <c r="A145" s="45"/>
      <c r="B145" s="46" t="s">
        <v>180</v>
      </c>
      <c r="C145" s="46" t="s">
        <v>181</v>
      </c>
      <c r="D145" s="46" t="s">
        <v>29</v>
      </c>
      <c r="E145" s="46" t="s">
        <v>41</v>
      </c>
      <c r="F145" s="46" t="s">
        <v>41</v>
      </c>
      <c r="G145" s="46" t="s">
        <v>41</v>
      </c>
      <c r="H145" s="46" t="s">
        <v>37</v>
      </c>
      <c r="I145" s="46" t="s">
        <v>41</v>
      </c>
      <c r="J145" s="46" t="s">
        <v>41</v>
      </c>
      <c r="K145" s="46" t="s">
        <v>41</v>
      </c>
      <c r="L145" s="46" t="s">
        <v>41</v>
      </c>
      <c r="M145" s="46" t="s">
        <v>41</v>
      </c>
      <c r="N145" s="46" t="s">
        <v>41</v>
      </c>
      <c r="O145" s="46" t="s">
        <v>37</v>
      </c>
      <c r="P145" s="46" t="s">
        <v>41</v>
      </c>
      <c r="Q145" s="46" t="s">
        <v>31</v>
      </c>
      <c r="R145" s="46" t="s">
        <v>41</v>
      </c>
      <c r="S145" s="46" t="s">
        <v>41</v>
      </c>
      <c r="T145" s="46" t="s">
        <v>41</v>
      </c>
      <c r="U145" s="46" t="s">
        <v>41</v>
      </c>
      <c r="V145" s="46" t="s">
        <v>37</v>
      </c>
      <c r="W145" s="46" t="s">
        <v>41</v>
      </c>
      <c r="X145" s="46" t="s">
        <v>41</v>
      </c>
      <c r="Y145" s="46" t="s">
        <v>41</v>
      </c>
      <c r="Z145" s="46" t="s">
        <v>41</v>
      </c>
      <c r="AA145" s="46" t="s">
        <v>41</v>
      </c>
      <c r="AB145" s="46" t="s">
        <v>41</v>
      </c>
      <c r="AC145" s="46" t="s">
        <v>37</v>
      </c>
      <c r="AD145" s="46" t="s">
        <v>41</v>
      </c>
      <c r="AE145" s="46" t="s">
        <v>41</v>
      </c>
      <c r="AF145" s="46" t="s">
        <v>41</v>
      </c>
      <c r="AG145" s="46" t="s">
        <v>41</v>
      </c>
      <c r="AH145" s="46" t="s">
        <v>43</v>
      </c>
      <c r="AI145" s="46" t="s">
        <v>41</v>
      </c>
      <c r="AJ145" s="46">
        <f>=SUM(E146:AI146)</f>
      </c>
      <c r="AK145" s="46">
        <f>=+AY145</f>
      </c>
      <c r="AL145" s="46"/>
      <c r="AM145" s="1"/>
      <c r="AN145" s="1">
        <f>=COUNTIF(E145:AI145,"A")+COUNTIF(E145:AI145,"B")+COUNTIF(E145:AI145,"C")+COUNTIF(E145:AI145,"D")+COUNTIF(E145:AI145,"E")+COUNTIF(E145:AI145,"F")+COUNTIF(E145:AI145,"M")+COUNTIF(E145:AI145,"AB")+COUNTIF(E145:AI145,"UZ")+COUNTIF(E145:AI145,"G")+(COUNTIF(E145:AI145,"RT.")/2)+(COUNTIF(E145:AI145,"ÇRT.")/2)</f>
      </c>
      <c r="AO145" s="1">
        <f>=COUNTIF(E145:AI145,"O")</f>
      </c>
      <c r="AP145" s="1">
        <f>=COUNTIF(E145:AI145,"RT")+(COUNTIF(E145:AI145,"RT.")/2)</f>
      </c>
      <c r="AQ145" s="1">
        <f>=COUNTIF(E145:AI145,"ÇRT")+(COUNTIF(E145:AI145,"ÇRT.")/2)</f>
      </c>
      <c r="AR145" s="1">
        <f>=COUNTIF(E145:AI145,"ÇHT")</f>
      </c>
      <c r="AS145" s="1">
        <f>=COUNTIF(E145:AI145,"Ö")+COUNTIF(E145:AI145,"T")</f>
      </c>
      <c r="AT145" s="1">
        <f>=COUNTIF(E145:AI145,"Y")</f>
      </c>
      <c r="AU145" s="1">
        <f>=COUNTIF(E145:AI145,"R.")</f>
      </c>
      <c r="AV145" s="1">
        <f>=COUNTIF(E145:AI145,"Ü")</f>
      </c>
      <c r="AW145" s="1">
        <f>=COUNTIF(E145:AI145,"R")</f>
      </c>
      <c r="AX145" s="1">
        <f>=COUNTIF(E145:AI145,"DV")</f>
      </c>
      <c r="AY145" s="1">
        <f>=+AN145+AO145+AP145+AQ145+AR145+AS145+AT145+AU145</f>
      </c>
    </row>
    <row r="146" ht="16" customHeight="1" spans="1:51" x14ac:dyDescent="0.25">
      <c r="A146" s="45"/>
      <c r="B146" s="46"/>
      <c r="C146" s="46"/>
      <c r="D146" s="46" t="s">
        <v>33</v>
      </c>
      <c r="E146" s="46"/>
      <c r="F146" s="46"/>
      <c r="G146" s="46"/>
      <c r="H146" s="46"/>
      <c r="I146" s="46"/>
      <c r="J146" s="46"/>
      <c r="K146" s="46"/>
      <c r="L146" s="46">
        <v>2</v>
      </c>
      <c r="M146" s="46"/>
      <c r="N146" s="46"/>
      <c r="O146" s="46"/>
      <c r="P146" s="46"/>
      <c r="Q146" s="46"/>
      <c r="R146" s="46"/>
      <c r="S146" s="46"/>
      <c r="T146" s="46"/>
      <c r="U146" s="46">
        <v>2</v>
      </c>
      <c r="V146" s="46"/>
      <c r="W146" s="46">
        <v>2</v>
      </c>
      <c r="X146" s="46"/>
      <c r="Y146" s="46"/>
      <c r="Z146" s="46"/>
      <c r="AA146" s="46"/>
      <c r="AB146" s="46">
        <v>2</v>
      </c>
      <c r="AC146" s="46"/>
      <c r="AD146" s="46">
        <v>2</v>
      </c>
      <c r="AE146" s="46"/>
      <c r="AF146" s="46"/>
      <c r="AG146" s="46"/>
      <c r="AH146" s="46"/>
      <c r="AI146" s="46"/>
      <c r="AJ146" s="46"/>
      <c r="AK146" s="46"/>
      <c r="AL146" s="46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ht="16" customHeight="1" spans="1:51" x14ac:dyDescent="0.25">
      <c r="A147" s="45"/>
      <c r="B147" s="46" t="s">
        <v>182</v>
      </c>
      <c r="C147" s="46" t="s">
        <v>183</v>
      </c>
      <c r="D147" s="46" t="s">
        <v>29</v>
      </c>
      <c r="E147" s="46" t="s">
        <v>36</v>
      </c>
      <c r="F147" s="46" t="s">
        <v>36</v>
      </c>
      <c r="G147" s="46" t="s">
        <v>36</v>
      </c>
      <c r="H147" s="46" t="s">
        <v>36</v>
      </c>
      <c r="I147" s="46" t="s">
        <v>36</v>
      </c>
      <c r="J147" s="46" t="s">
        <v>36</v>
      </c>
      <c r="K147" s="46" t="s">
        <v>37</v>
      </c>
      <c r="L147" s="46" t="s">
        <v>36</v>
      </c>
      <c r="M147" s="46" t="s">
        <v>36</v>
      </c>
      <c r="N147" s="46" t="s">
        <v>36</v>
      </c>
      <c r="O147" s="46" t="s">
        <v>36</v>
      </c>
      <c r="P147" s="46" t="s">
        <v>36</v>
      </c>
      <c r="Q147" s="46" t="s">
        <v>36</v>
      </c>
      <c r="R147" s="46" t="s">
        <v>37</v>
      </c>
      <c r="S147" s="46" t="s">
        <v>36</v>
      </c>
      <c r="T147" s="46" t="s">
        <v>36</v>
      </c>
      <c r="U147" s="46" t="s">
        <v>36</v>
      </c>
      <c r="V147" s="46" t="s">
        <v>36</v>
      </c>
      <c r="W147" s="46" t="s">
        <v>36</v>
      </c>
      <c r="X147" s="46" t="s">
        <v>36</v>
      </c>
      <c r="Y147" s="46" t="s">
        <v>37</v>
      </c>
      <c r="Z147" s="46" t="s">
        <v>36</v>
      </c>
      <c r="AA147" s="46" t="s">
        <v>36</v>
      </c>
      <c r="AB147" s="46" t="s">
        <v>36</v>
      </c>
      <c r="AC147" s="46" t="s">
        <v>36</v>
      </c>
      <c r="AD147" s="46" t="s">
        <v>36</v>
      </c>
      <c r="AE147" s="46" t="s">
        <v>36</v>
      </c>
      <c r="AF147" s="46" t="s">
        <v>37</v>
      </c>
      <c r="AG147" s="46" t="s">
        <v>36</v>
      </c>
      <c r="AH147" s="46" t="s">
        <v>43</v>
      </c>
      <c r="AI147" s="46" t="s">
        <v>36</v>
      </c>
      <c r="AJ147" s="46">
        <f>=SUM(E148:AI148)</f>
      </c>
      <c r="AK147" s="46">
        <f>=+AY147</f>
      </c>
      <c r="AL147" s="46"/>
      <c r="AM147" s="1"/>
      <c r="AN147" s="1">
        <f>=COUNTIF(E147:AI147,"A")+COUNTIF(E147:AI147,"B")+COUNTIF(E147:AI147,"C")+COUNTIF(E147:AI147,"D")+COUNTIF(E147:AI147,"E")+COUNTIF(E147:AI147,"F")+COUNTIF(E147:AI147,"M")+COUNTIF(E147:AI147,"AB")+COUNTIF(E147:AI147,"UZ")+COUNTIF(E147:AI147,"G")+(COUNTIF(E147:AI147,"RT.")/2)+(COUNTIF(E147:AI147,"ÇRT.")/2)</f>
      </c>
      <c r="AO147" s="1">
        <f>=COUNTIF(E147:AI147,"O")</f>
      </c>
      <c r="AP147" s="1">
        <f>=COUNTIF(E147:AI147,"RT")+(COUNTIF(E147:AI147,"RT.")/2)</f>
      </c>
      <c r="AQ147" s="1">
        <f>=COUNTIF(E147:AI147,"ÇRT")+(COUNTIF(E147:AI147,"ÇRT.")/2)</f>
      </c>
      <c r="AR147" s="1">
        <f>=COUNTIF(E147:AI147,"ÇHT")</f>
      </c>
      <c r="AS147" s="1">
        <f>=COUNTIF(E147:AI147,"Ö")+COUNTIF(E147:AI147,"T")</f>
      </c>
      <c r="AT147" s="1">
        <f>=COUNTIF(E147:AI147,"Y")</f>
      </c>
      <c r="AU147" s="1">
        <f>=COUNTIF(E147:AI147,"R.")</f>
      </c>
      <c r="AV147" s="1">
        <f>=COUNTIF(E147:AI147,"Ü")</f>
      </c>
      <c r="AW147" s="1">
        <f>=COUNTIF(E147:AI147,"R")</f>
      </c>
      <c r="AX147" s="1">
        <f>=COUNTIF(E147:AI147,"DV")</f>
      </c>
      <c r="AY147" s="1">
        <f>=+AN147+AO147+AP147+AQ147+AR147+AS147+AT147+AU147</f>
      </c>
    </row>
    <row r="148" ht="16" customHeight="1" spans="1:51" x14ac:dyDescent="0.25">
      <c r="A148" s="45"/>
      <c r="B148" s="46"/>
      <c r="C148" s="46"/>
      <c r="D148" s="46" t="s">
        <v>33</v>
      </c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  <c r="AE148" s="46"/>
      <c r="AF148" s="46"/>
      <c r="AG148" s="46"/>
      <c r="AH148" s="46"/>
      <c r="AI148" s="46"/>
      <c r="AJ148" s="46"/>
      <c r="AK148" s="46"/>
      <c r="AL148" s="46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ht="16" customHeight="1" spans="1:51" x14ac:dyDescent="0.25">
      <c r="A149" s="45"/>
      <c r="B149" s="46" t="s">
        <v>184</v>
      </c>
      <c r="C149" s="46" t="s">
        <v>185</v>
      </c>
      <c r="D149" s="46" t="s">
        <v>29</v>
      </c>
      <c r="E149" s="46" t="s">
        <v>30</v>
      </c>
      <c r="F149" s="46" t="s">
        <v>30</v>
      </c>
      <c r="G149" s="46" t="s">
        <v>30</v>
      </c>
      <c r="H149" s="46" t="s">
        <v>30</v>
      </c>
      <c r="I149" s="46" t="s">
        <v>30</v>
      </c>
      <c r="J149" s="46" t="s">
        <v>30</v>
      </c>
      <c r="K149" s="46" t="s">
        <v>37</v>
      </c>
      <c r="L149" s="46" t="s">
        <v>30</v>
      </c>
      <c r="M149" s="46" t="s">
        <v>30</v>
      </c>
      <c r="N149" s="46" t="s">
        <v>30</v>
      </c>
      <c r="O149" s="46" t="s">
        <v>30</v>
      </c>
      <c r="P149" s="46" t="s">
        <v>30</v>
      </c>
      <c r="Q149" s="46" t="s">
        <v>30</v>
      </c>
      <c r="R149" s="46" t="s">
        <v>37</v>
      </c>
      <c r="S149" s="46" t="s">
        <v>31</v>
      </c>
      <c r="T149" s="46" t="s">
        <v>30</v>
      </c>
      <c r="U149" s="46" t="s">
        <v>31</v>
      </c>
      <c r="V149" s="46" t="s">
        <v>30</v>
      </c>
      <c r="W149" s="46" t="s">
        <v>37</v>
      </c>
      <c r="X149" s="46" t="s">
        <v>30</v>
      </c>
      <c r="Y149" s="46" t="s">
        <v>30</v>
      </c>
      <c r="Z149" s="46" t="s">
        <v>30</v>
      </c>
      <c r="AA149" s="46" t="s">
        <v>30</v>
      </c>
      <c r="AB149" s="46" t="s">
        <v>30</v>
      </c>
      <c r="AC149" s="46" t="s">
        <v>30</v>
      </c>
      <c r="AD149" s="46" t="s">
        <v>30</v>
      </c>
      <c r="AE149" s="46" t="s">
        <v>30</v>
      </c>
      <c r="AF149" s="46" t="s">
        <v>37</v>
      </c>
      <c r="AG149" s="46" t="s">
        <v>30</v>
      </c>
      <c r="AH149" s="46" t="s">
        <v>43</v>
      </c>
      <c r="AI149" s="46" t="s">
        <v>30</v>
      </c>
      <c r="AJ149" s="46">
        <f>=SUM(E150:AI150)</f>
      </c>
      <c r="AK149" s="46">
        <f>=+AY149</f>
      </c>
      <c r="AL149" s="46"/>
      <c r="AM149" s="1"/>
      <c r="AN149" s="1">
        <f>=COUNTIF(E149:AI149,"A")+COUNTIF(E149:AI149,"B")+COUNTIF(E149:AI149,"C")+COUNTIF(E149:AI149,"D")+COUNTIF(E149:AI149,"E")+COUNTIF(E149:AI149,"F")+COUNTIF(E149:AI149,"M")+COUNTIF(E149:AI149,"AB")+COUNTIF(E149:AI149,"UZ")+COUNTIF(E149:AI149,"G")+(COUNTIF(E149:AI149,"RT.")/2)+(COUNTIF(E149:AI149,"ÇRT.")/2)</f>
      </c>
      <c r="AO149" s="1">
        <f>=COUNTIF(E149:AI149,"O")</f>
      </c>
      <c r="AP149" s="1">
        <f>=COUNTIF(E149:AI149,"RT")+(COUNTIF(E149:AI149,"RT.")/2)</f>
      </c>
      <c r="AQ149" s="1">
        <f>=COUNTIF(E149:AI149,"ÇRT")+(COUNTIF(E149:AI149,"ÇRT.")/2)</f>
      </c>
      <c r="AR149" s="1">
        <f>=COUNTIF(E149:AI149,"ÇHT")</f>
      </c>
      <c r="AS149" s="1">
        <f>=COUNTIF(E149:AI149,"Ö")+COUNTIF(E149:AI149,"T")</f>
      </c>
      <c r="AT149" s="1">
        <f>=COUNTIF(E149:AI149,"Y")</f>
      </c>
      <c r="AU149" s="1">
        <f>=COUNTIF(E149:AI149,"R.")</f>
      </c>
      <c r="AV149" s="1">
        <f>=COUNTIF(E149:AI149,"Ü")</f>
      </c>
      <c r="AW149" s="1">
        <f>=COUNTIF(E149:AI149,"R")</f>
      </c>
      <c r="AX149" s="1">
        <f>=COUNTIF(E149:AI149,"DV")</f>
      </c>
      <c r="AY149" s="1">
        <f>=+AN149+AO149+AP149+AQ149+AR149+AS149+AT149+AU149</f>
      </c>
    </row>
    <row r="150" ht="16" customHeight="1" spans="1:51" x14ac:dyDescent="0.25">
      <c r="A150" s="45"/>
      <c r="B150" s="46"/>
      <c r="C150" s="46"/>
      <c r="D150" s="46" t="s">
        <v>33</v>
      </c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  <c r="AF150" s="46"/>
      <c r="AG150" s="46"/>
      <c r="AH150" s="46"/>
      <c r="AI150" s="46"/>
      <c r="AJ150" s="46"/>
      <c r="AK150" s="46"/>
      <c r="AL150" s="46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ht="16" customHeight="1" spans="1:51" x14ac:dyDescent="0.25">
      <c r="A151" s="45"/>
      <c r="B151" s="46" t="s">
        <v>186</v>
      </c>
      <c r="C151" s="46" t="s">
        <v>187</v>
      </c>
      <c r="D151" s="46" t="s">
        <v>29</v>
      </c>
      <c r="E151" s="46" t="s">
        <v>36</v>
      </c>
      <c r="F151" s="46" t="s">
        <v>36</v>
      </c>
      <c r="G151" s="46" t="s">
        <v>37</v>
      </c>
      <c r="H151" s="46" t="s">
        <v>36</v>
      </c>
      <c r="I151" s="46" t="s">
        <v>36</v>
      </c>
      <c r="J151" s="46" t="s">
        <v>36</v>
      </c>
      <c r="K151" s="46" t="s">
        <v>36</v>
      </c>
      <c r="L151" s="46" t="s">
        <v>36</v>
      </c>
      <c r="M151" s="46" t="s">
        <v>36</v>
      </c>
      <c r="N151" s="46" t="s">
        <v>37</v>
      </c>
      <c r="O151" s="46" t="s">
        <v>36</v>
      </c>
      <c r="P151" s="46" t="s">
        <v>31</v>
      </c>
      <c r="Q151" s="46" t="s">
        <v>36</v>
      </c>
      <c r="R151" s="46" t="s">
        <v>36</v>
      </c>
      <c r="S151" s="46" t="s">
        <v>36</v>
      </c>
      <c r="T151" s="46" t="s">
        <v>36</v>
      </c>
      <c r="U151" s="46" t="s">
        <v>37</v>
      </c>
      <c r="V151" s="46" t="s">
        <v>36</v>
      </c>
      <c r="W151" s="46" t="s">
        <v>36</v>
      </c>
      <c r="X151" s="46" t="s">
        <v>36</v>
      </c>
      <c r="Y151" s="46" t="s">
        <v>36</v>
      </c>
      <c r="Z151" s="46" t="s">
        <v>36</v>
      </c>
      <c r="AA151" s="46" t="s">
        <v>36</v>
      </c>
      <c r="AB151" s="46" t="s">
        <v>37</v>
      </c>
      <c r="AC151" s="46" t="s">
        <v>36</v>
      </c>
      <c r="AD151" s="46" t="s">
        <v>36</v>
      </c>
      <c r="AE151" s="46" t="s">
        <v>36</v>
      </c>
      <c r="AF151" s="46" t="s">
        <v>36</v>
      </c>
      <c r="AG151" s="46" t="s">
        <v>36</v>
      </c>
      <c r="AH151" s="46" t="s">
        <v>43</v>
      </c>
      <c r="AI151" s="46" t="s">
        <v>37</v>
      </c>
      <c r="AJ151" s="46">
        <f>=SUM(E152:AI152)</f>
      </c>
      <c r="AK151" s="46">
        <f>=+AY151</f>
      </c>
      <c r="AL151" s="46"/>
      <c r="AM151" s="1"/>
      <c r="AN151" s="1">
        <f>=COUNTIF(E151:AI151,"A")+COUNTIF(E151:AI151,"B")+COUNTIF(E151:AI151,"C")+COUNTIF(E151:AI151,"D")+COUNTIF(E151:AI151,"E")+COUNTIF(E151:AI151,"F")+COUNTIF(E151:AI151,"M")+COUNTIF(E151:AI151,"AB")+COUNTIF(E151:AI151,"UZ")+COUNTIF(E151:AI151,"G")+(COUNTIF(E151:AI151,"RT.")/2)+(COUNTIF(E151:AI151,"ÇRT.")/2)</f>
      </c>
      <c r="AO151" s="1">
        <f>=COUNTIF(E151:AI151,"O")</f>
      </c>
      <c r="AP151" s="1">
        <f>=COUNTIF(E151:AI151,"RT")+(COUNTIF(E151:AI151,"RT.")/2)</f>
      </c>
      <c r="AQ151" s="1">
        <f>=COUNTIF(E151:AI151,"ÇRT")+(COUNTIF(E151:AI151,"ÇRT.")/2)</f>
      </c>
      <c r="AR151" s="1">
        <f>=COUNTIF(E151:AI151,"ÇHT")</f>
      </c>
      <c r="AS151" s="1">
        <f>=COUNTIF(E151:AI151,"Ö")+COUNTIF(E151:AI151,"T")</f>
      </c>
      <c r="AT151" s="1">
        <f>=COUNTIF(E151:AI151,"Y")</f>
      </c>
      <c r="AU151" s="1">
        <f>=COUNTIF(E151:AI151,"R.")</f>
      </c>
      <c r="AV151" s="1">
        <f>=COUNTIF(E151:AI151,"Ü")</f>
      </c>
      <c r="AW151" s="1">
        <f>=COUNTIF(E151:AI151,"R")</f>
      </c>
      <c r="AX151" s="1">
        <f>=COUNTIF(E151:AI151,"DV")</f>
      </c>
      <c r="AY151" s="1">
        <f>=+AN151+AO151+AP151+AQ151+AR151+AS151+AT151+AU151</f>
      </c>
    </row>
    <row r="152" ht="16" customHeight="1" spans="1:51" x14ac:dyDescent="0.25">
      <c r="A152" s="45"/>
      <c r="B152" s="46"/>
      <c r="C152" s="46"/>
      <c r="D152" s="46" t="s">
        <v>33</v>
      </c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  <c r="AE152" s="46"/>
      <c r="AF152" s="46"/>
      <c r="AG152" s="46"/>
      <c r="AH152" s="46"/>
      <c r="AI152" s="46"/>
      <c r="AJ152" s="46"/>
      <c r="AK152" s="46"/>
      <c r="AL152" s="46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ht="16" customHeight="1" spans="1:51" x14ac:dyDescent="0.25">
      <c r="A153" s="45"/>
      <c r="B153" s="46" t="s">
        <v>188</v>
      </c>
      <c r="C153" s="46" t="s">
        <v>189</v>
      </c>
      <c r="D153" s="46" t="s">
        <v>29</v>
      </c>
      <c r="E153" s="46" t="s">
        <v>36</v>
      </c>
      <c r="F153" s="46" t="s">
        <v>36</v>
      </c>
      <c r="G153" s="46" t="s">
        <v>36</v>
      </c>
      <c r="H153" s="46" t="s">
        <v>36</v>
      </c>
      <c r="I153" s="46" t="s">
        <v>36</v>
      </c>
      <c r="J153" s="46" t="s">
        <v>36</v>
      </c>
      <c r="K153" s="46" t="s">
        <v>37</v>
      </c>
      <c r="L153" s="46" t="s">
        <v>36</v>
      </c>
      <c r="M153" s="46" t="s">
        <v>36</v>
      </c>
      <c r="N153" s="46" t="s">
        <v>36</v>
      </c>
      <c r="O153" s="46" t="s">
        <v>36</v>
      </c>
      <c r="P153" s="46" t="s">
        <v>36</v>
      </c>
      <c r="Q153" s="46" t="s">
        <v>36</v>
      </c>
      <c r="R153" s="46" t="s">
        <v>37</v>
      </c>
      <c r="S153" s="46" t="s">
        <v>36</v>
      </c>
      <c r="T153" s="46" t="s">
        <v>36</v>
      </c>
      <c r="U153" s="46" t="s">
        <v>36</v>
      </c>
      <c r="V153" s="46" t="s">
        <v>36</v>
      </c>
      <c r="W153" s="46" t="s">
        <v>36</v>
      </c>
      <c r="X153" s="46" t="s">
        <v>36</v>
      </c>
      <c r="Y153" s="46" t="s">
        <v>37</v>
      </c>
      <c r="Z153" s="46" t="s">
        <v>36</v>
      </c>
      <c r="AA153" s="46" t="s">
        <v>36</v>
      </c>
      <c r="AB153" s="46" t="s">
        <v>36</v>
      </c>
      <c r="AC153" s="46" t="s">
        <v>36</v>
      </c>
      <c r="AD153" s="46" t="s">
        <v>36</v>
      </c>
      <c r="AE153" s="46" t="s">
        <v>36</v>
      </c>
      <c r="AF153" s="46" t="s">
        <v>37</v>
      </c>
      <c r="AG153" s="46" t="s">
        <v>36</v>
      </c>
      <c r="AH153" s="46" t="s">
        <v>43</v>
      </c>
      <c r="AI153" s="46" t="s">
        <v>36</v>
      </c>
      <c r="AJ153" s="46">
        <f>=SUM(E154:AI154)</f>
      </c>
      <c r="AK153" s="46">
        <f>=+AY153</f>
      </c>
      <c r="AL153" s="46"/>
      <c r="AM153" s="1"/>
      <c r="AN153" s="1">
        <f>=COUNTIF(E153:AI153,"A")+COUNTIF(E153:AI153,"B")+COUNTIF(E153:AI153,"C")+COUNTIF(E153:AI153,"D")+COUNTIF(E153:AI153,"E")+COUNTIF(E153:AI153,"F")+COUNTIF(E153:AI153,"M")+COUNTIF(E153:AI153,"AB")+COUNTIF(E153:AI153,"UZ")+COUNTIF(E153:AI153,"G")+(COUNTIF(E153:AI153,"RT.")/2)+(COUNTIF(E153:AI153,"ÇRT.")/2)</f>
      </c>
      <c r="AO153" s="1">
        <f>=COUNTIF(E153:AI153,"O")</f>
      </c>
      <c r="AP153" s="1">
        <f>=COUNTIF(E153:AI153,"RT")+(COUNTIF(E153:AI153,"RT.")/2)</f>
      </c>
      <c r="AQ153" s="1">
        <f>=COUNTIF(E153:AI153,"ÇRT")+(COUNTIF(E153:AI153,"ÇRT.")/2)</f>
      </c>
      <c r="AR153" s="1">
        <f>=COUNTIF(E153:AI153,"ÇHT")</f>
      </c>
      <c r="AS153" s="1">
        <f>=COUNTIF(E153:AI153,"Ö")+COUNTIF(E153:AI153,"T")</f>
      </c>
      <c r="AT153" s="1">
        <f>=COUNTIF(E153:AI153,"Y")</f>
      </c>
      <c r="AU153" s="1">
        <f>=COUNTIF(E153:AI153,"R.")</f>
      </c>
      <c r="AV153" s="1">
        <f>=COUNTIF(E153:AI153,"Ü")</f>
      </c>
      <c r="AW153" s="1">
        <f>=COUNTIF(E153:AI153,"R")</f>
      </c>
      <c r="AX153" s="1">
        <f>=COUNTIF(E153:AI153,"DV")</f>
      </c>
      <c r="AY153" s="1">
        <f>=+AN153+AO153+AP153+AQ153+AR153+AS153+AT153+AU153</f>
      </c>
    </row>
    <row r="154" ht="16" customHeight="1" spans="1:51" x14ac:dyDescent="0.25">
      <c r="A154" s="45"/>
      <c r="B154" s="46"/>
      <c r="C154" s="46"/>
      <c r="D154" s="46" t="s">
        <v>33</v>
      </c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ht="16" customHeight="1" spans="1:51" x14ac:dyDescent="0.25">
      <c r="A155" s="45"/>
      <c r="B155" s="46" t="s">
        <v>190</v>
      </c>
      <c r="C155" s="46" t="s">
        <v>191</v>
      </c>
      <c r="D155" s="46" t="s">
        <v>29</v>
      </c>
      <c r="E155" s="46" t="s">
        <v>36</v>
      </c>
      <c r="F155" s="46" t="s">
        <v>36</v>
      </c>
      <c r="G155" s="46" t="s">
        <v>36</v>
      </c>
      <c r="H155" s="46" t="s">
        <v>36</v>
      </c>
      <c r="I155" s="46" t="s">
        <v>36</v>
      </c>
      <c r="J155" s="46" t="s">
        <v>36</v>
      </c>
      <c r="K155" s="46" t="s">
        <v>37</v>
      </c>
      <c r="L155" s="46" t="s">
        <v>36</v>
      </c>
      <c r="M155" s="46" t="s">
        <v>36</v>
      </c>
      <c r="N155" s="46" t="s">
        <v>36</v>
      </c>
      <c r="O155" s="46" t="s">
        <v>36</v>
      </c>
      <c r="P155" s="46" t="s">
        <v>36</v>
      </c>
      <c r="Q155" s="46" t="s">
        <v>36</v>
      </c>
      <c r="R155" s="46" t="s">
        <v>37</v>
      </c>
      <c r="S155" s="46" t="s">
        <v>36</v>
      </c>
      <c r="T155" s="46" t="s">
        <v>36</v>
      </c>
      <c r="U155" s="46" t="s">
        <v>36</v>
      </c>
      <c r="V155" s="46" t="s">
        <v>36</v>
      </c>
      <c r="W155" s="46" t="s">
        <v>36</v>
      </c>
      <c r="X155" s="46" t="s">
        <v>36</v>
      </c>
      <c r="Y155" s="46" t="s">
        <v>37</v>
      </c>
      <c r="Z155" s="46" t="s">
        <v>36</v>
      </c>
      <c r="AA155" s="46" t="s">
        <v>36</v>
      </c>
      <c r="AB155" s="46" t="s">
        <v>36</v>
      </c>
      <c r="AC155" s="46" t="s">
        <v>36</v>
      </c>
      <c r="AD155" s="46" t="s">
        <v>36</v>
      </c>
      <c r="AE155" s="46" t="s">
        <v>36</v>
      </c>
      <c r="AF155" s="46" t="s">
        <v>37</v>
      </c>
      <c r="AG155" s="46" t="s">
        <v>36</v>
      </c>
      <c r="AH155" s="46" t="s">
        <v>43</v>
      </c>
      <c r="AI155" s="46" t="s">
        <v>36</v>
      </c>
      <c r="AJ155" s="46">
        <f>=SUM(E156:AI156)</f>
      </c>
      <c r="AK155" s="46">
        <f>=+AY155</f>
      </c>
      <c r="AL155" s="46"/>
      <c r="AM155" s="1"/>
      <c r="AN155" s="1">
        <f>=COUNTIF(E155:AI155,"A")+COUNTIF(E155:AI155,"B")+COUNTIF(E155:AI155,"C")+COUNTIF(E155:AI155,"D")+COUNTIF(E155:AI155,"E")+COUNTIF(E155:AI155,"F")+COUNTIF(E155:AI155,"M")+COUNTIF(E155:AI155,"AB")+COUNTIF(E155:AI155,"UZ")+COUNTIF(E155:AI155,"G")+(COUNTIF(E155:AI155,"RT.")/2)+(COUNTIF(E155:AI155,"ÇRT.")/2)</f>
      </c>
      <c r="AO155" s="1">
        <f>=COUNTIF(E155:AI155,"O")</f>
      </c>
      <c r="AP155" s="1">
        <f>=COUNTIF(E155:AI155,"RT")+(COUNTIF(E155:AI155,"RT.")/2)</f>
      </c>
      <c r="AQ155" s="1">
        <f>=COUNTIF(E155:AI155,"ÇRT")+(COUNTIF(E155:AI155,"ÇRT.")/2)</f>
      </c>
      <c r="AR155" s="1">
        <f>=COUNTIF(E155:AI155,"ÇHT")</f>
      </c>
      <c r="AS155" s="1">
        <f>=COUNTIF(E155:AI155,"Ö")+COUNTIF(E155:AI155,"T")</f>
      </c>
      <c r="AT155" s="1">
        <f>=COUNTIF(E155:AI155,"Y")</f>
      </c>
      <c r="AU155" s="1">
        <f>=COUNTIF(E155:AI155,"R.")</f>
      </c>
      <c r="AV155" s="1">
        <f>=COUNTIF(E155:AI155,"Ü")</f>
      </c>
      <c r="AW155" s="1">
        <f>=COUNTIF(E155:AI155,"R")</f>
      </c>
      <c r="AX155" s="1">
        <f>=COUNTIF(E155:AI155,"DV")</f>
      </c>
      <c r="AY155" s="1">
        <f>=+AN155+AO155+AP155+AQ155+AR155+AS155+AT155+AU155</f>
      </c>
    </row>
    <row r="156" ht="16" customHeight="1" spans="1:51" x14ac:dyDescent="0.25">
      <c r="A156" s="45"/>
      <c r="B156" s="46"/>
      <c r="C156" s="46"/>
      <c r="D156" s="46" t="s">
        <v>33</v>
      </c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  <c r="AG156" s="46"/>
      <c r="AH156" s="46"/>
      <c r="AI156" s="46"/>
      <c r="AJ156" s="46"/>
      <c r="AK156" s="46"/>
      <c r="AL156" s="46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ht="16" customHeight="1" spans="1:51" x14ac:dyDescent="0.25">
      <c r="A157" s="45"/>
      <c r="B157" s="46" t="s">
        <v>192</v>
      </c>
      <c r="C157" s="46" t="s">
        <v>193</v>
      </c>
      <c r="D157" s="46" t="s">
        <v>29</v>
      </c>
      <c r="E157" s="46" t="s">
        <v>46</v>
      </c>
      <c r="F157" s="46" t="s">
        <v>41</v>
      </c>
      <c r="G157" s="46" t="s">
        <v>37</v>
      </c>
      <c r="H157" s="46" t="s">
        <v>41</v>
      </c>
      <c r="I157" s="46" t="s">
        <v>42</v>
      </c>
      <c r="J157" s="46" t="s">
        <v>41</v>
      </c>
      <c r="K157" s="46" t="s">
        <v>41</v>
      </c>
      <c r="L157" s="46" t="s">
        <v>41</v>
      </c>
      <c r="M157" s="46" t="s">
        <v>41</v>
      </c>
      <c r="N157" s="46" t="s">
        <v>41</v>
      </c>
      <c r="O157" s="46" t="s">
        <v>41</v>
      </c>
      <c r="P157" s="46" t="s">
        <v>37</v>
      </c>
      <c r="Q157" s="46" t="s">
        <v>41</v>
      </c>
      <c r="R157" s="46" t="s">
        <v>41</v>
      </c>
      <c r="S157" s="46" t="s">
        <v>42</v>
      </c>
      <c r="T157" s="46" t="s">
        <v>41</v>
      </c>
      <c r="U157" s="46" t="s">
        <v>41</v>
      </c>
      <c r="V157" s="46" t="s">
        <v>41</v>
      </c>
      <c r="W157" s="46" t="s">
        <v>37</v>
      </c>
      <c r="X157" s="46" t="s">
        <v>41</v>
      </c>
      <c r="Y157" s="46" t="s">
        <v>41</v>
      </c>
      <c r="Z157" s="46" t="s">
        <v>41</v>
      </c>
      <c r="AA157" s="46" t="s">
        <v>41</v>
      </c>
      <c r="AB157" s="46" t="s">
        <v>41</v>
      </c>
      <c r="AC157" s="46" t="s">
        <v>41</v>
      </c>
      <c r="AD157" s="46" t="s">
        <v>37</v>
      </c>
      <c r="AE157" s="46" t="s">
        <v>41</v>
      </c>
      <c r="AF157" s="46" t="s">
        <v>41</v>
      </c>
      <c r="AG157" s="46" t="s">
        <v>41</v>
      </c>
      <c r="AH157" s="46" t="s">
        <v>43</v>
      </c>
      <c r="AI157" s="46" t="s">
        <v>41</v>
      </c>
      <c r="AJ157" s="46">
        <f>=SUM(E158:AI158)</f>
      </c>
      <c r="AK157" s="46">
        <f>=+AY157</f>
      </c>
      <c r="AL157" s="46"/>
      <c r="AM157" s="1"/>
      <c r="AN157" s="1">
        <f>=COUNTIF(E157:AI157,"A")+COUNTIF(E157:AI157,"B")+COUNTIF(E157:AI157,"C")+COUNTIF(E157:AI157,"D")+COUNTIF(E157:AI157,"E")+COUNTIF(E157:AI157,"F")+COUNTIF(E157:AI157,"M")+COUNTIF(E157:AI157,"AB")+COUNTIF(E157:AI157,"UZ")+COUNTIF(E157:AI157,"G")+(COUNTIF(E157:AI157,"RT.")/2)+(COUNTIF(E157:AI157,"ÇRT.")/2)</f>
      </c>
      <c r="AO157" s="1">
        <f>=COUNTIF(E157:AI157,"O")</f>
      </c>
      <c r="AP157" s="1">
        <f>=COUNTIF(E157:AI157,"RT")+(COUNTIF(E157:AI157,"RT.")/2)</f>
      </c>
      <c r="AQ157" s="1">
        <f>=COUNTIF(E157:AI157,"ÇRT")+(COUNTIF(E157:AI157,"ÇRT.")/2)</f>
      </c>
      <c r="AR157" s="1">
        <f>=COUNTIF(E157:AI157,"ÇHT")</f>
      </c>
      <c r="AS157" s="1">
        <f>=COUNTIF(E157:AI157,"Ö")+COUNTIF(E157:AI157,"T")</f>
      </c>
      <c r="AT157" s="1">
        <f>=COUNTIF(E157:AI157,"Y")</f>
      </c>
      <c r="AU157" s="1">
        <f>=COUNTIF(E157:AI157,"R.")</f>
      </c>
      <c r="AV157" s="1">
        <f>=COUNTIF(E157:AI157,"Ü")</f>
      </c>
      <c r="AW157" s="1">
        <f>=COUNTIF(E157:AI157,"R")</f>
      </c>
      <c r="AX157" s="1">
        <f>=COUNTIF(E157:AI157,"DV")</f>
      </c>
      <c r="AY157" s="1">
        <f>=+AN157+AO157+AP157+AQ157+AR157+AS157+AT157+AU157</f>
      </c>
    </row>
    <row r="158" ht="16" customHeight="1" spans="1:51" x14ac:dyDescent="0.25">
      <c r="A158" s="45"/>
      <c r="B158" s="46"/>
      <c r="C158" s="46"/>
      <c r="D158" s="46" t="s">
        <v>33</v>
      </c>
      <c r="E158" s="46"/>
      <c r="F158" s="46"/>
      <c r="G158" s="46"/>
      <c r="H158" s="46">
        <v>2</v>
      </c>
      <c r="I158" s="46"/>
      <c r="J158" s="46">
        <v>2</v>
      </c>
      <c r="K158" s="46">
        <v>2</v>
      </c>
      <c r="L158" s="46"/>
      <c r="M158" s="46"/>
      <c r="N158" s="46"/>
      <c r="O158" s="46">
        <v>2</v>
      </c>
      <c r="P158" s="46"/>
      <c r="Q158" s="46">
        <v>2</v>
      </c>
      <c r="R158" s="46">
        <v>2</v>
      </c>
      <c r="S158" s="46"/>
      <c r="T158" s="46"/>
      <c r="U158" s="46"/>
      <c r="V158" s="46"/>
      <c r="W158" s="46"/>
      <c r="X158" s="46"/>
      <c r="Y158" s="46"/>
      <c r="Z158" s="46">
        <v>3</v>
      </c>
      <c r="AA158" s="46">
        <v>3</v>
      </c>
      <c r="AB158" s="46"/>
      <c r="AC158" s="46"/>
      <c r="AD158" s="46"/>
      <c r="AE158" s="46"/>
      <c r="AF158" s="46"/>
      <c r="AG158" s="46">
        <v>3</v>
      </c>
      <c r="AH158" s="46">
        <v>3</v>
      </c>
      <c r="AI158" s="46"/>
      <c r="AJ158" s="46"/>
      <c r="AK158" s="46"/>
      <c r="AL158" s="46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ht="16" customHeight="1" spans="1:51" x14ac:dyDescent="0.25">
      <c r="A159" s="45"/>
      <c r="B159" s="46" t="s">
        <v>194</v>
      </c>
      <c r="C159" s="46" t="s">
        <v>195</v>
      </c>
      <c r="D159" s="46" t="s">
        <v>29</v>
      </c>
      <c r="E159" s="46" t="s">
        <v>41</v>
      </c>
      <c r="F159" s="46" t="s">
        <v>41</v>
      </c>
      <c r="G159" s="46" t="s">
        <v>41</v>
      </c>
      <c r="H159" s="46" t="s">
        <v>37</v>
      </c>
      <c r="I159" s="46" t="s">
        <v>41</v>
      </c>
      <c r="J159" s="46" t="s">
        <v>41</v>
      </c>
      <c r="K159" s="46" t="s">
        <v>41</v>
      </c>
      <c r="L159" s="46" t="s">
        <v>41</v>
      </c>
      <c r="M159" s="46" t="s">
        <v>41</v>
      </c>
      <c r="N159" s="46" t="s">
        <v>41</v>
      </c>
      <c r="O159" s="46" t="s">
        <v>37</v>
      </c>
      <c r="P159" s="46" t="s">
        <v>41</v>
      </c>
      <c r="Q159" s="46" t="s">
        <v>41</v>
      </c>
      <c r="R159" s="46" t="s">
        <v>41</v>
      </c>
      <c r="S159" s="46" t="s">
        <v>41</v>
      </c>
      <c r="T159" s="46" t="s">
        <v>41</v>
      </c>
      <c r="U159" s="46" t="s">
        <v>41</v>
      </c>
      <c r="V159" s="46" t="s">
        <v>37</v>
      </c>
      <c r="W159" s="46" t="s">
        <v>41</v>
      </c>
      <c r="X159" s="46" t="s">
        <v>41</v>
      </c>
      <c r="Y159" s="46" t="s">
        <v>41</v>
      </c>
      <c r="Z159" s="46" t="s">
        <v>41</v>
      </c>
      <c r="AA159" s="46" t="s">
        <v>41</v>
      </c>
      <c r="AB159" s="46" t="s">
        <v>41</v>
      </c>
      <c r="AC159" s="46" t="s">
        <v>37</v>
      </c>
      <c r="AD159" s="46" t="s">
        <v>41</v>
      </c>
      <c r="AE159" s="46" t="s">
        <v>41</v>
      </c>
      <c r="AF159" s="46" t="s">
        <v>41</v>
      </c>
      <c r="AG159" s="46" t="s">
        <v>41</v>
      </c>
      <c r="AH159" s="46" t="s">
        <v>43</v>
      </c>
      <c r="AI159" s="46" t="s">
        <v>41</v>
      </c>
      <c r="AJ159" s="46">
        <f>=SUM(E160:AI160)</f>
      </c>
      <c r="AK159" s="46">
        <f>=+AY159</f>
      </c>
      <c r="AL159" s="46"/>
      <c r="AM159" s="1"/>
      <c r="AN159" s="1">
        <f>=COUNTIF(E159:AI159,"A")+COUNTIF(E159:AI159,"B")+COUNTIF(E159:AI159,"C")+COUNTIF(E159:AI159,"D")+COUNTIF(E159:AI159,"E")+COUNTIF(E159:AI159,"F")+COUNTIF(E159:AI159,"M")+COUNTIF(E159:AI159,"AB")+COUNTIF(E159:AI159,"UZ")+COUNTIF(E159:AI159,"G")+(COUNTIF(E159:AI159,"RT.")/2)+(COUNTIF(E159:AI159,"ÇRT.")/2)</f>
      </c>
      <c r="AO159" s="1">
        <f>=COUNTIF(E159:AI159,"O")</f>
      </c>
      <c r="AP159" s="1">
        <f>=COUNTIF(E159:AI159,"RT")+(COUNTIF(E159:AI159,"RT.")/2)</f>
      </c>
      <c r="AQ159" s="1">
        <f>=COUNTIF(E159:AI159,"ÇRT")+(COUNTIF(E159:AI159,"ÇRT.")/2)</f>
      </c>
      <c r="AR159" s="1">
        <f>=COUNTIF(E159:AI159,"ÇHT")</f>
      </c>
      <c r="AS159" s="1">
        <f>=COUNTIF(E159:AI159,"Ö")+COUNTIF(E159:AI159,"T")</f>
      </c>
      <c r="AT159" s="1">
        <f>=COUNTIF(E159:AI159,"Y")</f>
      </c>
      <c r="AU159" s="1">
        <f>=COUNTIF(E159:AI159,"R.")</f>
      </c>
      <c r="AV159" s="1">
        <f>=COUNTIF(E159:AI159,"Ü")</f>
      </c>
      <c r="AW159" s="1">
        <f>=COUNTIF(E159:AI159,"R")</f>
      </c>
      <c r="AX159" s="1">
        <f>=COUNTIF(E159:AI159,"DV")</f>
      </c>
      <c r="AY159" s="1">
        <f>=+AN159+AO159+AP159+AQ159+AR159+AS159+AT159+AU159</f>
      </c>
    </row>
    <row r="160" ht="16" customHeight="1" spans="1:51" x14ac:dyDescent="0.25">
      <c r="A160" s="45"/>
      <c r="B160" s="46"/>
      <c r="C160" s="46"/>
      <c r="D160" s="46" t="s">
        <v>33</v>
      </c>
      <c r="E160" s="46"/>
      <c r="F160" s="46"/>
      <c r="G160" s="46"/>
      <c r="H160" s="46"/>
      <c r="I160" s="46">
        <v>3</v>
      </c>
      <c r="J160" s="46">
        <v>2</v>
      </c>
      <c r="K160" s="46"/>
      <c r="L160" s="46"/>
      <c r="M160" s="46"/>
      <c r="N160" s="46"/>
      <c r="O160" s="46"/>
      <c r="P160" s="46">
        <v>3</v>
      </c>
      <c r="Q160" s="46">
        <v>2</v>
      </c>
      <c r="R160" s="46"/>
      <c r="S160" s="46"/>
      <c r="T160" s="46"/>
      <c r="U160" s="46"/>
      <c r="V160" s="46"/>
      <c r="W160" s="46">
        <v>3</v>
      </c>
      <c r="X160" s="46">
        <v>2</v>
      </c>
      <c r="Y160" s="46"/>
      <c r="Z160" s="46"/>
      <c r="AA160" s="46"/>
      <c r="AB160" s="46"/>
      <c r="AC160" s="46"/>
      <c r="AD160" s="46">
        <v>3</v>
      </c>
      <c r="AE160" s="46">
        <v>2</v>
      </c>
      <c r="AF160" s="46"/>
      <c r="AG160" s="46"/>
      <c r="AH160" s="46"/>
      <c r="AI160" s="46"/>
      <c r="AJ160" s="46"/>
      <c r="AK160" s="46"/>
      <c r="AL160" s="46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ht="16" customHeight="1" spans="1:51" x14ac:dyDescent="0.25">
      <c r="A161" s="45"/>
      <c r="B161" s="46" t="s">
        <v>196</v>
      </c>
      <c r="C161" s="46" t="s">
        <v>197</v>
      </c>
      <c r="D161" s="46" t="s">
        <v>29</v>
      </c>
      <c r="E161" s="46" t="s">
        <v>36</v>
      </c>
      <c r="F161" s="46" t="s">
        <v>36</v>
      </c>
      <c r="G161" s="46" t="s">
        <v>36</v>
      </c>
      <c r="H161" s="46" t="s">
        <v>36</v>
      </c>
      <c r="I161" s="46" t="s">
        <v>37</v>
      </c>
      <c r="J161" s="46" t="s">
        <v>36</v>
      </c>
      <c r="K161" s="46" t="s">
        <v>36</v>
      </c>
      <c r="L161" s="46" t="s">
        <v>36</v>
      </c>
      <c r="M161" s="46" t="s">
        <v>36</v>
      </c>
      <c r="N161" s="46" t="s">
        <v>36</v>
      </c>
      <c r="O161" s="46" t="s">
        <v>36</v>
      </c>
      <c r="P161" s="46" t="s">
        <v>36</v>
      </c>
      <c r="Q161" s="46" t="s">
        <v>37</v>
      </c>
      <c r="R161" s="46" t="s">
        <v>36</v>
      </c>
      <c r="S161" s="46" t="s">
        <v>36</v>
      </c>
      <c r="T161" s="46" t="s">
        <v>36</v>
      </c>
      <c r="U161" s="46" t="s">
        <v>36</v>
      </c>
      <c r="V161" s="46" t="s">
        <v>36</v>
      </c>
      <c r="W161" s="46" t="s">
        <v>36</v>
      </c>
      <c r="X161" s="46" t="s">
        <v>37</v>
      </c>
      <c r="Y161" s="46" t="s">
        <v>36</v>
      </c>
      <c r="Z161" s="46" t="s">
        <v>36</v>
      </c>
      <c r="AA161" s="46" t="s">
        <v>36</v>
      </c>
      <c r="AB161" s="46" t="s">
        <v>36</v>
      </c>
      <c r="AC161" s="46" t="s">
        <v>36</v>
      </c>
      <c r="AD161" s="46" t="s">
        <v>36</v>
      </c>
      <c r="AE161" s="46" t="s">
        <v>37</v>
      </c>
      <c r="AF161" s="46" t="s">
        <v>36</v>
      </c>
      <c r="AG161" s="46" t="s">
        <v>36</v>
      </c>
      <c r="AH161" s="46" t="s">
        <v>43</v>
      </c>
      <c r="AI161" s="46" t="s">
        <v>36</v>
      </c>
      <c r="AJ161" s="46">
        <f>=SUM(E162:AI162)</f>
      </c>
      <c r="AK161" s="46">
        <f>=+AY161</f>
      </c>
      <c r="AL161" s="46"/>
      <c r="AM161" s="1"/>
      <c r="AN161" s="1">
        <f>=COUNTIF(E161:AI161,"A")+COUNTIF(E161:AI161,"B")+COUNTIF(E161:AI161,"C")+COUNTIF(E161:AI161,"D")+COUNTIF(E161:AI161,"E")+COUNTIF(E161:AI161,"F")+COUNTIF(E161:AI161,"M")+COUNTIF(E161:AI161,"AB")+COUNTIF(E161:AI161,"UZ")+COUNTIF(E161:AI161,"G")+(COUNTIF(E161:AI161,"RT.")/2)+(COUNTIF(E161:AI161,"ÇRT.")/2)</f>
      </c>
      <c r="AO161" s="1">
        <f>=COUNTIF(E161:AI161,"O")</f>
      </c>
      <c r="AP161" s="1">
        <f>=COUNTIF(E161:AI161,"RT")+(COUNTIF(E161:AI161,"RT.")/2)</f>
      </c>
      <c r="AQ161" s="1">
        <f>=COUNTIF(E161:AI161,"ÇRT")+(COUNTIF(E161:AI161,"ÇRT.")/2)</f>
      </c>
      <c r="AR161" s="1">
        <f>=COUNTIF(E161:AI161,"ÇHT")</f>
      </c>
      <c r="AS161" s="1">
        <f>=COUNTIF(E161:AI161,"Ö")+COUNTIF(E161:AI161,"T")</f>
      </c>
      <c r="AT161" s="1">
        <f>=COUNTIF(E161:AI161,"Y")</f>
      </c>
      <c r="AU161" s="1">
        <f>=COUNTIF(E161:AI161,"R.")</f>
      </c>
      <c r="AV161" s="1">
        <f>=COUNTIF(E161:AI161,"Ü")</f>
      </c>
      <c r="AW161" s="1">
        <f>=COUNTIF(E161:AI161,"R")</f>
      </c>
      <c r="AX161" s="1">
        <f>=COUNTIF(E161:AI161,"DV")</f>
      </c>
      <c r="AY161" s="1">
        <f>=+AN161+AO161+AP161+AQ161+AR161+AS161+AT161+AU161</f>
      </c>
    </row>
    <row r="162" ht="16" customHeight="1" spans="1:51" x14ac:dyDescent="0.25">
      <c r="A162" s="45"/>
      <c r="B162" s="46"/>
      <c r="C162" s="46"/>
      <c r="D162" s="46" t="s">
        <v>33</v>
      </c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  <c r="AF162" s="46"/>
      <c r="AG162" s="46"/>
      <c r="AH162" s="46"/>
      <c r="AI162" s="46"/>
      <c r="AJ162" s="46"/>
      <c r="AK162" s="46"/>
      <c r="AL162" s="46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ht="16" customHeight="1" spans="1:51" x14ac:dyDescent="0.25">
      <c r="A163" s="45"/>
      <c r="B163" s="46" t="s">
        <v>198</v>
      </c>
      <c r="C163" s="46" t="s">
        <v>199</v>
      </c>
      <c r="D163" s="46" t="s">
        <v>29</v>
      </c>
      <c r="E163" s="46" t="s">
        <v>36</v>
      </c>
      <c r="F163" s="46" t="s">
        <v>37</v>
      </c>
      <c r="G163" s="46" t="s">
        <v>36</v>
      </c>
      <c r="H163" s="46" t="s">
        <v>36</v>
      </c>
      <c r="I163" s="46" t="s">
        <v>36</v>
      </c>
      <c r="J163" s="46" t="s">
        <v>36</v>
      </c>
      <c r="K163" s="46" t="s">
        <v>36</v>
      </c>
      <c r="L163" s="46" t="s">
        <v>36</v>
      </c>
      <c r="M163" s="46" t="s">
        <v>37</v>
      </c>
      <c r="N163" s="46" t="s">
        <v>36</v>
      </c>
      <c r="O163" s="46" t="s">
        <v>36</v>
      </c>
      <c r="P163" s="46" t="s">
        <v>36</v>
      </c>
      <c r="Q163" s="46" t="s">
        <v>36</v>
      </c>
      <c r="R163" s="46" t="s">
        <v>36</v>
      </c>
      <c r="S163" s="46" t="s">
        <v>36</v>
      </c>
      <c r="T163" s="46" t="s">
        <v>37</v>
      </c>
      <c r="U163" s="46" t="s">
        <v>36</v>
      </c>
      <c r="V163" s="46" t="s">
        <v>36</v>
      </c>
      <c r="W163" s="46" t="s">
        <v>36</v>
      </c>
      <c r="X163" s="46" t="s">
        <v>36</v>
      </c>
      <c r="Y163" s="46" t="s">
        <v>36</v>
      </c>
      <c r="Z163" s="46" t="s">
        <v>36</v>
      </c>
      <c r="AA163" s="46" t="s">
        <v>37</v>
      </c>
      <c r="AB163" s="46" t="s">
        <v>36</v>
      </c>
      <c r="AC163" s="46" t="s">
        <v>36</v>
      </c>
      <c r="AD163" s="46" t="s">
        <v>36</v>
      </c>
      <c r="AE163" s="46" t="s">
        <v>36</v>
      </c>
      <c r="AF163" s="46" t="s">
        <v>36</v>
      </c>
      <c r="AG163" s="46" t="s">
        <v>36</v>
      </c>
      <c r="AH163" s="46" t="s">
        <v>37</v>
      </c>
      <c r="AI163" s="46" t="s">
        <v>36</v>
      </c>
      <c r="AJ163" s="46">
        <f>=SUM(E164:AI164)</f>
      </c>
      <c r="AK163" s="46">
        <f>=+AY163</f>
      </c>
      <c r="AL163" s="46"/>
      <c r="AM163" s="1"/>
      <c r="AN163" s="1">
        <f>=COUNTIF(E163:AI163,"A")+COUNTIF(E163:AI163,"B")+COUNTIF(E163:AI163,"C")+COUNTIF(E163:AI163,"D")+COUNTIF(E163:AI163,"E")+COUNTIF(E163:AI163,"F")+COUNTIF(E163:AI163,"M")+COUNTIF(E163:AI163,"AB")+COUNTIF(E163:AI163,"UZ")+COUNTIF(E163:AI163,"G")+(COUNTIF(E163:AI163,"RT.")/2)+(COUNTIF(E163:AI163,"ÇRT.")/2)</f>
      </c>
      <c r="AO163" s="1">
        <f>=COUNTIF(E163:AI163,"O")</f>
      </c>
      <c r="AP163" s="1">
        <f>=COUNTIF(E163:AI163,"RT")+(COUNTIF(E163:AI163,"RT.")/2)</f>
      </c>
      <c r="AQ163" s="1">
        <f>=COUNTIF(E163:AI163,"ÇRT")+(COUNTIF(E163:AI163,"ÇRT.")/2)</f>
      </c>
      <c r="AR163" s="1">
        <f>=COUNTIF(E163:AI163,"ÇHT")</f>
      </c>
      <c r="AS163" s="1">
        <f>=COUNTIF(E163:AI163,"Ö")+COUNTIF(E163:AI163,"T")</f>
      </c>
      <c r="AT163" s="1">
        <f>=COUNTIF(E163:AI163,"Y")</f>
      </c>
      <c r="AU163" s="1">
        <f>=COUNTIF(E163:AI163,"R.")</f>
      </c>
      <c r="AV163" s="1">
        <f>=COUNTIF(E163:AI163,"Ü")</f>
      </c>
      <c r="AW163" s="1">
        <f>=COUNTIF(E163:AI163,"R")</f>
      </c>
      <c r="AX163" s="1">
        <f>=COUNTIF(E163:AI163,"DV")</f>
      </c>
      <c r="AY163" s="1">
        <f>=+AN163+AO163+AP163+AQ163+AR163+AS163+AT163+AU163</f>
      </c>
    </row>
    <row r="164" ht="16" customHeight="1" spans="1:51" x14ac:dyDescent="0.25">
      <c r="A164" s="45"/>
      <c r="B164" s="46"/>
      <c r="C164" s="46"/>
      <c r="D164" s="46" t="s">
        <v>33</v>
      </c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  <c r="AE164" s="46"/>
      <c r="AF164" s="46"/>
      <c r="AG164" s="46"/>
      <c r="AH164" s="46"/>
      <c r="AI164" s="46"/>
      <c r="AJ164" s="46"/>
      <c r="AK164" s="46"/>
      <c r="AL164" s="46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ht="16" customHeight="1" spans="1:51" x14ac:dyDescent="0.25">
      <c r="A165" s="45"/>
      <c r="B165" s="46" t="s">
        <v>200</v>
      </c>
      <c r="C165" s="46" t="s">
        <v>201</v>
      </c>
      <c r="D165" s="46" t="s">
        <v>29</v>
      </c>
      <c r="E165" s="46" t="s">
        <v>59</v>
      </c>
      <c r="F165" s="46" t="s">
        <v>59</v>
      </c>
      <c r="G165" s="46" t="s">
        <v>59</v>
      </c>
      <c r="H165" s="46" t="s">
        <v>46</v>
      </c>
      <c r="I165" s="46" t="s">
        <v>37</v>
      </c>
      <c r="J165" s="46" t="s">
        <v>59</v>
      </c>
      <c r="K165" s="46" t="s">
        <v>59</v>
      </c>
      <c r="L165" s="46" t="s">
        <v>59</v>
      </c>
      <c r="M165" s="46" t="s">
        <v>59</v>
      </c>
      <c r="N165" s="46" t="s">
        <v>59</v>
      </c>
      <c r="O165" s="46" t="s">
        <v>46</v>
      </c>
      <c r="P165" s="46" t="s">
        <v>37</v>
      </c>
      <c r="Q165" s="46" t="s">
        <v>46</v>
      </c>
      <c r="R165" s="46" t="s">
        <v>46</v>
      </c>
      <c r="S165" s="46" t="s">
        <v>46</v>
      </c>
      <c r="T165" s="46" t="s">
        <v>46</v>
      </c>
      <c r="U165" s="46" t="s">
        <v>59</v>
      </c>
      <c r="V165" s="46" t="s">
        <v>59</v>
      </c>
      <c r="W165" s="46" t="s">
        <v>37</v>
      </c>
      <c r="X165" s="46" t="s">
        <v>59</v>
      </c>
      <c r="Y165" s="46" t="s">
        <v>59</v>
      </c>
      <c r="Z165" s="46" t="s">
        <v>59</v>
      </c>
      <c r="AA165" s="46" t="s">
        <v>59</v>
      </c>
      <c r="AB165" s="46" t="s">
        <v>59</v>
      </c>
      <c r="AC165" s="46" t="s">
        <v>59</v>
      </c>
      <c r="AD165" s="46" t="s">
        <v>37</v>
      </c>
      <c r="AE165" s="46" t="s">
        <v>59</v>
      </c>
      <c r="AF165" s="46" t="s">
        <v>59</v>
      </c>
      <c r="AG165" s="46" t="s">
        <v>59</v>
      </c>
      <c r="AH165" s="46" t="s">
        <v>43</v>
      </c>
      <c r="AI165" s="46" t="s">
        <v>59</v>
      </c>
      <c r="AJ165" s="46">
        <f>=SUM(E166:AI166)</f>
      </c>
      <c r="AK165" s="46">
        <f>=+AY165</f>
      </c>
      <c r="AL165" s="46"/>
      <c r="AM165" s="1"/>
      <c r="AN165" s="1">
        <f>=COUNTIF(E165:AI165,"A")+COUNTIF(E165:AI165,"B")+COUNTIF(E165:AI165,"C")+COUNTIF(E165:AI165,"D")+COUNTIF(E165:AI165,"E")+COUNTIF(E165:AI165,"F")+COUNTIF(E165:AI165,"M")+COUNTIF(E165:AI165,"AB")+COUNTIF(E165:AI165,"UZ")+COUNTIF(E165:AI165,"G")+(COUNTIF(E165:AI165,"RT.")/2)+(COUNTIF(E165:AI165,"ÇRT.")/2)</f>
      </c>
      <c r="AO165" s="1">
        <f>=COUNTIF(E165:AI165,"O")</f>
      </c>
      <c r="AP165" s="1">
        <f>=COUNTIF(E165:AI165,"RT")+(COUNTIF(E165:AI165,"RT.")/2)</f>
      </c>
      <c r="AQ165" s="1">
        <f>=COUNTIF(E165:AI165,"ÇRT")+(COUNTIF(E165:AI165,"ÇRT.")/2)</f>
      </c>
      <c r="AR165" s="1">
        <f>=COUNTIF(E165:AI165,"ÇHT")</f>
      </c>
      <c r="AS165" s="1">
        <f>=COUNTIF(E165:AI165,"Ö")+COUNTIF(E165:AI165,"T")</f>
      </c>
      <c r="AT165" s="1">
        <f>=COUNTIF(E165:AI165,"Y")</f>
      </c>
      <c r="AU165" s="1">
        <f>=COUNTIF(E165:AI165,"R.")</f>
      </c>
      <c r="AV165" s="1">
        <f>=COUNTIF(E165:AI165,"Ü")</f>
      </c>
      <c r="AW165" s="1">
        <f>=COUNTIF(E165:AI165,"R")</f>
      </c>
      <c r="AX165" s="1">
        <f>=COUNTIF(E165:AI165,"DV")</f>
      </c>
      <c r="AY165" s="1">
        <f>=+AN165+AO165+AP165+AQ165+AR165+AS165+AT165+AU165</f>
      </c>
    </row>
    <row r="166" ht="16" customHeight="1" spans="1:51" x14ac:dyDescent="0.25">
      <c r="A166" s="45"/>
      <c r="B166" s="46"/>
      <c r="C166" s="46"/>
      <c r="D166" s="46" t="s">
        <v>33</v>
      </c>
      <c r="E166" s="46"/>
      <c r="F166" s="46"/>
      <c r="G166" s="46"/>
      <c r="H166" s="46"/>
      <c r="I166" s="46"/>
      <c r="J166" s="46">
        <v>2</v>
      </c>
      <c r="K166" s="46">
        <v>2</v>
      </c>
      <c r="L166" s="46">
        <v>2</v>
      </c>
      <c r="M166" s="46">
        <v>2</v>
      </c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  <c r="AG166" s="46"/>
      <c r="AH166" s="46"/>
      <c r="AI166" s="46"/>
      <c r="AJ166" s="46"/>
      <c r="AK166" s="46"/>
      <c r="AL166" s="46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ht="16" customHeight="1" spans="1:51" x14ac:dyDescent="0.25">
      <c r="A167" s="45"/>
      <c r="B167" s="46" t="s">
        <v>202</v>
      </c>
      <c r="C167" s="46" t="s">
        <v>203</v>
      </c>
      <c r="D167" s="46" t="s">
        <v>29</v>
      </c>
      <c r="E167" s="46" t="s">
        <v>41</v>
      </c>
      <c r="F167" s="46" t="s">
        <v>41</v>
      </c>
      <c r="G167" s="46" t="s">
        <v>37</v>
      </c>
      <c r="H167" s="46" t="s">
        <v>41</v>
      </c>
      <c r="I167" s="46" t="s">
        <v>41</v>
      </c>
      <c r="J167" s="46" t="s">
        <v>41</v>
      </c>
      <c r="K167" s="46" t="s">
        <v>41</v>
      </c>
      <c r="L167" s="46" t="s">
        <v>41</v>
      </c>
      <c r="M167" s="46" t="s">
        <v>41</v>
      </c>
      <c r="N167" s="46" t="s">
        <v>37</v>
      </c>
      <c r="O167" s="46" t="s">
        <v>41</v>
      </c>
      <c r="P167" s="46" t="s">
        <v>41</v>
      </c>
      <c r="Q167" s="46" t="s">
        <v>41</v>
      </c>
      <c r="R167" s="46" t="s">
        <v>41</v>
      </c>
      <c r="S167" s="46" t="s">
        <v>41</v>
      </c>
      <c r="T167" s="46" t="s">
        <v>41</v>
      </c>
      <c r="U167" s="46" t="s">
        <v>37</v>
      </c>
      <c r="V167" s="46" t="s">
        <v>41</v>
      </c>
      <c r="W167" s="46" t="s">
        <v>41</v>
      </c>
      <c r="X167" s="46" t="s">
        <v>41</v>
      </c>
      <c r="Y167" s="46" t="s">
        <v>41</v>
      </c>
      <c r="Z167" s="46" t="s">
        <v>41</v>
      </c>
      <c r="AA167" s="46" t="s">
        <v>41</v>
      </c>
      <c r="AB167" s="46" t="s">
        <v>37</v>
      </c>
      <c r="AC167" s="46" t="s">
        <v>41</v>
      </c>
      <c r="AD167" s="46" t="s">
        <v>41</v>
      </c>
      <c r="AE167" s="46" t="s">
        <v>41</v>
      </c>
      <c r="AF167" s="46" t="s">
        <v>41</v>
      </c>
      <c r="AG167" s="46" t="s">
        <v>41</v>
      </c>
      <c r="AH167" s="46" t="s">
        <v>43</v>
      </c>
      <c r="AI167" s="46" t="s">
        <v>37</v>
      </c>
      <c r="AJ167" s="46">
        <f>=SUM(E168:AI168)</f>
      </c>
      <c r="AK167" s="46">
        <f>=+AY167</f>
      </c>
      <c r="AL167" s="46"/>
      <c r="AM167" s="1"/>
      <c r="AN167" s="1">
        <f>=COUNTIF(E167:AI167,"A")+COUNTIF(E167:AI167,"B")+COUNTIF(E167:AI167,"C")+COUNTIF(E167:AI167,"D")+COUNTIF(E167:AI167,"E")+COUNTIF(E167:AI167,"F")+COUNTIF(E167:AI167,"M")+COUNTIF(E167:AI167,"AB")+COUNTIF(E167:AI167,"UZ")+COUNTIF(E167:AI167,"G")+(COUNTIF(E167:AI167,"RT.")/2)+(COUNTIF(E167:AI167,"ÇRT.")/2)</f>
      </c>
      <c r="AO167" s="1">
        <f>=COUNTIF(E167:AI167,"O")</f>
      </c>
      <c r="AP167" s="1">
        <f>=COUNTIF(E167:AI167,"RT")+(COUNTIF(E167:AI167,"RT.")/2)</f>
      </c>
      <c r="AQ167" s="1">
        <f>=COUNTIF(E167:AI167,"ÇRT")+(COUNTIF(E167:AI167,"ÇRT.")/2)</f>
      </c>
      <c r="AR167" s="1">
        <f>=COUNTIF(E167:AI167,"ÇHT")</f>
      </c>
      <c r="AS167" s="1">
        <f>=COUNTIF(E167:AI167,"Ö")+COUNTIF(E167:AI167,"T")</f>
      </c>
      <c r="AT167" s="1">
        <f>=COUNTIF(E167:AI167,"Y")</f>
      </c>
      <c r="AU167" s="1">
        <f>=COUNTIF(E167:AI167,"R.")</f>
      </c>
      <c r="AV167" s="1">
        <f>=COUNTIF(E167:AI167,"Ü")</f>
      </c>
      <c r="AW167" s="1">
        <f>=COUNTIF(E167:AI167,"R")</f>
      </c>
      <c r="AX167" s="1">
        <f>=COUNTIF(E167:AI167,"DV")</f>
      </c>
      <c r="AY167" s="1">
        <f>=+AN167+AO167+AP167+AQ167+AR167+AS167+AT167+AU167</f>
      </c>
    </row>
    <row r="168" ht="16" customHeight="1" spans="1:51" x14ac:dyDescent="0.25">
      <c r="A168" s="45"/>
      <c r="B168" s="46"/>
      <c r="C168" s="46"/>
      <c r="D168" s="46" t="s">
        <v>33</v>
      </c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  <c r="AE168" s="46"/>
      <c r="AF168" s="46"/>
      <c r="AG168" s="46"/>
      <c r="AH168" s="46"/>
      <c r="AI168" s="46"/>
      <c r="AJ168" s="46"/>
      <c r="AK168" s="46"/>
      <c r="AL168" s="46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ht="16" customHeight="1" spans="1:51" x14ac:dyDescent="0.25">
      <c r="A169" s="45"/>
      <c r="B169" s="46" t="s">
        <v>204</v>
      </c>
      <c r="C169" s="46" t="s">
        <v>205</v>
      </c>
      <c r="D169" s="46" t="s">
        <v>29</v>
      </c>
      <c r="E169" s="46" t="s">
        <v>37</v>
      </c>
      <c r="F169" s="46" t="s">
        <v>41</v>
      </c>
      <c r="G169" s="46" t="s">
        <v>41</v>
      </c>
      <c r="H169" s="46" t="s">
        <v>41</v>
      </c>
      <c r="I169" s="46" t="s">
        <v>41</v>
      </c>
      <c r="J169" s="46" t="s">
        <v>41</v>
      </c>
      <c r="K169" s="46" t="s">
        <v>41</v>
      </c>
      <c r="L169" s="46" t="s">
        <v>37</v>
      </c>
      <c r="M169" s="46" t="s">
        <v>41</v>
      </c>
      <c r="N169" s="46" t="s">
        <v>41</v>
      </c>
      <c r="O169" s="46" t="s">
        <v>41</v>
      </c>
      <c r="P169" s="46" t="s">
        <v>41</v>
      </c>
      <c r="Q169" s="46" t="s">
        <v>41</v>
      </c>
      <c r="R169" s="46" t="s">
        <v>41</v>
      </c>
      <c r="S169" s="46" t="s">
        <v>37</v>
      </c>
      <c r="T169" s="46" t="s">
        <v>41</v>
      </c>
      <c r="U169" s="46" t="s">
        <v>41</v>
      </c>
      <c r="V169" s="46" t="s">
        <v>41</v>
      </c>
      <c r="W169" s="46" t="s">
        <v>41</v>
      </c>
      <c r="X169" s="46" t="s">
        <v>41</v>
      </c>
      <c r="Y169" s="46" t="s">
        <v>41</v>
      </c>
      <c r="Z169" s="46" t="s">
        <v>37</v>
      </c>
      <c r="AA169" s="46" t="s">
        <v>41</v>
      </c>
      <c r="AB169" s="46" t="s">
        <v>41</v>
      </c>
      <c r="AC169" s="46" t="s">
        <v>41</v>
      </c>
      <c r="AD169" s="46" t="s">
        <v>41</v>
      </c>
      <c r="AE169" s="46" t="s">
        <v>41</v>
      </c>
      <c r="AF169" s="46" t="s">
        <v>41</v>
      </c>
      <c r="AG169" s="46" t="s">
        <v>37</v>
      </c>
      <c r="AH169" s="46" t="s">
        <v>43</v>
      </c>
      <c r="AI169" s="46" t="s">
        <v>41</v>
      </c>
      <c r="AJ169" s="46">
        <f>=SUM(E170:AI170)</f>
      </c>
      <c r="AK169" s="46">
        <f>=+AY169</f>
      </c>
      <c r="AL169" s="46"/>
      <c r="AM169" s="1"/>
      <c r="AN169" s="1">
        <f>=COUNTIF(E169:AI169,"A")+COUNTIF(E169:AI169,"B")+COUNTIF(E169:AI169,"C")+COUNTIF(E169:AI169,"D")+COUNTIF(E169:AI169,"E")+COUNTIF(E169:AI169,"F")+COUNTIF(E169:AI169,"M")+COUNTIF(E169:AI169,"AB")+COUNTIF(E169:AI169,"UZ")+COUNTIF(E169:AI169,"G")+(COUNTIF(E169:AI169,"RT.")/2)+(COUNTIF(E169:AI169,"ÇRT.")/2)</f>
      </c>
      <c r="AO169" s="1">
        <f>=COUNTIF(E169:AI169,"O")</f>
      </c>
      <c r="AP169" s="1">
        <f>=COUNTIF(E169:AI169,"RT")+(COUNTIF(E169:AI169,"RT.")/2)</f>
      </c>
      <c r="AQ169" s="1">
        <f>=COUNTIF(E169:AI169,"ÇRT")+(COUNTIF(E169:AI169,"ÇRT.")/2)</f>
      </c>
      <c r="AR169" s="1">
        <f>=COUNTIF(E169:AI169,"ÇHT")</f>
      </c>
      <c r="AS169" s="1">
        <f>=COUNTIF(E169:AI169,"Ö")+COUNTIF(E169:AI169,"T")</f>
      </c>
      <c r="AT169" s="1">
        <f>=COUNTIF(E169:AI169,"Y")</f>
      </c>
      <c r="AU169" s="1">
        <f>=COUNTIF(E169:AI169,"R.")</f>
      </c>
      <c r="AV169" s="1">
        <f>=COUNTIF(E169:AI169,"Ü")</f>
      </c>
      <c r="AW169" s="1">
        <f>=COUNTIF(E169:AI169,"R")</f>
      </c>
      <c r="AX169" s="1">
        <f>=COUNTIF(E169:AI169,"DV")</f>
      </c>
      <c r="AY169" s="1">
        <f>=+AN169+AO169+AP169+AQ169+AR169+AS169+AT169+AU169</f>
      </c>
    </row>
    <row r="170" ht="16" customHeight="1" spans="1:51" x14ac:dyDescent="0.25">
      <c r="A170" s="45"/>
      <c r="B170" s="46"/>
      <c r="C170" s="46"/>
      <c r="D170" s="46" t="s">
        <v>33</v>
      </c>
      <c r="E170" s="46"/>
      <c r="F170" s="46"/>
      <c r="G170" s="46">
        <v>2</v>
      </c>
      <c r="H170" s="46"/>
      <c r="I170" s="46">
        <v>2</v>
      </c>
      <c r="J170" s="46"/>
      <c r="K170" s="46"/>
      <c r="L170" s="46"/>
      <c r="M170" s="46">
        <v>3</v>
      </c>
      <c r="N170" s="46">
        <v>2</v>
      </c>
      <c r="O170" s="46"/>
      <c r="P170" s="46">
        <v>3</v>
      </c>
      <c r="Q170" s="46"/>
      <c r="R170" s="46"/>
      <c r="S170" s="46"/>
      <c r="T170" s="46">
        <v>3</v>
      </c>
      <c r="U170" s="46">
        <v>3</v>
      </c>
      <c r="V170" s="46"/>
      <c r="W170" s="46">
        <v>3</v>
      </c>
      <c r="X170" s="46"/>
      <c r="Y170" s="46">
        <v>2</v>
      </c>
      <c r="Z170" s="46"/>
      <c r="AA170" s="46">
        <v>2</v>
      </c>
      <c r="AB170" s="46">
        <v>2</v>
      </c>
      <c r="AC170" s="46"/>
      <c r="AD170" s="46">
        <v>2</v>
      </c>
      <c r="AE170" s="46"/>
      <c r="AF170" s="46">
        <v>2</v>
      </c>
      <c r="AG170" s="46"/>
      <c r="AH170" s="46">
        <v>3</v>
      </c>
      <c r="AI170" s="46"/>
      <c r="AJ170" s="46"/>
      <c r="AK170" s="46"/>
      <c r="AL170" s="46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ht="16" customHeight="1" spans="1:51" x14ac:dyDescent="0.25">
      <c r="A171" s="45"/>
      <c r="B171" s="46" t="s">
        <v>206</v>
      </c>
      <c r="C171" s="46" t="s">
        <v>207</v>
      </c>
      <c r="D171" s="46" t="s">
        <v>29</v>
      </c>
      <c r="E171" s="46" t="s">
        <v>41</v>
      </c>
      <c r="F171" s="46" t="s">
        <v>41</v>
      </c>
      <c r="G171" s="46" t="s">
        <v>41</v>
      </c>
      <c r="H171" s="46" t="s">
        <v>41</v>
      </c>
      <c r="I171" s="46" t="s">
        <v>37</v>
      </c>
      <c r="J171" s="46" t="s">
        <v>41</v>
      </c>
      <c r="K171" s="46" t="s">
        <v>41</v>
      </c>
      <c r="L171" s="46" t="s">
        <v>41</v>
      </c>
      <c r="M171" s="46" t="s">
        <v>41</v>
      </c>
      <c r="N171" s="46" t="s">
        <v>41</v>
      </c>
      <c r="O171" s="46" t="s">
        <v>41</v>
      </c>
      <c r="P171" s="46" t="s">
        <v>37</v>
      </c>
      <c r="Q171" s="46" t="s">
        <v>41</v>
      </c>
      <c r="R171" s="46" t="s">
        <v>41</v>
      </c>
      <c r="S171" s="46" t="s">
        <v>41</v>
      </c>
      <c r="T171" s="46" t="s">
        <v>41</v>
      </c>
      <c r="U171" s="46" t="s">
        <v>41</v>
      </c>
      <c r="V171" s="46" t="s">
        <v>41</v>
      </c>
      <c r="W171" s="46" t="s">
        <v>37</v>
      </c>
      <c r="X171" s="46" t="s">
        <v>41</v>
      </c>
      <c r="Y171" s="46" t="s">
        <v>41</v>
      </c>
      <c r="Z171" s="46" t="s">
        <v>41</v>
      </c>
      <c r="AA171" s="46" t="s">
        <v>41</v>
      </c>
      <c r="AB171" s="46" t="s">
        <v>41</v>
      </c>
      <c r="AC171" s="46" t="s">
        <v>41</v>
      </c>
      <c r="AD171" s="46" t="s">
        <v>37</v>
      </c>
      <c r="AE171" s="46" t="s">
        <v>41</v>
      </c>
      <c r="AF171" s="46" t="s">
        <v>41</v>
      </c>
      <c r="AG171" s="46" t="s">
        <v>41</v>
      </c>
      <c r="AH171" s="46" t="s">
        <v>43</v>
      </c>
      <c r="AI171" s="46" t="s">
        <v>41</v>
      </c>
      <c r="AJ171" s="46">
        <f>=SUM(E172:AI172)</f>
      </c>
      <c r="AK171" s="46">
        <f>=+AY171</f>
      </c>
      <c r="AL171" s="46"/>
      <c r="AM171" s="1"/>
      <c r="AN171" s="1">
        <f>=COUNTIF(E171:AI171,"A")+COUNTIF(E171:AI171,"B")+COUNTIF(E171:AI171,"C")+COUNTIF(E171:AI171,"D")+COUNTIF(E171:AI171,"E")+COUNTIF(E171:AI171,"F")+COUNTIF(E171:AI171,"M")+COUNTIF(E171:AI171,"AB")+COUNTIF(E171:AI171,"UZ")+COUNTIF(E171:AI171,"G")+(COUNTIF(E171:AI171,"RT.")/2)+(COUNTIF(E171:AI171,"ÇRT.")/2)</f>
      </c>
      <c r="AO171" s="1">
        <f>=COUNTIF(E171:AI171,"O")</f>
      </c>
      <c r="AP171" s="1">
        <f>=COUNTIF(E171:AI171,"RT")+(COUNTIF(E171:AI171,"RT.")/2)</f>
      </c>
      <c r="AQ171" s="1">
        <f>=COUNTIF(E171:AI171,"ÇRT")+(COUNTIF(E171:AI171,"ÇRT.")/2)</f>
      </c>
      <c r="AR171" s="1">
        <f>=COUNTIF(E171:AI171,"ÇHT")</f>
      </c>
      <c r="AS171" s="1">
        <f>=COUNTIF(E171:AI171,"Ö")+COUNTIF(E171:AI171,"T")</f>
      </c>
      <c r="AT171" s="1">
        <f>=COUNTIF(E171:AI171,"Y")</f>
      </c>
      <c r="AU171" s="1">
        <f>=COUNTIF(E171:AI171,"R.")</f>
      </c>
      <c r="AV171" s="1">
        <f>=COUNTIF(E171:AI171,"Ü")</f>
      </c>
      <c r="AW171" s="1">
        <f>=COUNTIF(E171:AI171,"R")</f>
      </c>
      <c r="AX171" s="1">
        <f>=COUNTIF(E171:AI171,"DV")</f>
      </c>
      <c r="AY171" s="1">
        <f>=+AN171+AO171+AP171+AQ171+AR171+AS171+AT171+AU171</f>
      </c>
    </row>
    <row r="172" ht="16" customHeight="1" spans="1:51" x14ac:dyDescent="0.25">
      <c r="A172" s="45"/>
      <c r="B172" s="46"/>
      <c r="C172" s="46"/>
      <c r="D172" s="46" t="s">
        <v>33</v>
      </c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ht="16" customHeight="1" spans="1:51" x14ac:dyDescent="0.25">
      <c r="A173" s="45"/>
      <c r="B173" s="46" t="s">
        <v>208</v>
      </c>
      <c r="C173" s="46" t="s">
        <v>209</v>
      </c>
      <c r="D173" s="46" t="s">
        <v>29</v>
      </c>
      <c r="E173" s="46" t="s">
        <v>36</v>
      </c>
      <c r="F173" s="46" t="s">
        <v>37</v>
      </c>
      <c r="G173" s="46" t="s">
        <v>36</v>
      </c>
      <c r="H173" s="46" t="s">
        <v>36</v>
      </c>
      <c r="I173" s="46" t="s">
        <v>36</v>
      </c>
      <c r="J173" s="46" t="s">
        <v>36</v>
      </c>
      <c r="K173" s="46" t="s">
        <v>36</v>
      </c>
      <c r="L173" s="46" t="s">
        <v>36</v>
      </c>
      <c r="M173" s="46" t="s">
        <v>37</v>
      </c>
      <c r="N173" s="46" t="s">
        <v>36</v>
      </c>
      <c r="O173" s="46" t="s">
        <v>36</v>
      </c>
      <c r="P173" s="46" t="s">
        <v>36</v>
      </c>
      <c r="Q173" s="46" t="s">
        <v>36</v>
      </c>
      <c r="R173" s="46" t="s">
        <v>36</v>
      </c>
      <c r="S173" s="46" t="s">
        <v>36</v>
      </c>
      <c r="T173" s="46" t="s">
        <v>37</v>
      </c>
      <c r="U173" s="46" t="s">
        <v>36</v>
      </c>
      <c r="V173" s="46" t="s">
        <v>36</v>
      </c>
      <c r="W173" s="46" t="s">
        <v>36</v>
      </c>
      <c r="X173" s="46" t="s">
        <v>36</v>
      </c>
      <c r="Y173" s="46" t="s">
        <v>36</v>
      </c>
      <c r="Z173" s="46" t="s">
        <v>36</v>
      </c>
      <c r="AA173" s="46" t="s">
        <v>37</v>
      </c>
      <c r="AB173" s="46" t="s">
        <v>36</v>
      </c>
      <c r="AC173" s="46" t="s">
        <v>36</v>
      </c>
      <c r="AD173" s="46" t="s">
        <v>36</v>
      </c>
      <c r="AE173" s="46" t="s">
        <v>36</v>
      </c>
      <c r="AF173" s="46" t="s">
        <v>36</v>
      </c>
      <c r="AG173" s="46" t="s">
        <v>36</v>
      </c>
      <c r="AH173" s="46" t="s">
        <v>37</v>
      </c>
      <c r="AI173" s="46" t="s">
        <v>36</v>
      </c>
      <c r="AJ173" s="46">
        <f>=SUM(E174:AI174)</f>
      </c>
      <c r="AK173" s="46">
        <f>=+AY173</f>
      </c>
      <c r="AL173" s="46"/>
      <c r="AM173" s="1"/>
      <c r="AN173" s="1">
        <f>=COUNTIF(E173:AI173,"A")+COUNTIF(E173:AI173,"B")+COUNTIF(E173:AI173,"C")+COUNTIF(E173:AI173,"D")+COUNTIF(E173:AI173,"E")+COUNTIF(E173:AI173,"F")+COUNTIF(E173:AI173,"M")+COUNTIF(E173:AI173,"AB")+COUNTIF(E173:AI173,"UZ")+COUNTIF(E173:AI173,"G")+(COUNTIF(E173:AI173,"RT.")/2)+(COUNTIF(E173:AI173,"ÇRT.")/2)</f>
      </c>
      <c r="AO173" s="1">
        <f>=COUNTIF(E173:AI173,"O")</f>
      </c>
      <c r="AP173" s="1">
        <f>=COUNTIF(E173:AI173,"RT")+(COUNTIF(E173:AI173,"RT.")/2)</f>
      </c>
      <c r="AQ173" s="1">
        <f>=COUNTIF(E173:AI173,"ÇRT")+(COUNTIF(E173:AI173,"ÇRT.")/2)</f>
      </c>
      <c r="AR173" s="1">
        <f>=COUNTIF(E173:AI173,"ÇHT")</f>
      </c>
      <c r="AS173" s="1">
        <f>=COUNTIF(E173:AI173,"Ö")+COUNTIF(E173:AI173,"T")</f>
      </c>
      <c r="AT173" s="1">
        <f>=COUNTIF(E173:AI173,"Y")</f>
      </c>
      <c r="AU173" s="1">
        <f>=COUNTIF(E173:AI173,"R.")</f>
      </c>
      <c r="AV173" s="1">
        <f>=COUNTIF(E173:AI173,"Ü")</f>
      </c>
      <c r="AW173" s="1">
        <f>=COUNTIF(E173:AI173,"R")</f>
      </c>
      <c r="AX173" s="1">
        <f>=COUNTIF(E173:AI173,"DV")</f>
      </c>
      <c r="AY173" s="1">
        <f>=+AN173+AO173+AP173+AQ173+AR173+AS173+AT173+AU173</f>
      </c>
    </row>
    <row r="174" ht="16" customHeight="1" spans="1:51" x14ac:dyDescent="0.25">
      <c r="A174" s="45"/>
      <c r="B174" s="46"/>
      <c r="C174" s="46"/>
      <c r="D174" s="46" t="s">
        <v>33</v>
      </c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  <c r="AF174" s="46"/>
      <c r="AG174" s="46"/>
      <c r="AH174" s="46"/>
      <c r="AI174" s="46"/>
      <c r="AJ174" s="46"/>
      <c r="AK174" s="46"/>
      <c r="AL174" s="46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ht="16" customHeight="1" spans="1:51" x14ac:dyDescent="0.25">
      <c r="A175" s="45"/>
      <c r="B175" s="46" t="s">
        <v>210</v>
      </c>
      <c r="C175" s="46" t="s">
        <v>211</v>
      </c>
      <c r="D175" s="46" t="s">
        <v>29</v>
      </c>
      <c r="E175" s="46" t="s">
        <v>41</v>
      </c>
      <c r="F175" s="46" t="s">
        <v>41</v>
      </c>
      <c r="G175" s="46" t="s">
        <v>37</v>
      </c>
      <c r="H175" s="46" t="s">
        <v>41</v>
      </c>
      <c r="I175" s="46" t="s">
        <v>41</v>
      </c>
      <c r="J175" s="46" t="s">
        <v>41</v>
      </c>
      <c r="K175" s="46" t="s">
        <v>41</v>
      </c>
      <c r="L175" s="46" t="s">
        <v>41</v>
      </c>
      <c r="M175" s="46" t="s">
        <v>41</v>
      </c>
      <c r="N175" s="46" t="s">
        <v>37</v>
      </c>
      <c r="O175" s="46" t="s">
        <v>41</v>
      </c>
      <c r="P175" s="46" t="s">
        <v>41</v>
      </c>
      <c r="Q175" s="46" t="s">
        <v>41</v>
      </c>
      <c r="R175" s="46" t="s">
        <v>41</v>
      </c>
      <c r="S175" s="46" t="s">
        <v>41</v>
      </c>
      <c r="T175" s="46" t="s">
        <v>41</v>
      </c>
      <c r="U175" s="46" t="s">
        <v>37</v>
      </c>
      <c r="V175" s="46" t="s">
        <v>41</v>
      </c>
      <c r="W175" s="46" t="s">
        <v>41</v>
      </c>
      <c r="X175" s="46" t="s">
        <v>41</v>
      </c>
      <c r="Y175" s="46" t="s">
        <v>41</v>
      </c>
      <c r="Z175" s="46" t="s">
        <v>41</v>
      </c>
      <c r="AA175" s="46" t="s">
        <v>41</v>
      </c>
      <c r="AB175" s="46" t="s">
        <v>37</v>
      </c>
      <c r="AC175" s="46" t="s">
        <v>41</v>
      </c>
      <c r="AD175" s="46" t="s">
        <v>41</v>
      </c>
      <c r="AE175" s="46" t="s">
        <v>41</v>
      </c>
      <c r="AF175" s="46" t="s">
        <v>41</v>
      </c>
      <c r="AG175" s="46" t="s">
        <v>41</v>
      </c>
      <c r="AH175" s="46" t="s">
        <v>43</v>
      </c>
      <c r="AI175" s="46" t="s">
        <v>37</v>
      </c>
      <c r="AJ175" s="46">
        <f>=SUM(E176:AI176)</f>
      </c>
      <c r="AK175" s="46">
        <f>=+AY175</f>
      </c>
      <c r="AL175" s="46"/>
      <c r="AM175" s="1"/>
      <c r="AN175" s="1">
        <f>=COUNTIF(E175:AI175,"A")+COUNTIF(E175:AI175,"B")+COUNTIF(E175:AI175,"C")+COUNTIF(E175:AI175,"D")+COUNTIF(E175:AI175,"E")+COUNTIF(E175:AI175,"F")+COUNTIF(E175:AI175,"M")+COUNTIF(E175:AI175,"AB")+COUNTIF(E175:AI175,"UZ")+COUNTIF(E175:AI175,"G")+(COUNTIF(E175:AI175,"RT.")/2)+(COUNTIF(E175:AI175,"ÇRT.")/2)</f>
      </c>
      <c r="AO175" s="1">
        <f>=COUNTIF(E175:AI175,"O")</f>
      </c>
      <c r="AP175" s="1">
        <f>=COUNTIF(E175:AI175,"RT")+(COUNTIF(E175:AI175,"RT.")/2)</f>
      </c>
      <c r="AQ175" s="1">
        <f>=COUNTIF(E175:AI175,"ÇRT")+(COUNTIF(E175:AI175,"ÇRT.")/2)</f>
      </c>
      <c r="AR175" s="1">
        <f>=COUNTIF(E175:AI175,"ÇHT")</f>
      </c>
      <c r="AS175" s="1">
        <f>=COUNTIF(E175:AI175,"Ö")+COUNTIF(E175:AI175,"T")</f>
      </c>
      <c r="AT175" s="1">
        <f>=COUNTIF(E175:AI175,"Y")</f>
      </c>
      <c r="AU175" s="1">
        <f>=COUNTIF(E175:AI175,"R.")</f>
      </c>
      <c r="AV175" s="1">
        <f>=COUNTIF(E175:AI175,"Ü")</f>
      </c>
      <c r="AW175" s="1">
        <f>=COUNTIF(E175:AI175,"R")</f>
      </c>
      <c r="AX175" s="1">
        <f>=COUNTIF(E175:AI175,"DV")</f>
      </c>
      <c r="AY175" s="1">
        <f>=+AN175+AO175+AP175+AQ175+AR175+AS175+AT175+AU175</f>
      </c>
    </row>
    <row r="176" ht="16" customHeight="1" spans="1:51" x14ac:dyDescent="0.25">
      <c r="A176" s="45"/>
      <c r="B176" s="46"/>
      <c r="C176" s="46"/>
      <c r="D176" s="46" t="s">
        <v>33</v>
      </c>
      <c r="E176" s="46"/>
      <c r="F176" s="46"/>
      <c r="G176" s="46"/>
      <c r="H176" s="46">
        <v>3</v>
      </c>
      <c r="I176" s="46"/>
      <c r="J176" s="46">
        <v>2</v>
      </c>
      <c r="K176" s="46"/>
      <c r="L176" s="46"/>
      <c r="M176" s="46">
        <v>2</v>
      </c>
      <c r="N176" s="46"/>
      <c r="O176" s="46">
        <v>3</v>
      </c>
      <c r="P176" s="46"/>
      <c r="Q176" s="46">
        <v>2</v>
      </c>
      <c r="R176" s="46"/>
      <c r="S176" s="46"/>
      <c r="T176" s="46">
        <v>3</v>
      </c>
      <c r="U176" s="46"/>
      <c r="V176" s="46">
        <v>2</v>
      </c>
      <c r="W176" s="46">
        <v>2</v>
      </c>
      <c r="X176" s="46">
        <v>2</v>
      </c>
      <c r="Y176" s="46">
        <v>2</v>
      </c>
      <c r="Z176" s="46">
        <v>2</v>
      </c>
      <c r="AA176" s="46">
        <v>2</v>
      </c>
      <c r="AB176" s="46"/>
      <c r="AC176" s="46">
        <v>2</v>
      </c>
      <c r="AD176" s="46">
        <v>2</v>
      </c>
      <c r="AE176" s="46">
        <v>2</v>
      </c>
      <c r="AF176" s="46">
        <v>2</v>
      </c>
      <c r="AG176" s="46">
        <v>2</v>
      </c>
      <c r="AH176" s="46">
        <v>2</v>
      </c>
      <c r="AI176" s="46"/>
      <c r="AJ176" s="46"/>
      <c r="AK176" s="46"/>
      <c r="AL176" s="46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ht="16" customHeight="1" spans="1:51" x14ac:dyDescent="0.25">
      <c r="A177" s="45"/>
      <c r="B177" s="46" t="s">
        <v>212</v>
      </c>
      <c r="C177" s="46" t="s">
        <v>213</v>
      </c>
      <c r="D177" s="46" t="s">
        <v>29</v>
      </c>
      <c r="E177" s="46" t="s">
        <v>41</v>
      </c>
      <c r="F177" s="46" t="s">
        <v>42</v>
      </c>
      <c r="G177" s="46" t="s">
        <v>41</v>
      </c>
      <c r="H177" s="46" t="s">
        <v>42</v>
      </c>
      <c r="I177" s="46" t="s">
        <v>37</v>
      </c>
      <c r="J177" s="46" t="s">
        <v>41</v>
      </c>
      <c r="K177" s="46" t="s">
        <v>42</v>
      </c>
      <c r="L177" s="46" t="s">
        <v>41</v>
      </c>
      <c r="M177" s="46" t="s">
        <v>42</v>
      </c>
      <c r="N177" s="46" t="s">
        <v>41</v>
      </c>
      <c r="O177" s="46" t="s">
        <v>42</v>
      </c>
      <c r="P177" s="46" t="s">
        <v>37</v>
      </c>
      <c r="Q177" s="46" t="s">
        <v>41</v>
      </c>
      <c r="R177" s="46" t="s">
        <v>42</v>
      </c>
      <c r="S177" s="46" t="s">
        <v>41</v>
      </c>
      <c r="T177" s="46" t="s">
        <v>42</v>
      </c>
      <c r="U177" s="46" t="s">
        <v>36</v>
      </c>
      <c r="V177" s="46" t="s">
        <v>41</v>
      </c>
      <c r="W177" s="46" t="s">
        <v>37</v>
      </c>
      <c r="X177" s="46" t="s">
        <v>41</v>
      </c>
      <c r="Y177" s="46" t="s">
        <v>42</v>
      </c>
      <c r="Z177" s="46" t="s">
        <v>41</v>
      </c>
      <c r="AA177" s="46" t="s">
        <v>42</v>
      </c>
      <c r="AB177" s="46" t="s">
        <v>42</v>
      </c>
      <c r="AC177" s="46" t="s">
        <v>41</v>
      </c>
      <c r="AD177" s="46" t="s">
        <v>37</v>
      </c>
      <c r="AE177" s="46" t="s">
        <v>41</v>
      </c>
      <c r="AF177" s="46" t="s">
        <v>42</v>
      </c>
      <c r="AG177" s="46" t="s">
        <v>41</v>
      </c>
      <c r="AH177" s="46" t="s">
        <v>43</v>
      </c>
      <c r="AI177" s="46" t="s">
        <v>42</v>
      </c>
      <c r="AJ177" s="46">
        <f>=SUM(E178:AI178)</f>
      </c>
      <c r="AK177" s="46">
        <f>=+AY177</f>
      </c>
      <c r="AL177" s="46"/>
      <c r="AM177" s="1"/>
      <c r="AN177" s="1">
        <f>=COUNTIF(E177:AI177,"A")+COUNTIF(E177:AI177,"B")+COUNTIF(E177:AI177,"C")+COUNTIF(E177:AI177,"D")+COUNTIF(E177:AI177,"E")+COUNTIF(E177:AI177,"F")+COUNTIF(E177:AI177,"M")+COUNTIF(E177:AI177,"AB")+COUNTIF(E177:AI177,"UZ")+COUNTIF(E177:AI177,"G")+(COUNTIF(E177:AI177,"RT.")/2)+(COUNTIF(E177:AI177,"ÇRT.")/2)</f>
      </c>
      <c r="AO177" s="1">
        <f>=COUNTIF(E177:AI177,"O")</f>
      </c>
      <c r="AP177" s="1">
        <f>=COUNTIF(E177:AI177,"RT")+(COUNTIF(E177:AI177,"RT.")/2)</f>
      </c>
      <c r="AQ177" s="1">
        <f>=COUNTIF(E177:AI177,"ÇRT")+(COUNTIF(E177:AI177,"ÇRT.")/2)</f>
      </c>
      <c r="AR177" s="1">
        <f>=COUNTIF(E177:AI177,"ÇHT")</f>
      </c>
      <c r="AS177" s="1">
        <f>=COUNTIF(E177:AI177,"Ö")+COUNTIF(E177:AI177,"T")</f>
      </c>
      <c r="AT177" s="1">
        <f>=COUNTIF(E177:AI177,"Y")</f>
      </c>
      <c r="AU177" s="1">
        <f>=COUNTIF(E177:AI177,"R.")</f>
      </c>
      <c r="AV177" s="1">
        <f>=COUNTIF(E177:AI177,"Ü")</f>
      </c>
      <c r="AW177" s="1">
        <f>=COUNTIF(E177:AI177,"R")</f>
      </c>
      <c r="AX177" s="1">
        <f>=COUNTIF(E177:AI177,"DV")</f>
      </c>
      <c r="AY177" s="1">
        <f>=+AN177+AO177+AP177+AQ177+AR177+AS177+AT177+AU177</f>
      </c>
    </row>
    <row r="178" ht="16" customHeight="1" spans="1:51" x14ac:dyDescent="0.25">
      <c r="A178" s="45"/>
      <c r="B178" s="46"/>
      <c r="C178" s="46"/>
      <c r="D178" s="46" t="s">
        <v>33</v>
      </c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  <c r="AI178" s="46"/>
      <c r="AJ178" s="46"/>
      <c r="AK178" s="46"/>
      <c r="AL178" s="46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ht="16" customHeight="1" spans="1:51" x14ac:dyDescent="0.25">
      <c r="A179" s="45"/>
      <c r="B179" s="46" t="s">
        <v>214</v>
      </c>
      <c r="C179" s="46" t="s">
        <v>215</v>
      </c>
      <c r="D179" s="46" t="s">
        <v>29</v>
      </c>
      <c r="E179" s="46" t="s">
        <v>37</v>
      </c>
      <c r="F179" s="46" t="s">
        <v>36</v>
      </c>
      <c r="G179" s="46" t="s">
        <v>36</v>
      </c>
      <c r="H179" s="46" t="s">
        <v>41</v>
      </c>
      <c r="I179" s="46" t="s">
        <v>42</v>
      </c>
      <c r="J179" s="46" t="s">
        <v>36</v>
      </c>
      <c r="K179" s="46" t="s">
        <v>36</v>
      </c>
      <c r="L179" s="46" t="s">
        <v>37</v>
      </c>
      <c r="M179" s="46" t="s">
        <v>36</v>
      </c>
      <c r="N179" s="46" t="s">
        <v>36</v>
      </c>
      <c r="O179" s="46" t="s">
        <v>41</v>
      </c>
      <c r="P179" s="46" t="s">
        <v>42</v>
      </c>
      <c r="Q179" s="46" t="s">
        <v>36</v>
      </c>
      <c r="R179" s="46" t="s">
        <v>36</v>
      </c>
      <c r="S179" s="46" t="s">
        <v>37</v>
      </c>
      <c r="T179" s="46" t="s">
        <v>36</v>
      </c>
      <c r="U179" s="46" t="s">
        <v>41</v>
      </c>
      <c r="V179" s="46" t="s">
        <v>42</v>
      </c>
      <c r="W179" s="46" t="s">
        <v>36</v>
      </c>
      <c r="X179" s="46" t="s">
        <v>36</v>
      </c>
      <c r="Y179" s="46" t="s">
        <v>36</v>
      </c>
      <c r="Z179" s="46" t="s">
        <v>37</v>
      </c>
      <c r="AA179" s="46" t="s">
        <v>36</v>
      </c>
      <c r="AB179" s="46" t="s">
        <v>41</v>
      </c>
      <c r="AC179" s="46" t="s">
        <v>42</v>
      </c>
      <c r="AD179" s="46" t="s">
        <v>36</v>
      </c>
      <c r="AE179" s="46" t="s">
        <v>36</v>
      </c>
      <c r="AF179" s="46" t="s">
        <v>36</v>
      </c>
      <c r="AG179" s="46" t="s">
        <v>37</v>
      </c>
      <c r="AH179" s="46" t="s">
        <v>43</v>
      </c>
      <c r="AI179" s="46" t="s">
        <v>41</v>
      </c>
      <c r="AJ179" s="46">
        <f>=SUM(E180:AI180)</f>
      </c>
      <c r="AK179" s="46">
        <f>=+AY179</f>
      </c>
      <c r="AL179" s="46"/>
      <c r="AM179" s="1"/>
      <c r="AN179" s="1">
        <f>=COUNTIF(E179:AI179,"A")+COUNTIF(E179:AI179,"B")+COUNTIF(E179:AI179,"C")+COUNTIF(E179:AI179,"D")+COUNTIF(E179:AI179,"E")+COUNTIF(E179:AI179,"F")+COUNTIF(E179:AI179,"M")+COUNTIF(E179:AI179,"AB")+COUNTIF(E179:AI179,"UZ")+COUNTIF(E179:AI179,"G")+(COUNTIF(E179:AI179,"RT.")/2)+(COUNTIF(E179:AI179,"ÇRT.")/2)</f>
      </c>
      <c r="AO179" s="1">
        <f>=COUNTIF(E179:AI179,"O")</f>
      </c>
      <c r="AP179" s="1">
        <f>=COUNTIF(E179:AI179,"RT")+(COUNTIF(E179:AI179,"RT.")/2)</f>
      </c>
      <c r="AQ179" s="1">
        <f>=COUNTIF(E179:AI179,"ÇRT")+(COUNTIF(E179:AI179,"ÇRT.")/2)</f>
      </c>
      <c r="AR179" s="1">
        <f>=COUNTIF(E179:AI179,"ÇHT")</f>
      </c>
      <c r="AS179" s="1">
        <f>=COUNTIF(E179:AI179,"Ö")+COUNTIF(E179:AI179,"T")</f>
      </c>
      <c r="AT179" s="1">
        <f>=COUNTIF(E179:AI179,"Y")</f>
      </c>
      <c r="AU179" s="1">
        <f>=COUNTIF(E179:AI179,"R.")</f>
      </c>
      <c r="AV179" s="1">
        <f>=COUNTIF(E179:AI179,"Ü")</f>
      </c>
      <c r="AW179" s="1">
        <f>=COUNTIF(E179:AI179,"R")</f>
      </c>
      <c r="AX179" s="1">
        <f>=COUNTIF(E179:AI179,"DV")</f>
      </c>
      <c r="AY179" s="1">
        <f>=+AN179+AO179+AP179+AQ179+AR179+AS179+AT179+AU179</f>
      </c>
    </row>
    <row r="180" ht="16" customHeight="1" spans="1:51" x14ac:dyDescent="0.25">
      <c r="A180" s="45"/>
      <c r="B180" s="46"/>
      <c r="C180" s="46"/>
      <c r="D180" s="46" t="s">
        <v>33</v>
      </c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>
        <v>3</v>
      </c>
      <c r="AG180" s="46"/>
      <c r="AH180" s="46">
        <v>3</v>
      </c>
      <c r="AI180" s="46"/>
      <c r="AJ180" s="46"/>
      <c r="AK180" s="46"/>
      <c r="AL180" s="46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ht="16" customHeight="1" spans="1:51" x14ac:dyDescent="0.25">
      <c r="A181" s="45"/>
      <c r="B181" s="46" t="s">
        <v>216</v>
      </c>
      <c r="C181" s="46" t="s">
        <v>217</v>
      </c>
      <c r="D181" s="46" t="s">
        <v>29</v>
      </c>
      <c r="E181" s="46" t="s">
        <v>41</v>
      </c>
      <c r="F181" s="46" t="s">
        <v>41</v>
      </c>
      <c r="G181" s="46" t="s">
        <v>42</v>
      </c>
      <c r="H181" s="46" t="s">
        <v>41</v>
      </c>
      <c r="I181" s="46" t="s">
        <v>41</v>
      </c>
      <c r="J181" s="46" t="s">
        <v>37</v>
      </c>
      <c r="K181" s="46" t="s">
        <v>41</v>
      </c>
      <c r="L181" s="46" t="s">
        <v>41</v>
      </c>
      <c r="M181" s="46" t="s">
        <v>41</v>
      </c>
      <c r="N181" s="46" t="s">
        <v>41</v>
      </c>
      <c r="O181" s="46" t="s">
        <v>41</v>
      </c>
      <c r="P181" s="46" t="s">
        <v>41</v>
      </c>
      <c r="Q181" s="46" t="s">
        <v>37</v>
      </c>
      <c r="R181" s="46" t="s">
        <v>41</v>
      </c>
      <c r="S181" s="46" t="s">
        <v>42</v>
      </c>
      <c r="T181" s="46" t="s">
        <v>41</v>
      </c>
      <c r="U181" s="46" t="s">
        <v>41</v>
      </c>
      <c r="V181" s="46" t="s">
        <v>41</v>
      </c>
      <c r="W181" s="46" t="s">
        <v>41</v>
      </c>
      <c r="X181" s="46" t="s">
        <v>37</v>
      </c>
      <c r="Y181" s="46" t="s">
        <v>41</v>
      </c>
      <c r="Z181" s="46" t="s">
        <v>41</v>
      </c>
      <c r="AA181" s="46" t="s">
        <v>41</v>
      </c>
      <c r="AB181" s="46" t="s">
        <v>41</v>
      </c>
      <c r="AC181" s="46" t="s">
        <v>41</v>
      </c>
      <c r="AD181" s="46" t="s">
        <v>41</v>
      </c>
      <c r="AE181" s="46" t="s">
        <v>37</v>
      </c>
      <c r="AF181" s="46" t="s">
        <v>41</v>
      </c>
      <c r="AG181" s="46" t="s">
        <v>41</v>
      </c>
      <c r="AH181" s="46" t="s">
        <v>43</v>
      </c>
      <c r="AI181" s="46" t="s">
        <v>41</v>
      </c>
      <c r="AJ181" s="46">
        <f>=SUM(E182:AI182)</f>
      </c>
      <c r="AK181" s="46">
        <f>=+AY181</f>
      </c>
      <c r="AL181" s="46"/>
      <c r="AM181" s="1"/>
      <c r="AN181" s="1">
        <f>=COUNTIF(E181:AI181,"A")+COUNTIF(E181:AI181,"B")+COUNTIF(E181:AI181,"C")+COUNTIF(E181:AI181,"D")+COUNTIF(E181:AI181,"E")+COUNTIF(E181:AI181,"F")+COUNTIF(E181:AI181,"M")+COUNTIF(E181:AI181,"AB")+COUNTIF(E181:AI181,"UZ")+COUNTIF(E181:AI181,"G")+(COUNTIF(E181:AI181,"RT.")/2)+(COUNTIF(E181:AI181,"ÇRT.")/2)</f>
      </c>
      <c r="AO181" s="1">
        <f>=COUNTIF(E181:AI181,"O")</f>
      </c>
      <c r="AP181" s="1">
        <f>=COUNTIF(E181:AI181,"RT")+(COUNTIF(E181:AI181,"RT.")/2)</f>
      </c>
      <c r="AQ181" s="1">
        <f>=COUNTIF(E181:AI181,"ÇRT")+(COUNTIF(E181:AI181,"ÇRT.")/2)</f>
      </c>
      <c r="AR181" s="1">
        <f>=COUNTIF(E181:AI181,"ÇHT")</f>
      </c>
      <c r="AS181" s="1">
        <f>=COUNTIF(E181:AI181,"Ö")+COUNTIF(E181:AI181,"T")</f>
      </c>
      <c r="AT181" s="1">
        <f>=COUNTIF(E181:AI181,"Y")</f>
      </c>
      <c r="AU181" s="1">
        <f>=COUNTIF(E181:AI181,"R.")</f>
      </c>
      <c r="AV181" s="1">
        <f>=COUNTIF(E181:AI181,"Ü")</f>
      </c>
      <c r="AW181" s="1">
        <f>=COUNTIF(E181:AI181,"R")</f>
      </c>
      <c r="AX181" s="1">
        <f>=COUNTIF(E181:AI181,"DV")</f>
      </c>
      <c r="AY181" s="1">
        <f>=+AN181+AO181+AP181+AQ181+AR181+AS181+AT181+AU181</f>
      </c>
    </row>
    <row r="182" ht="16" customHeight="1" spans="1:51" x14ac:dyDescent="0.25">
      <c r="A182" s="45"/>
      <c r="B182" s="46"/>
      <c r="C182" s="46"/>
      <c r="D182" s="46" t="s">
        <v>33</v>
      </c>
      <c r="E182" s="46"/>
      <c r="F182" s="46"/>
      <c r="G182" s="46">
        <v>3</v>
      </c>
      <c r="H182" s="46"/>
      <c r="I182" s="46">
        <v>3</v>
      </c>
      <c r="J182" s="46"/>
      <c r="K182" s="46"/>
      <c r="L182" s="46"/>
      <c r="M182" s="46"/>
      <c r="N182" s="46">
        <v>3</v>
      </c>
      <c r="O182" s="46"/>
      <c r="P182" s="46">
        <v>3</v>
      </c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  <c r="AD182" s="46"/>
      <c r="AE182" s="46"/>
      <c r="AF182" s="46"/>
      <c r="AG182" s="46"/>
      <c r="AH182" s="46"/>
      <c r="AI182" s="46"/>
      <c r="AJ182" s="46"/>
      <c r="AK182" s="46"/>
      <c r="AL182" s="46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ht="16" customHeight="1" spans="1:51" x14ac:dyDescent="0.25">
      <c r="A183" s="45"/>
      <c r="B183" s="46" t="s">
        <v>218</v>
      </c>
      <c r="C183" s="46" t="s">
        <v>219</v>
      </c>
      <c r="D183" s="46" t="s">
        <v>29</v>
      </c>
      <c r="E183" s="46" t="s">
        <v>41</v>
      </c>
      <c r="F183" s="46" t="s">
        <v>41</v>
      </c>
      <c r="G183" s="46" t="s">
        <v>37</v>
      </c>
      <c r="H183" s="46" t="s">
        <v>41</v>
      </c>
      <c r="I183" s="46" t="s">
        <v>41</v>
      </c>
      <c r="J183" s="46" t="s">
        <v>41</v>
      </c>
      <c r="K183" s="46" t="s">
        <v>41</v>
      </c>
      <c r="L183" s="46" t="s">
        <v>41</v>
      </c>
      <c r="M183" s="46" t="s">
        <v>41</v>
      </c>
      <c r="N183" s="46" t="s">
        <v>37</v>
      </c>
      <c r="O183" s="46" t="s">
        <v>41</v>
      </c>
      <c r="P183" s="46" t="s">
        <v>41</v>
      </c>
      <c r="Q183" s="46" t="s">
        <v>41</v>
      </c>
      <c r="R183" s="46" t="s">
        <v>41</v>
      </c>
      <c r="S183" s="46" t="s">
        <v>41</v>
      </c>
      <c r="T183" s="46" t="s">
        <v>41</v>
      </c>
      <c r="U183" s="46" t="s">
        <v>37</v>
      </c>
      <c r="V183" s="46" t="s">
        <v>41</v>
      </c>
      <c r="W183" s="46" t="s">
        <v>41</v>
      </c>
      <c r="X183" s="46" t="s">
        <v>41</v>
      </c>
      <c r="Y183" s="46" t="s">
        <v>41</v>
      </c>
      <c r="Z183" s="46" t="s">
        <v>41</v>
      </c>
      <c r="AA183" s="46" t="s">
        <v>41</v>
      </c>
      <c r="AB183" s="46" t="s">
        <v>37</v>
      </c>
      <c r="AC183" s="46" t="s">
        <v>41</v>
      </c>
      <c r="AD183" s="46" t="s">
        <v>41</v>
      </c>
      <c r="AE183" s="46" t="s">
        <v>41</v>
      </c>
      <c r="AF183" s="46" t="s">
        <v>41</v>
      </c>
      <c r="AG183" s="46" t="s">
        <v>41</v>
      </c>
      <c r="AH183" s="46" t="s">
        <v>43</v>
      </c>
      <c r="AI183" s="46" t="s">
        <v>37</v>
      </c>
      <c r="AJ183" s="46">
        <f>=SUM(E184:AI184)</f>
      </c>
      <c r="AK183" s="46">
        <f>=+AY183</f>
      </c>
      <c r="AL183" s="46"/>
      <c r="AM183" s="1"/>
      <c r="AN183" s="1">
        <f>=COUNTIF(E183:AI183,"A")+COUNTIF(E183:AI183,"B")+COUNTIF(E183:AI183,"C")+COUNTIF(E183:AI183,"D")+COUNTIF(E183:AI183,"E")+COUNTIF(E183:AI183,"F")+COUNTIF(E183:AI183,"M")+COUNTIF(E183:AI183,"AB")+COUNTIF(E183:AI183,"UZ")+COUNTIF(E183:AI183,"G")+(COUNTIF(E183:AI183,"RT.")/2)+(COUNTIF(E183:AI183,"ÇRT.")/2)</f>
      </c>
      <c r="AO183" s="1">
        <f>=COUNTIF(E183:AI183,"O")</f>
      </c>
      <c r="AP183" s="1">
        <f>=COUNTIF(E183:AI183,"RT")+(COUNTIF(E183:AI183,"RT.")/2)</f>
      </c>
      <c r="AQ183" s="1">
        <f>=COUNTIF(E183:AI183,"ÇRT")+(COUNTIF(E183:AI183,"ÇRT.")/2)</f>
      </c>
      <c r="AR183" s="1">
        <f>=COUNTIF(E183:AI183,"ÇHT")</f>
      </c>
      <c r="AS183" s="1">
        <f>=COUNTIF(E183:AI183,"Ö")+COUNTIF(E183:AI183,"T")</f>
      </c>
      <c r="AT183" s="1">
        <f>=COUNTIF(E183:AI183,"Y")</f>
      </c>
      <c r="AU183" s="1">
        <f>=COUNTIF(E183:AI183,"R.")</f>
      </c>
      <c r="AV183" s="1">
        <f>=COUNTIF(E183:AI183,"Ü")</f>
      </c>
      <c r="AW183" s="1">
        <f>=COUNTIF(E183:AI183,"R")</f>
      </c>
      <c r="AX183" s="1">
        <f>=COUNTIF(E183:AI183,"DV")</f>
      </c>
      <c r="AY183" s="1">
        <f>=+AN183+AO183+AP183+AQ183+AR183+AS183+AT183+AU183</f>
      </c>
    </row>
    <row r="184" ht="16" customHeight="1" spans="1:51" x14ac:dyDescent="0.25">
      <c r="A184" s="45"/>
      <c r="B184" s="46"/>
      <c r="C184" s="46"/>
      <c r="D184" s="46" t="s">
        <v>33</v>
      </c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46"/>
      <c r="AE184" s="46"/>
      <c r="AF184" s="46"/>
      <c r="AG184" s="46"/>
      <c r="AH184" s="46"/>
      <c r="AI184" s="46"/>
      <c r="AJ184" s="46"/>
      <c r="AK184" s="46"/>
      <c r="AL184" s="46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ht="16" customHeight="1" spans="1:51" x14ac:dyDescent="0.25">
      <c r="A185" s="45"/>
      <c r="B185" s="46" t="s">
        <v>220</v>
      </c>
      <c r="C185" s="46" t="s">
        <v>221</v>
      </c>
      <c r="D185" s="46" t="s">
        <v>29</v>
      </c>
      <c r="E185" s="46" t="s">
        <v>30</v>
      </c>
      <c r="F185" s="46" t="s">
        <v>30</v>
      </c>
      <c r="G185" s="46" t="s">
        <v>30</v>
      </c>
      <c r="H185" s="46" t="s">
        <v>30</v>
      </c>
      <c r="I185" s="46" t="s">
        <v>222</v>
      </c>
      <c r="J185" s="46" t="s">
        <v>30</v>
      </c>
      <c r="K185" s="46" t="s">
        <v>30</v>
      </c>
      <c r="L185" s="46" t="s">
        <v>30</v>
      </c>
      <c r="M185" s="46" t="s">
        <v>30</v>
      </c>
      <c r="N185" s="46" t="s">
        <v>30</v>
      </c>
      <c r="O185" s="46" t="s">
        <v>30</v>
      </c>
      <c r="P185" s="46" t="s">
        <v>37</v>
      </c>
      <c r="Q185" s="46" t="s">
        <v>30</v>
      </c>
      <c r="R185" s="46" t="s">
        <v>30</v>
      </c>
      <c r="S185" s="46" t="s">
        <v>30</v>
      </c>
      <c r="T185" s="46" t="s">
        <v>30</v>
      </c>
      <c r="U185" s="46" t="s">
        <v>30</v>
      </c>
      <c r="V185" s="46" t="s">
        <v>30</v>
      </c>
      <c r="W185" s="46" t="s">
        <v>37</v>
      </c>
      <c r="X185" s="46" t="s">
        <v>30</v>
      </c>
      <c r="Y185" s="46" t="s">
        <v>30</v>
      </c>
      <c r="Z185" s="46" t="s">
        <v>30</v>
      </c>
      <c r="AA185" s="46" t="s">
        <v>30</v>
      </c>
      <c r="AB185" s="46" t="s">
        <v>30</v>
      </c>
      <c r="AC185" s="46" t="s">
        <v>30</v>
      </c>
      <c r="AD185" s="46" t="s">
        <v>37</v>
      </c>
      <c r="AE185" s="46" t="s">
        <v>30</v>
      </c>
      <c r="AF185" s="46" t="s">
        <v>30</v>
      </c>
      <c r="AG185" s="46" t="s">
        <v>30</v>
      </c>
      <c r="AH185" s="46" t="s">
        <v>43</v>
      </c>
      <c r="AI185" s="46" t="s">
        <v>30</v>
      </c>
      <c r="AJ185" s="46">
        <f>=SUM(E186:AI186)</f>
      </c>
      <c r="AK185" s="46">
        <f>=+AY185</f>
      </c>
      <c r="AL185" s="46"/>
      <c r="AM185" s="1"/>
      <c r="AN185" s="1">
        <f>=COUNTIF(E185:AI185,"A")+COUNTIF(E185:AI185,"B")+COUNTIF(E185:AI185,"C")+COUNTIF(E185:AI185,"D")+COUNTIF(E185:AI185,"E")+COUNTIF(E185:AI185,"F")+COUNTIF(E185:AI185,"M")+COUNTIF(E185:AI185,"AB")+COUNTIF(E185:AI185,"UZ")+COUNTIF(E185:AI185,"G")+(COUNTIF(E185:AI185,"RT.")/2)+(COUNTIF(E185:AI185,"ÇRT.")/2)</f>
      </c>
      <c r="AO185" s="1">
        <f>=COUNTIF(E185:AI185,"O")</f>
      </c>
      <c r="AP185" s="1">
        <f>=COUNTIF(E185:AI185,"RT")+(COUNTIF(E185:AI185,"RT.")/2)</f>
      </c>
      <c r="AQ185" s="1">
        <f>=COUNTIF(E185:AI185,"ÇRT")+(COUNTIF(E185:AI185,"ÇRT.")/2)</f>
      </c>
      <c r="AR185" s="1">
        <f>=COUNTIF(E185:AI185,"ÇHT")</f>
      </c>
      <c r="AS185" s="1">
        <f>=COUNTIF(E185:AI185,"Ö")+COUNTIF(E185:AI185,"T")</f>
      </c>
      <c r="AT185" s="1">
        <f>=COUNTIF(E185:AI185,"Y")</f>
      </c>
      <c r="AU185" s="1">
        <f>=COUNTIF(E185:AI185,"R.")</f>
      </c>
      <c r="AV185" s="1">
        <f>=COUNTIF(E185:AI185,"Ü")</f>
      </c>
      <c r="AW185" s="1">
        <f>=COUNTIF(E185:AI185,"R")</f>
      </c>
      <c r="AX185" s="1">
        <f>=COUNTIF(E185:AI185,"DV")</f>
      </c>
      <c r="AY185" s="1">
        <f>=+AN185+AO185+AP185+AQ185+AR185+AS185+AT185+AU185</f>
      </c>
    </row>
    <row r="186" ht="16" customHeight="1" spans="1:51" x14ac:dyDescent="0.25">
      <c r="A186" s="45"/>
      <c r="B186" s="46"/>
      <c r="C186" s="46"/>
      <c r="D186" s="46" t="s">
        <v>33</v>
      </c>
      <c r="E186" s="46"/>
      <c r="F186" s="46"/>
      <c r="G186" s="46">
        <v>2</v>
      </c>
      <c r="H186" s="46">
        <v>2</v>
      </c>
      <c r="I186" s="46"/>
      <c r="J186" s="46"/>
      <c r="K186" s="46"/>
      <c r="L186" s="46"/>
      <c r="M186" s="46"/>
      <c r="N186" s="46">
        <v>2</v>
      </c>
      <c r="O186" s="46"/>
      <c r="P186" s="46"/>
      <c r="Q186" s="46"/>
      <c r="R186" s="46">
        <v>2</v>
      </c>
      <c r="S186" s="46"/>
      <c r="T186" s="46">
        <v>2</v>
      </c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  <c r="AI186" s="46"/>
      <c r="AJ186" s="46"/>
      <c r="AK186" s="46"/>
      <c r="AL186" s="46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ht="16" customHeight="1" spans="1:51" x14ac:dyDescent="0.25">
      <c r="A187" s="45"/>
      <c r="B187" s="46" t="s">
        <v>223</v>
      </c>
      <c r="C187" s="46" t="s">
        <v>224</v>
      </c>
      <c r="D187" s="46" t="s">
        <v>29</v>
      </c>
      <c r="E187" s="46" t="s">
        <v>36</v>
      </c>
      <c r="F187" s="46" t="s">
        <v>36</v>
      </c>
      <c r="G187" s="46" t="s">
        <v>36</v>
      </c>
      <c r="H187" s="46" t="s">
        <v>37</v>
      </c>
      <c r="I187" s="46" t="s">
        <v>36</v>
      </c>
      <c r="J187" s="46" t="s">
        <v>36</v>
      </c>
      <c r="K187" s="46" t="s">
        <v>36</v>
      </c>
      <c r="L187" s="46" t="s">
        <v>36</v>
      </c>
      <c r="M187" s="46" t="s">
        <v>36</v>
      </c>
      <c r="N187" s="46" t="s">
        <v>36</v>
      </c>
      <c r="O187" s="46" t="s">
        <v>37</v>
      </c>
      <c r="P187" s="46" t="s">
        <v>36</v>
      </c>
      <c r="Q187" s="46" t="s">
        <v>36</v>
      </c>
      <c r="R187" s="46" t="s">
        <v>36</v>
      </c>
      <c r="S187" s="46" t="s">
        <v>36</v>
      </c>
      <c r="T187" s="46" t="s">
        <v>36</v>
      </c>
      <c r="U187" s="46" t="s">
        <v>36</v>
      </c>
      <c r="V187" s="46" t="s">
        <v>37</v>
      </c>
      <c r="W187" s="46" t="s">
        <v>36</v>
      </c>
      <c r="X187" s="46" t="s">
        <v>36</v>
      </c>
      <c r="Y187" s="46" t="s">
        <v>36</v>
      </c>
      <c r="Z187" s="46" t="s">
        <v>36</v>
      </c>
      <c r="AA187" s="46" t="s">
        <v>36</v>
      </c>
      <c r="AB187" s="46" t="s">
        <v>36</v>
      </c>
      <c r="AC187" s="46" t="s">
        <v>37</v>
      </c>
      <c r="AD187" s="46" t="s">
        <v>41</v>
      </c>
      <c r="AE187" s="46" t="s">
        <v>41</v>
      </c>
      <c r="AF187" s="46" t="s">
        <v>41</v>
      </c>
      <c r="AG187" s="46" t="s">
        <v>42</v>
      </c>
      <c r="AH187" s="46" t="s">
        <v>43</v>
      </c>
      <c r="AI187" s="46" t="s">
        <v>41</v>
      </c>
      <c r="AJ187" s="46">
        <f>=SUM(E188:AI188)</f>
      </c>
      <c r="AK187" s="46">
        <f>=+AY187</f>
      </c>
      <c r="AL187" s="46"/>
      <c r="AM187" s="1"/>
      <c r="AN187" s="1">
        <f>=COUNTIF(E187:AI187,"A")+COUNTIF(E187:AI187,"B")+COUNTIF(E187:AI187,"C")+COUNTIF(E187:AI187,"D")+COUNTIF(E187:AI187,"E")+COUNTIF(E187:AI187,"F")+COUNTIF(E187:AI187,"M")+COUNTIF(E187:AI187,"AB")+COUNTIF(E187:AI187,"UZ")+COUNTIF(E187:AI187,"G")+(COUNTIF(E187:AI187,"RT.")/2)+(COUNTIF(E187:AI187,"ÇRT.")/2)</f>
      </c>
      <c r="AO187" s="1">
        <f>=COUNTIF(E187:AI187,"O")</f>
      </c>
      <c r="AP187" s="1">
        <f>=COUNTIF(E187:AI187,"RT")+(COUNTIF(E187:AI187,"RT.")/2)</f>
      </c>
      <c r="AQ187" s="1">
        <f>=COUNTIF(E187:AI187,"ÇRT")+(COUNTIF(E187:AI187,"ÇRT.")/2)</f>
      </c>
      <c r="AR187" s="1">
        <f>=COUNTIF(E187:AI187,"ÇHT")</f>
      </c>
      <c r="AS187" s="1">
        <f>=COUNTIF(E187:AI187,"Ö")+COUNTIF(E187:AI187,"T")</f>
      </c>
      <c r="AT187" s="1">
        <f>=COUNTIF(E187:AI187,"Y")</f>
      </c>
      <c r="AU187" s="1">
        <f>=COUNTIF(E187:AI187,"R.")</f>
      </c>
      <c r="AV187" s="1">
        <f>=COUNTIF(E187:AI187,"Ü")</f>
      </c>
      <c r="AW187" s="1">
        <f>=COUNTIF(E187:AI187,"R")</f>
      </c>
      <c r="AX187" s="1">
        <f>=COUNTIF(E187:AI187,"DV")</f>
      </c>
      <c r="AY187" s="1">
        <f>=+AN187+AO187+AP187+AQ187+AR187+AS187+AT187+AU187</f>
      </c>
    </row>
    <row r="188" ht="16" customHeight="1" spans="1:51" x14ac:dyDescent="0.25">
      <c r="A188" s="45"/>
      <c r="B188" s="46"/>
      <c r="C188" s="46"/>
      <c r="D188" s="46" t="s">
        <v>33</v>
      </c>
      <c r="E188" s="46"/>
      <c r="F188" s="46"/>
      <c r="G188" s="46">
        <v>2</v>
      </c>
      <c r="H188" s="46"/>
      <c r="I188" s="46">
        <v>2</v>
      </c>
      <c r="J188" s="46">
        <v>2</v>
      </c>
      <c r="K188" s="46">
        <v>2</v>
      </c>
      <c r="L188" s="46"/>
      <c r="M188" s="46"/>
      <c r="N188" s="46">
        <v>2</v>
      </c>
      <c r="O188" s="46"/>
      <c r="P188" s="46">
        <v>2</v>
      </c>
      <c r="Q188" s="46">
        <v>2</v>
      </c>
      <c r="R188" s="46">
        <v>2</v>
      </c>
      <c r="S188" s="46"/>
      <c r="T188" s="46"/>
      <c r="U188" s="46">
        <v>2</v>
      </c>
      <c r="V188" s="46"/>
      <c r="W188" s="46">
        <v>2</v>
      </c>
      <c r="X188" s="46">
        <v>2</v>
      </c>
      <c r="Y188" s="46">
        <v>2</v>
      </c>
      <c r="Z188" s="46"/>
      <c r="AA188" s="46"/>
      <c r="AB188" s="46">
        <v>2</v>
      </c>
      <c r="AC188" s="46"/>
      <c r="AD188" s="46">
        <v>2</v>
      </c>
      <c r="AE188" s="46">
        <v>2</v>
      </c>
      <c r="AF188" s="46">
        <v>2</v>
      </c>
      <c r="AG188" s="46"/>
      <c r="AH188" s="46"/>
      <c r="AI188" s="46"/>
      <c r="AJ188" s="46"/>
      <c r="AK188" s="46"/>
      <c r="AL188" s="46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ht="16" customHeight="1" spans="1:51" x14ac:dyDescent="0.25">
      <c r="A189" s="45"/>
      <c r="B189" s="46" t="s">
        <v>225</v>
      </c>
      <c r="C189" s="46" t="s">
        <v>226</v>
      </c>
      <c r="D189" s="46" t="s">
        <v>29</v>
      </c>
      <c r="E189" s="46" t="s">
        <v>36</v>
      </c>
      <c r="F189" s="46" t="s">
        <v>42</v>
      </c>
      <c r="G189" s="46" t="s">
        <v>42</v>
      </c>
      <c r="H189" s="46" t="s">
        <v>42</v>
      </c>
      <c r="I189" s="46" t="s">
        <v>37</v>
      </c>
      <c r="J189" s="46" t="s">
        <v>36</v>
      </c>
      <c r="K189" s="46" t="s">
        <v>42</v>
      </c>
      <c r="L189" s="46" t="s">
        <v>36</v>
      </c>
      <c r="M189" s="46" t="s">
        <v>42</v>
      </c>
      <c r="N189" s="46" t="s">
        <v>36</v>
      </c>
      <c r="O189" s="46" t="s">
        <v>42</v>
      </c>
      <c r="P189" s="46" t="s">
        <v>37</v>
      </c>
      <c r="Q189" s="46" t="s">
        <v>36</v>
      </c>
      <c r="R189" s="46" t="s">
        <v>42</v>
      </c>
      <c r="S189" s="46" t="s">
        <v>42</v>
      </c>
      <c r="T189" s="46" t="s">
        <v>42</v>
      </c>
      <c r="U189" s="46" t="s">
        <v>42</v>
      </c>
      <c r="V189" s="46" t="s">
        <v>42</v>
      </c>
      <c r="W189" s="46" t="s">
        <v>37</v>
      </c>
      <c r="X189" s="46" t="s">
        <v>42</v>
      </c>
      <c r="Y189" s="46" t="s">
        <v>42</v>
      </c>
      <c r="Z189" s="46" t="s">
        <v>36</v>
      </c>
      <c r="AA189" s="46" t="s">
        <v>42</v>
      </c>
      <c r="AB189" s="46" t="s">
        <v>37</v>
      </c>
      <c r="AC189" s="46" t="s">
        <v>36</v>
      </c>
      <c r="AD189" s="46" t="s">
        <v>41</v>
      </c>
      <c r="AE189" s="46" t="s">
        <v>41</v>
      </c>
      <c r="AF189" s="46" t="s">
        <v>42</v>
      </c>
      <c r="AG189" s="46" t="s">
        <v>36</v>
      </c>
      <c r="AH189" s="46" t="s">
        <v>43</v>
      </c>
      <c r="AI189" s="46" t="s">
        <v>36</v>
      </c>
      <c r="AJ189" s="46">
        <f>=SUM(E190:AI190)</f>
      </c>
      <c r="AK189" s="46">
        <f>=+AY189</f>
      </c>
      <c r="AL189" s="46"/>
      <c r="AM189" s="1"/>
      <c r="AN189" s="1">
        <f>=COUNTIF(E189:AI189,"A")+COUNTIF(E189:AI189,"B")+COUNTIF(E189:AI189,"C")+COUNTIF(E189:AI189,"D")+COUNTIF(E189:AI189,"E")+COUNTIF(E189:AI189,"F")+COUNTIF(E189:AI189,"M")+COUNTIF(E189:AI189,"AB")+COUNTIF(E189:AI189,"UZ")+COUNTIF(E189:AI189,"G")+(COUNTIF(E189:AI189,"RT.")/2)+(COUNTIF(E189:AI189,"ÇRT.")/2)</f>
      </c>
      <c r="AO189" s="1">
        <f>=COUNTIF(E189:AI189,"O")</f>
      </c>
      <c r="AP189" s="1">
        <f>=COUNTIF(E189:AI189,"RT")+(COUNTIF(E189:AI189,"RT.")/2)</f>
      </c>
      <c r="AQ189" s="1">
        <f>=COUNTIF(E189:AI189,"ÇRT")+(COUNTIF(E189:AI189,"ÇRT.")/2)</f>
      </c>
      <c r="AR189" s="1">
        <f>=COUNTIF(E189:AI189,"ÇHT")</f>
      </c>
      <c r="AS189" s="1">
        <f>=COUNTIF(E189:AI189,"Ö")+COUNTIF(E189:AI189,"T")</f>
      </c>
      <c r="AT189" s="1">
        <f>=COUNTIF(E189:AI189,"Y")</f>
      </c>
      <c r="AU189" s="1">
        <f>=COUNTIF(E189:AI189,"R.")</f>
      </c>
      <c r="AV189" s="1">
        <f>=COUNTIF(E189:AI189,"Ü")</f>
      </c>
      <c r="AW189" s="1">
        <f>=COUNTIF(E189:AI189,"R")</f>
      </c>
      <c r="AX189" s="1">
        <f>=COUNTIF(E189:AI189,"DV")</f>
      </c>
      <c r="AY189" s="1">
        <f>=+AN189+AO189+AP189+AQ189+AR189+AS189+AT189+AU189</f>
      </c>
    </row>
    <row r="190" ht="16" customHeight="1" spans="1:51" x14ac:dyDescent="0.25">
      <c r="A190" s="45"/>
      <c r="B190" s="46"/>
      <c r="C190" s="46"/>
      <c r="D190" s="46" t="s">
        <v>33</v>
      </c>
      <c r="E190" s="46"/>
      <c r="F190" s="46"/>
      <c r="G190" s="46"/>
      <c r="H190" s="46">
        <v>2</v>
      </c>
      <c r="I190" s="46"/>
      <c r="J190" s="46"/>
      <c r="K190" s="46">
        <v>3</v>
      </c>
      <c r="L190" s="46"/>
      <c r="M190" s="46"/>
      <c r="N190" s="46"/>
      <c r="O190" s="46">
        <v>2</v>
      </c>
      <c r="P190" s="46"/>
      <c r="Q190" s="46"/>
      <c r="R190" s="46">
        <v>3</v>
      </c>
      <c r="S190" s="46"/>
      <c r="T190" s="46"/>
      <c r="U190" s="46"/>
      <c r="V190" s="46">
        <v>2</v>
      </c>
      <c r="W190" s="46"/>
      <c r="X190" s="46"/>
      <c r="Y190" s="46">
        <v>3</v>
      </c>
      <c r="Z190" s="46"/>
      <c r="AA190" s="46"/>
      <c r="AB190" s="46"/>
      <c r="AC190" s="46"/>
      <c r="AD190" s="46"/>
      <c r="AE190" s="46"/>
      <c r="AF190" s="46">
        <v>2</v>
      </c>
      <c r="AG190" s="46"/>
      <c r="AH190" s="46"/>
      <c r="AI190" s="46"/>
      <c r="AJ190" s="46"/>
      <c r="AK190" s="46"/>
      <c r="AL190" s="46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ht="16" customHeight="1" spans="1:51" x14ac:dyDescent="0.25">
      <c r="A191" s="45"/>
      <c r="B191" s="46" t="s">
        <v>227</v>
      </c>
      <c r="C191" s="46" t="s">
        <v>228</v>
      </c>
      <c r="D191" s="46" t="s">
        <v>29</v>
      </c>
      <c r="E191" s="46" t="s">
        <v>37</v>
      </c>
      <c r="F191" s="46" t="s">
        <v>41</v>
      </c>
      <c r="G191" s="46" t="s">
        <v>42</v>
      </c>
      <c r="H191" s="46" t="s">
        <v>36</v>
      </c>
      <c r="I191" s="46" t="s">
        <v>41</v>
      </c>
      <c r="J191" s="46" t="s">
        <v>31</v>
      </c>
      <c r="K191" s="46" t="s">
        <v>31</v>
      </c>
      <c r="L191" s="46" t="s">
        <v>37</v>
      </c>
      <c r="M191" s="46" t="s">
        <v>41</v>
      </c>
      <c r="N191" s="46" t="s">
        <v>42</v>
      </c>
      <c r="O191" s="46" t="s">
        <v>36</v>
      </c>
      <c r="P191" s="46" t="s">
        <v>41</v>
      </c>
      <c r="Q191" s="46" t="s">
        <v>36</v>
      </c>
      <c r="R191" s="46" t="s">
        <v>36</v>
      </c>
      <c r="S191" s="46" t="s">
        <v>37</v>
      </c>
      <c r="T191" s="46" t="s">
        <v>41</v>
      </c>
      <c r="U191" s="46" t="s">
        <v>42</v>
      </c>
      <c r="V191" s="46" t="s">
        <v>36</v>
      </c>
      <c r="W191" s="46" t="s">
        <v>41</v>
      </c>
      <c r="X191" s="46" t="s">
        <v>41</v>
      </c>
      <c r="Y191" s="46" t="s">
        <v>42</v>
      </c>
      <c r="Z191" s="46" t="s">
        <v>37</v>
      </c>
      <c r="AA191" s="46" t="s">
        <v>41</v>
      </c>
      <c r="AB191" s="46" t="s">
        <v>41</v>
      </c>
      <c r="AC191" s="46" t="s">
        <v>41</v>
      </c>
      <c r="AD191" s="46" t="s">
        <v>41</v>
      </c>
      <c r="AE191" s="46" t="s">
        <v>41</v>
      </c>
      <c r="AF191" s="46" t="s">
        <v>41</v>
      </c>
      <c r="AG191" s="46" t="s">
        <v>37</v>
      </c>
      <c r="AH191" s="46" t="s">
        <v>43</v>
      </c>
      <c r="AI191" s="46" t="s">
        <v>41</v>
      </c>
      <c r="AJ191" s="46">
        <f>=SUM(E192:AI192)</f>
      </c>
      <c r="AK191" s="46">
        <f>=+AY191</f>
      </c>
      <c r="AL191" s="46"/>
      <c r="AM191" s="1"/>
      <c r="AN191" s="1">
        <f>=COUNTIF(E191:AI191,"A")+COUNTIF(E191:AI191,"B")+COUNTIF(E191:AI191,"C")+COUNTIF(E191:AI191,"D")+COUNTIF(E191:AI191,"E")+COUNTIF(E191:AI191,"F")+COUNTIF(E191:AI191,"M")+COUNTIF(E191:AI191,"AB")+COUNTIF(E191:AI191,"UZ")+COUNTIF(E191:AI191,"G")+(COUNTIF(E191:AI191,"RT.")/2)+(COUNTIF(E191:AI191,"ÇRT.")/2)</f>
      </c>
      <c r="AO191" s="1">
        <f>=COUNTIF(E191:AI191,"O")</f>
      </c>
      <c r="AP191" s="1">
        <f>=COUNTIF(E191:AI191,"RT")+(COUNTIF(E191:AI191,"RT.")/2)</f>
      </c>
      <c r="AQ191" s="1">
        <f>=COUNTIF(E191:AI191,"ÇRT")+(COUNTIF(E191:AI191,"ÇRT.")/2)</f>
      </c>
      <c r="AR191" s="1">
        <f>=COUNTIF(E191:AI191,"ÇHT")</f>
      </c>
      <c r="AS191" s="1">
        <f>=COUNTIF(E191:AI191,"Ö")+COUNTIF(E191:AI191,"T")</f>
      </c>
      <c r="AT191" s="1">
        <f>=COUNTIF(E191:AI191,"Y")</f>
      </c>
      <c r="AU191" s="1">
        <f>=COUNTIF(E191:AI191,"R.")</f>
      </c>
      <c r="AV191" s="1">
        <f>=COUNTIF(E191:AI191,"Ü")</f>
      </c>
      <c r="AW191" s="1">
        <f>=COUNTIF(E191:AI191,"R")</f>
      </c>
      <c r="AX191" s="1">
        <f>=COUNTIF(E191:AI191,"DV")</f>
      </c>
      <c r="AY191" s="1">
        <f>=+AN191+AO191+AP191+AQ191+AR191+AS191+AT191+AU191</f>
      </c>
    </row>
    <row r="192" ht="16" customHeight="1" spans="1:51" x14ac:dyDescent="0.25">
      <c r="A192" s="45"/>
      <c r="B192" s="46"/>
      <c r="C192" s="46"/>
      <c r="D192" s="46" t="s">
        <v>33</v>
      </c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  <c r="AE192" s="46"/>
      <c r="AF192" s="46"/>
      <c r="AG192" s="46"/>
      <c r="AH192" s="46"/>
      <c r="AI192" s="46"/>
      <c r="AJ192" s="46"/>
      <c r="AK192" s="46"/>
      <c r="AL192" s="46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ht="16" customHeight="1" spans="1:51" x14ac:dyDescent="0.25">
      <c r="A193" s="45"/>
      <c r="B193" s="46" t="s">
        <v>229</v>
      </c>
      <c r="C193" s="46" t="s">
        <v>230</v>
      </c>
      <c r="D193" s="46" t="s">
        <v>29</v>
      </c>
      <c r="E193" s="46" t="s">
        <v>153</v>
      </c>
      <c r="F193" s="46" t="s">
        <v>153</v>
      </c>
      <c r="G193" s="46" t="s">
        <v>37</v>
      </c>
      <c r="H193" s="46" t="s">
        <v>30</v>
      </c>
      <c r="I193" s="46" t="s">
        <v>30</v>
      </c>
      <c r="J193" s="46" t="s">
        <v>30</v>
      </c>
      <c r="K193" s="46" t="s">
        <v>30</v>
      </c>
      <c r="L193" s="46" t="s">
        <v>30</v>
      </c>
      <c r="M193" s="46" t="s">
        <v>30</v>
      </c>
      <c r="N193" s="46" t="s">
        <v>30</v>
      </c>
      <c r="O193" s="46" t="s">
        <v>37</v>
      </c>
      <c r="P193" s="46" t="s">
        <v>30</v>
      </c>
      <c r="Q193" s="46" t="s">
        <v>30</v>
      </c>
      <c r="R193" s="46" t="s">
        <v>30</v>
      </c>
      <c r="S193" s="46" t="s">
        <v>30</v>
      </c>
      <c r="T193" s="46" t="s">
        <v>30</v>
      </c>
      <c r="U193" s="46" t="s">
        <v>30</v>
      </c>
      <c r="V193" s="46" t="s">
        <v>37</v>
      </c>
      <c r="W193" s="46" t="s">
        <v>30</v>
      </c>
      <c r="X193" s="46" t="s">
        <v>30</v>
      </c>
      <c r="Y193" s="46" t="s">
        <v>30</v>
      </c>
      <c r="Z193" s="46" t="s">
        <v>30</v>
      </c>
      <c r="AA193" s="46" t="s">
        <v>30</v>
      </c>
      <c r="AB193" s="46" t="s">
        <v>30</v>
      </c>
      <c r="AC193" s="46" t="s">
        <v>37</v>
      </c>
      <c r="AD193" s="46" t="s">
        <v>30</v>
      </c>
      <c r="AE193" s="46" t="s">
        <v>30</v>
      </c>
      <c r="AF193" s="46" t="s">
        <v>30</v>
      </c>
      <c r="AG193" s="46" t="s">
        <v>30</v>
      </c>
      <c r="AH193" s="46" t="s">
        <v>43</v>
      </c>
      <c r="AI193" s="46" t="s">
        <v>30</v>
      </c>
      <c r="AJ193" s="46">
        <f>=SUM(E194:AI194)</f>
      </c>
      <c r="AK193" s="46">
        <f>=+AY193</f>
      </c>
      <c r="AL193" s="46"/>
      <c r="AM193" s="1"/>
      <c r="AN193" s="1">
        <f>=COUNTIF(E193:AI193,"A")+COUNTIF(E193:AI193,"B")+COUNTIF(E193:AI193,"C")+COUNTIF(E193:AI193,"D")+COUNTIF(E193:AI193,"E")+COUNTIF(E193:AI193,"F")+COUNTIF(E193:AI193,"M")+COUNTIF(E193:AI193,"AB")+COUNTIF(E193:AI193,"UZ")+COUNTIF(E193:AI193,"G")+(COUNTIF(E193:AI193,"RT.")/2)+(COUNTIF(E193:AI193,"ÇRT.")/2)</f>
      </c>
      <c r="AO193" s="1">
        <f>=COUNTIF(E193:AI193,"O")</f>
      </c>
      <c r="AP193" s="1">
        <f>=COUNTIF(E193:AI193,"RT")+(COUNTIF(E193:AI193,"RT.")/2)</f>
      </c>
      <c r="AQ193" s="1">
        <f>=COUNTIF(E193:AI193,"ÇRT")+(COUNTIF(E193:AI193,"ÇRT.")/2)</f>
      </c>
      <c r="AR193" s="1">
        <f>=COUNTIF(E193:AI193,"ÇHT")</f>
      </c>
      <c r="AS193" s="1">
        <f>=COUNTIF(E193:AI193,"Ö")+COUNTIF(E193:AI193,"T")</f>
      </c>
      <c r="AT193" s="1">
        <f>=COUNTIF(E193:AI193,"Y")</f>
      </c>
      <c r="AU193" s="1">
        <f>=COUNTIF(E193:AI193,"R.")</f>
      </c>
      <c r="AV193" s="1">
        <f>=COUNTIF(E193:AI193,"Ü")</f>
      </c>
      <c r="AW193" s="1">
        <f>=COUNTIF(E193:AI193,"R")</f>
      </c>
      <c r="AX193" s="1">
        <f>=COUNTIF(E193:AI193,"DV")</f>
      </c>
      <c r="AY193" s="1">
        <f>=+AN193+AO193+AP193+AQ193+AR193+AS193+AT193+AU193</f>
      </c>
    </row>
    <row r="194" ht="16" customHeight="1" spans="1:51" x14ac:dyDescent="0.25">
      <c r="A194" s="45"/>
      <c r="B194" s="46"/>
      <c r="C194" s="46"/>
      <c r="D194" s="46" t="s">
        <v>33</v>
      </c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  <c r="AG194" s="46"/>
      <c r="AH194" s="46">
        <v>0</v>
      </c>
      <c r="AI194" s="46"/>
      <c r="AJ194" s="46"/>
      <c r="AK194" s="46"/>
      <c r="AL194" s="46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ht="16" customHeight="1" spans="1:51" x14ac:dyDescent="0.25">
      <c r="A195" s="45"/>
      <c r="B195" s="46" t="s">
        <v>231</v>
      </c>
      <c r="C195" s="46" t="s">
        <v>232</v>
      </c>
      <c r="D195" s="46" t="s">
        <v>29</v>
      </c>
      <c r="E195" s="46" t="s">
        <v>37</v>
      </c>
      <c r="F195" s="46" t="s">
        <v>36</v>
      </c>
      <c r="G195" s="46" t="s">
        <v>36</v>
      </c>
      <c r="H195" s="46" t="s">
        <v>36</v>
      </c>
      <c r="I195" s="46" t="s">
        <v>36</v>
      </c>
      <c r="J195" s="46" t="s">
        <v>36</v>
      </c>
      <c r="K195" s="46" t="s">
        <v>36</v>
      </c>
      <c r="L195" s="46" t="s">
        <v>37</v>
      </c>
      <c r="M195" s="46" t="s">
        <v>36</v>
      </c>
      <c r="N195" s="46" t="s">
        <v>36</v>
      </c>
      <c r="O195" s="46" t="s">
        <v>36</v>
      </c>
      <c r="P195" s="46" t="s">
        <v>36</v>
      </c>
      <c r="Q195" s="46" t="s">
        <v>36</v>
      </c>
      <c r="R195" s="46" t="s">
        <v>36</v>
      </c>
      <c r="S195" s="46" t="s">
        <v>37</v>
      </c>
      <c r="T195" s="46" t="s">
        <v>36</v>
      </c>
      <c r="U195" s="46" t="s">
        <v>36</v>
      </c>
      <c r="V195" s="46" t="s">
        <v>36</v>
      </c>
      <c r="W195" s="46" t="s">
        <v>36</v>
      </c>
      <c r="X195" s="46" t="s">
        <v>36</v>
      </c>
      <c r="Y195" s="46" t="s">
        <v>36</v>
      </c>
      <c r="Z195" s="46" t="s">
        <v>37</v>
      </c>
      <c r="AA195" s="46" t="s">
        <v>36</v>
      </c>
      <c r="AB195" s="46" t="s">
        <v>36</v>
      </c>
      <c r="AC195" s="46" t="s">
        <v>36</v>
      </c>
      <c r="AD195" s="46" t="s">
        <v>36</v>
      </c>
      <c r="AE195" s="46" t="s">
        <v>36</v>
      </c>
      <c r="AF195" s="46" t="s">
        <v>36</v>
      </c>
      <c r="AG195" s="46" t="s">
        <v>37</v>
      </c>
      <c r="AH195" s="46" t="s">
        <v>43</v>
      </c>
      <c r="AI195" s="46" t="s">
        <v>36</v>
      </c>
      <c r="AJ195" s="46">
        <f>=SUM(E196:AI196)</f>
      </c>
      <c r="AK195" s="46">
        <f>=+AY195</f>
      </c>
      <c r="AL195" s="46"/>
      <c r="AM195" s="1"/>
      <c r="AN195" s="1">
        <f>=COUNTIF(E195:AI195,"A")+COUNTIF(E195:AI195,"B")+COUNTIF(E195:AI195,"C")+COUNTIF(E195:AI195,"D")+COUNTIF(E195:AI195,"E")+COUNTIF(E195:AI195,"F")+COUNTIF(E195:AI195,"M")+COUNTIF(E195:AI195,"AB")+COUNTIF(E195:AI195,"UZ")+COUNTIF(E195:AI195,"G")+(COUNTIF(E195:AI195,"RT.")/2)+(COUNTIF(E195:AI195,"ÇRT.")/2)</f>
      </c>
      <c r="AO195" s="1">
        <f>=COUNTIF(E195:AI195,"O")</f>
      </c>
      <c r="AP195" s="1">
        <f>=COUNTIF(E195:AI195,"RT")+(COUNTIF(E195:AI195,"RT.")/2)</f>
      </c>
      <c r="AQ195" s="1">
        <f>=COUNTIF(E195:AI195,"ÇRT")+(COUNTIF(E195:AI195,"ÇRT.")/2)</f>
      </c>
      <c r="AR195" s="1">
        <f>=COUNTIF(E195:AI195,"ÇHT")</f>
      </c>
      <c r="AS195" s="1">
        <f>=COUNTIF(E195:AI195,"Ö")+COUNTIF(E195:AI195,"T")</f>
      </c>
      <c r="AT195" s="1">
        <f>=COUNTIF(E195:AI195,"Y")</f>
      </c>
      <c r="AU195" s="1">
        <f>=COUNTIF(E195:AI195,"R.")</f>
      </c>
      <c r="AV195" s="1">
        <f>=COUNTIF(E195:AI195,"Ü")</f>
      </c>
      <c r="AW195" s="1">
        <f>=COUNTIF(E195:AI195,"R")</f>
      </c>
      <c r="AX195" s="1">
        <f>=COUNTIF(E195:AI195,"DV")</f>
      </c>
      <c r="AY195" s="1">
        <f>=+AN195+AO195+AP195+AQ195+AR195+AS195+AT195+AU195</f>
      </c>
    </row>
    <row r="196" ht="16" customHeight="1" spans="1:51" x14ac:dyDescent="0.25">
      <c r="A196" s="45"/>
      <c r="B196" s="46"/>
      <c r="C196" s="46"/>
      <c r="D196" s="46" t="s">
        <v>33</v>
      </c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  <c r="AI196" s="46"/>
      <c r="AJ196" s="46"/>
      <c r="AK196" s="46"/>
      <c r="AL196" s="46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ht="16" customHeight="1" spans="1:51" x14ac:dyDescent="0.25">
      <c r="A197" s="45"/>
      <c r="B197" s="46" t="s">
        <v>233</v>
      </c>
      <c r="C197" s="46" t="s">
        <v>234</v>
      </c>
      <c r="D197" s="46" t="s">
        <v>29</v>
      </c>
      <c r="E197" s="46" t="s">
        <v>36</v>
      </c>
      <c r="F197" s="46" t="s">
        <v>36</v>
      </c>
      <c r="G197" s="46" t="s">
        <v>36</v>
      </c>
      <c r="H197" s="46" t="s">
        <v>36</v>
      </c>
      <c r="I197" s="46" t="s">
        <v>36</v>
      </c>
      <c r="J197" s="46" t="s">
        <v>37</v>
      </c>
      <c r="K197" s="46" t="s">
        <v>36</v>
      </c>
      <c r="L197" s="46" t="s">
        <v>31</v>
      </c>
      <c r="M197" s="46" t="s">
        <v>31</v>
      </c>
      <c r="N197" s="46" t="s">
        <v>36</v>
      </c>
      <c r="O197" s="46" t="s">
        <v>36</v>
      </c>
      <c r="P197" s="46" t="s">
        <v>36</v>
      </c>
      <c r="Q197" s="46" t="s">
        <v>37</v>
      </c>
      <c r="R197" s="46" t="s">
        <v>36</v>
      </c>
      <c r="S197" s="46" t="s">
        <v>36</v>
      </c>
      <c r="T197" s="46" t="s">
        <v>36</v>
      </c>
      <c r="U197" s="46" t="s">
        <v>36</v>
      </c>
      <c r="V197" s="46" t="s">
        <v>36</v>
      </c>
      <c r="W197" s="46" t="s">
        <v>36</v>
      </c>
      <c r="X197" s="46" t="s">
        <v>37</v>
      </c>
      <c r="Y197" s="46" t="s">
        <v>36</v>
      </c>
      <c r="Z197" s="46" t="s">
        <v>36</v>
      </c>
      <c r="AA197" s="46" t="s">
        <v>36</v>
      </c>
      <c r="AB197" s="46" t="s">
        <v>36</v>
      </c>
      <c r="AC197" s="46" t="s">
        <v>36</v>
      </c>
      <c r="AD197" s="46" t="s">
        <v>36</v>
      </c>
      <c r="AE197" s="46" t="s">
        <v>37</v>
      </c>
      <c r="AF197" s="46" t="s">
        <v>36</v>
      </c>
      <c r="AG197" s="46" t="s">
        <v>36</v>
      </c>
      <c r="AH197" s="46"/>
      <c r="AI197" s="46"/>
      <c r="AJ197" s="46">
        <f>=SUM(E198:AI198)</f>
      </c>
      <c r="AK197" s="46">
        <f>=+AY197</f>
      </c>
      <c r="AL197" s="46"/>
      <c r="AM197" s="1"/>
      <c r="AN197" s="1">
        <f>=COUNTIF(E197:AI197,"A")+COUNTIF(E197:AI197,"B")+COUNTIF(E197:AI197,"C")+COUNTIF(E197:AI197,"D")+COUNTIF(E197:AI197,"E")+COUNTIF(E197:AI197,"F")+COUNTIF(E197:AI197,"M")+COUNTIF(E197:AI197,"AB")+COUNTIF(E197:AI197,"UZ")+COUNTIF(E197:AI197,"G")+(COUNTIF(E197:AI197,"RT.")/2)+(COUNTIF(E197:AI197,"ÇRT.")/2)</f>
      </c>
      <c r="AO197" s="1">
        <f>=COUNTIF(E197:AI197,"O")</f>
      </c>
      <c r="AP197" s="1">
        <f>=COUNTIF(E197:AI197,"RT")+(COUNTIF(E197:AI197,"RT.")/2)</f>
      </c>
      <c r="AQ197" s="1">
        <f>=COUNTIF(E197:AI197,"ÇRT")+(COUNTIF(E197:AI197,"ÇRT.")/2)</f>
      </c>
      <c r="AR197" s="1">
        <f>=COUNTIF(E197:AI197,"ÇHT")</f>
      </c>
      <c r="AS197" s="1">
        <f>=COUNTIF(E197:AI197,"Ö")+COUNTIF(E197:AI197,"T")</f>
      </c>
      <c r="AT197" s="1">
        <f>=COUNTIF(E197:AI197,"Y")</f>
      </c>
      <c r="AU197" s="1">
        <f>=COUNTIF(E197:AI197,"R.")</f>
      </c>
      <c r="AV197" s="1">
        <f>=COUNTIF(E197:AI197,"Ü")</f>
      </c>
      <c r="AW197" s="1">
        <f>=COUNTIF(E197:AI197,"R")</f>
      </c>
      <c r="AX197" s="1">
        <f>=COUNTIF(E197:AI197,"DV")</f>
      </c>
      <c r="AY197" s="1">
        <f>=+AN197+AO197+AP197+AQ197+AR197+AS197+AT197+AU197</f>
      </c>
    </row>
    <row r="198" ht="16" customHeight="1" spans="1:51" x14ac:dyDescent="0.25">
      <c r="A198" s="45"/>
      <c r="B198" s="46"/>
      <c r="C198" s="46"/>
      <c r="D198" s="46" t="s">
        <v>33</v>
      </c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  <c r="AI198" s="46"/>
      <c r="AJ198" s="46"/>
      <c r="AK198" s="46"/>
      <c r="AL198" s="46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ht="16" customHeight="1" spans="1:51" x14ac:dyDescent="0.25">
      <c r="A199" s="45"/>
      <c r="B199" s="46" t="s">
        <v>235</v>
      </c>
      <c r="C199" s="46" t="s">
        <v>236</v>
      </c>
      <c r="D199" s="46" t="s">
        <v>29</v>
      </c>
      <c r="E199" s="46" t="s">
        <v>41</v>
      </c>
      <c r="F199" s="46" t="s">
        <v>41</v>
      </c>
      <c r="G199" s="46" t="s">
        <v>42</v>
      </c>
      <c r="H199" s="46" t="s">
        <v>36</v>
      </c>
      <c r="I199" s="46" t="s">
        <v>37</v>
      </c>
      <c r="J199" s="46" t="s">
        <v>36</v>
      </c>
      <c r="K199" s="46" t="s">
        <v>36</v>
      </c>
      <c r="L199" s="46" t="s">
        <v>36</v>
      </c>
      <c r="M199" s="46" t="s">
        <v>36</v>
      </c>
      <c r="N199" s="46" t="s">
        <v>37</v>
      </c>
      <c r="O199" s="46" t="s">
        <v>36</v>
      </c>
      <c r="P199" s="46" t="s">
        <v>36</v>
      </c>
      <c r="Q199" s="46" t="s">
        <v>36</v>
      </c>
      <c r="R199" s="46" t="s">
        <v>36</v>
      </c>
      <c r="S199" s="46" t="s">
        <v>36</v>
      </c>
      <c r="T199" s="46" t="s">
        <v>36</v>
      </c>
      <c r="U199" s="46" t="s">
        <v>37</v>
      </c>
      <c r="V199" s="46" t="s">
        <v>36</v>
      </c>
      <c r="W199" s="46" t="s">
        <v>36</v>
      </c>
      <c r="X199" s="46" t="s">
        <v>36</v>
      </c>
      <c r="Y199" s="46" t="s">
        <v>36</v>
      </c>
      <c r="Z199" s="46" t="s">
        <v>36</v>
      </c>
      <c r="AA199" s="46" t="s">
        <v>36</v>
      </c>
      <c r="AB199" s="46" t="s">
        <v>37</v>
      </c>
      <c r="AC199" s="46" t="s">
        <v>36</v>
      </c>
      <c r="AD199" s="46" t="s">
        <v>36</v>
      </c>
      <c r="AE199" s="46" t="s">
        <v>36</v>
      </c>
      <c r="AF199" s="46" t="s">
        <v>36</v>
      </c>
      <c r="AG199" s="46" t="s">
        <v>36</v>
      </c>
      <c r="AH199" s="46" t="s">
        <v>43</v>
      </c>
      <c r="AI199" s="46" t="s">
        <v>37</v>
      </c>
      <c r="AJ199" s="46">
        <f>=SUM(E200:AI200)</f>
      </c>
      <c r="AK199" s="46">
        <f>=+AY199</f>
      </c>
      <c r="AL199" s="46"/>
      <c r="AM199" s="1"/>
      <c r="AN199" s="1">
        <f>=COUNTIF(E199:AI199,"A")+COUNTIF(E199:AI199,"B")+COUNTIF(E199:AI199,"C")+COUNTIF(E199:AI199,"D")+COUNTIF(E199:AI199,"E")+COUNTIF(E199:AI199,"F")+COUNTIF(E199:AI199,"M")+COUNTIF(E199:AI199,"AB")+COUNTIF(E199:AI199,"UZ")+COUNTIF(E199:AI199,"G")+(COUNTIF(E199:AI199,"RT.")/2)+(COUNTIF(E199:AI199,"ÇRT.")/2)</f>
      </c>
      <c r="AO199" s="1">
        <f>=COUNTIF(E199:AI199,"O")</f>
      </c>
      <c r="AP199" s="1">
        <f>=COUNTIF(E199:AI199,"RT")+(COUNTIF(E199:AI199,"RT.")/2)</f>
      </c>
      <c r="AQ199" s="1">
        <f>=COUNTIF(E199:AI199,"ÇRT")+(COUNTIF(E199:AI199,"ÇRT.")/2)</f>
      </c>
      <c r="AR199" s="1">
        <f>=COUNTIF(E199:AI199,"ÇHT")</f>
      </c>
      <c r="AS199" s="1">
        <f>=COUNTIF(E199:AI199,"Ö")+COUNTIF(E199:AI199,"T")</f>
      </c>
      <c r="AT199" s="1">
        <f>=COUNTIF(E199:AI199,"Y")</f>
      </c>
      <c r="AU199" s="1">
        <f>=COUNTIF(E199:AI199,"R.")</f>
      </c>
      <c r="AV199" s="1">
        <f>=COUNTIF(E199:AI199,"Ü")</f>
      </c>
      <c r="AW199" s="1">
        <f>=COUNTIF(E199:AI199,"R")</f>
      </c>
      <c r="AX199" s="1">
        <f>=COUNTIF(E199:AI199,"DV")</f>
      </c>
      <c r="AY199" s="1">
        <f>=+AN199+AO199+AP199+AQ199+AR199+AS199+AT199+AU199</f>
      </c>
    </row>
    <row r="200" ht="16" customHeight="1" spans="1:51" x14ac:dyDescent="0.25">
      <c r="A200" s="45"/>
      <c r="B200" s="46"/>
      <c r="C200" s="46"/>
      <c r="D200" s="46" t="s">
        <v>33</v>
      </c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>
        <v>3</v>
      </c>
      <c r="AG200" s="46">
        <v>3</v>
      </c>
      <c r="AH200" s="46"/>
      <c r="AI200" s="46"/>
      <c r="AJ200" s="46"/>
      <c r="AK200" s="46"/>
      <c r="AL200" s="46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ht="16" customHeight="1" spans="1:51" x14ac:dyDescent="0.25">
      <c r="A201" s="45"/>
      <c r="B201" s="46" t="s">
        <v>237</v>
      </c>
      <c r="C201" s="46" t="s">
        <v>238</v>
      </c>
      <c r="D201" s="46" t="s">
        <v>29</v>
      </c>
      <c r="E201" s="46" t="s">
        <v>36</v>
      </c>
      <c r="F201" s="46" t="s">
        <v>36</v>
      </c>
      <c r="G201" s="46" t="s">
        <v>36</v>
      </c>
      <c r="H201" s="46" t="s">
        <v>36</v>
      </c>
      <c r="I201" s="46" t="s">
        <v>36</v>
      </c>
      <c r="J201" s="46" t="s">
        <v>36</v>
      </c>
      <c r="K201" s="46" t="s">
        <v>37</v>
      </c>
      <c r="L201" s="46" t="s">
        <v>36</v>
      </c>
      <c r="M201" s="46" t="s">
        <v>36</v>
      </c>
      <c r="N201" s="46" t="s">
        <v>36</v>
      </c>
      <c r="O201" s="46" t="s">
        <v>36</v>
      </c>
      <c r="P201" s="46" t="s">
        <v>36</v>
      </c>
      <c r="Q201" s="46" t="s">
        <v>37</v>
      </c>
      <c r="R201" s="46" t="s">
        <v>36</v>
      </c>
      <c r="S201" s="46" t="s">
        <v>36</v>
      </c>
      <c r="T201" s="46" t="s">
        <v>36</v>
      </c>
      <c r="U201" s="46" t="s">
        <v>36</v>
      </c>
      <c r="V201" s="46" t="s">
        <v>36</v>
      </c>
      <c r="W201" s="46" t="s">
        <v>36</v>
      </c>
      <c r="X201" s="46" t="s">
        <v>37</v>
      </c>
      <c r="Y201" s="46" t="s">
        <v>36</v>
      </c>
      <c r="Z201" s="46" t="s">
        <v>36</v>
      </c>
      <c r="AA201" s="46" t="s">
        <v>36</v>
      </c>
      <c r="AB201" s="46" t="s">
        <v>36</v>
      </c>
      <c r="AC201" s="46" t="s">
        <v>36</v>
      </c>
      <c r="AD201" s="46" t="s">
        <v>36</v>
      </c>
      <c r="AE201" s="46" t="s">
        <v>37</v>
      </c>
      <c r="AF201" s="46" t="s">
        <v>36</v>
      </c>
      <c r="AG201" s="46" t="s">
        <v>36</v>
      </c>
      <c r="AH201" s="46" t="s">
        <v>43</v>
      </c>
      <c r="AI201" s="46" t="s">
        <v>36</v>
      </c>
      <c r="AJ201" s="46">
        <f>=SUM(E202:AI202)</f>
      </c>
      <c r="AK201" s="46">
        <f>=+AY201</f>
      </c>
      <c r="AL201" s="46"/>
      <c r="AM201" s="1"/>
      <c r="AN201" s="1">
        <f>=COUNTIF(E201:AI201,"A")+COUNTIF(E201:AI201,"B")+COUNTIF(E201:AI201,"C")+COUNTIF(E201:AI201,"D")+COUNTIF(E201:AI201,"E")+COUNTIF(E201:AI201,"F")+COUNTIF(E201:AI201,"M")+COUNTIF(E201:AI201,"AB")+COUNTIF(E201:AI201,"UZ")+COUNTIF(E201:AI201,"G")+(COUNTIF(E201:AI201,"RT.")/2)+(COUNTIF(E201:AI201,"ÇRT.")/2)</f>
      </c>
      <c r="AO201" s="1">
        <f>=COUNTIF(E201:AI201,"O")</f>
      </c>
      <c r="AP201" s="1">
        <f>=COUNTIF(E201:AI201,"RT")+(COUNTIF(E201:AI201,"RT.")/2)</f>
      </c>
      <c r="AQ201" s="1">
        <f>=COUNTIF(E201:AI201,"ÇRT")+(COUNTIF(E201:AI201,"ÇRT.")/2)</f>
      </c>
      <c r="AR201" s="1">
        <f>=COUNTIF(E201:AI201,"ÇHT")</f>
      </c>
      <c r="AS201" s="1">
        <f>=COUNTIF(E201:AI201,"Ö")+COUNTIF(E201:AI201,"T")</f>
      </c>
      <c r="AT201" s="1">
        <f>=COUNTIF(E201:AI201,"Y")</f>
      </c>
      <c r="AU201" s="1">
        <f>=COUNTIF(E201:AI201,"R.")</f>
      </c>
      <c r="AV201" s="1">
        <f>=COUNTIF(E201:AI201,"Ü")</f>
      </c>
      <c r="AW201" s="1">
        <f>=COUNTIF(E201:AI201,"R")</f>
      </c>
      <c r="AX201" s="1">
        <f>=COUNTIF(E201:AI201,"DV")</f>
      </c>
      <c r="AY201" s="1">
        <f>=+AN201+AO201+AP201+AQ201+AR201+AS201+AT201+AU201</f>
      </c>
    </row>
    <row r="202" ht="16" customHeight="1" spans="1:51" x14ac:dyDescent="0.25">
      <c r="A202" s="45"/>
      <c r="B202" s="46"/>
      <c r="C202" s="46"/>
      <c r="D202" s="46" t="s">
        <v>33</v>
      </c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  <c r="AI202" s="46"/>
      <c r="AJ202" s="46"/>
      <c r="AK202" s="46"/>
      <c r="AL202" s="46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ht="16" customHeight="1" spans="1:51" x14ac:dyDescent="0.25">
      <c r="A203" s="45"/>
      <c r="B203" s="46" t="s">
        <v>239</v>
      </c>
      <c r="C203" s="46" t="s">
        <v>240</v>
      </c>
      <c r="D203" s="46" t="s">
        <v>29</v>
      </c>
      <c r="E203" s="46" t="s">
        <v>41</v>
      </c>
      <c r="F203" s="46" t="s">
        <v>41</v>
      </c>
      <c r="G203" s="46" t="s">
        <v>41</v>
      </c>
      <c r="H203" s="46" t="s">
        <v>41</v>
      </c>
      <c r="I203" s="46" t="s">
        <v>41</v>
      </c>
      <c r="J203" s="46" t="s">
        <v>37</v>
      </c>
      <c r="K203" s="46" t="s">
        <v>41</v>
      </c>
      <c r="L203" s="46" t="s">
        <v>41</v>
      </c>
      <c r="M203" s="46" t="s">
        <v>41</v>
      </c>
      <c r="N203" s="46" t="s">
        <v>41</v>
      </c>
      <c r="O203" s="46" t="s">
        <v>41</v>
      </c>
      <c r="P203" s="46" t="s">
        <v>41</v>
      </c>
      <c r="Q203" s="46" t="s">
        <v>37</v>
      </c>
      <c r="R203" s="46" t="s">
        <v>41</v>
      </c>
      <c r="S203" s="46" t="s">
        <v>41</v>
      </c>
      <c r="T203" s="46" t="s">
        <v>41</v>
      </c>
      <c r="U203" s="46" t="s">
        <v>41</v>
      </c>
      <c r="V203" s="46" t="s">
        <v>41</v>
      </c>
      <c r="W203" s="46" t="s">
        <v>41</v>
      </c>
      <c r="X203" s="46" t="s">
        <v>37</v>
      </c>
      <c r="Y203" s="46" t="s">
        <v>41</v>
      </c>
      <c r="Z203" s="46" t="s">
        <v>41</v>
      </c>
      <c r="AA203" s="46" t="s">
        <v>41</v>
      </c>
      <c r="AB203" s="46" t="s">
        <v>41</v>
      </c>
      <c r="AC203" s="46" t="s">
        <v>41</v>
      </c>
      <c r="AD203" s="46" t="s">
        <v>41</v>
      </c>
      <c r="AE203" s="46" t="s">
        <v>37</v>
      </c>
      <c r="AF203" s="46" t="s">
        <v>41</v>
      </c>
      <c r="AG203" s="46" t="s">
        <v>41</v>
      </c>
      <c r="AH203" s="46" t="s">
        <v>43</v>
      </c>
      <c r="AI203" s="46" t="s">
        <v>41</v>
      </c>
      <c r="AJ203" s="46">
        <f>=SUM(E204:AI204)</f>
      </c>
      <c r="AK203" s="46">
        <f>=+AY203</f>
      </c>
      <c r="AL203" s="46"/>
      <c r="AM203" s="1"/>
      <c r="AN203" s="1">
        <f>=COUNTIF(E203:AI203,"A")+COUNTIF(E203:AI203,"B")+COUNTIF(E203:AI203,"C")+COUNTIF(E203:AI203,"D")+COUNTIF(E203:AI203,"E")+COUNTIF(E203:AI203,"F")+COUNTIF(E203:AI203,"M")+COUNTIF(E203:AI203,"AB")+COUNTIF(E203:AI203,"UZ")+COUNTIF(E203:AI203,"G")+(COUNTIF(E203:AI203,"RT.")/2)+(COUNTIF(E203:AI203,"ÇRT.")/2)</f>
      </c>
      <c r="AO203" s="1">
        <f>=COUNTIF(E203:AI203,"O")</f>
      </c>
      <c r="AP203" s="1">
        <f>=COUNTIF(E203:AI203,"RT")+(COUNTIF(E203:AI203,"RT.")/2)</f>
      </c>
      <c r="AQ203" s="1">
        <f>=COUNTIF(E203:AI203,"ÇRT")+(COUNTIF(E203:AI203,"ÇRT.")/2)</f>
      </c>
      <c r="AR203" s="1">
        <f>=COUNTIF(E203:AI203,"ÇHT")</f>
      </c>
      <c r="AS203" s="1">
        <f>=COUNTIF(E203:AI203,"Ö")+COUNTIF(E203:AI203,"T")</f>
      </c>
      <c r="AT203" s="1">
        <f>=COUNTIF(E203:AI203,"Y")</f>
      </c>
      <c r="AU203" s="1">
        <f>=COUNTIF(E203:AI203,"R.")</f>
      </c>
      <c r="AV203" s="1">
        <f>=COUNTIF(E203:AI203,"Ü")</f>
      </c>
      <c r="AW203" s="1">
        <f>=COUNTIF(E203:AI203,"R")</f>
      </c>
      <c r="AX203" s="1">
        <f>=COUNTIF(E203:AI203,"DV")</f>
      </c>
      <c r="AY203" s="1">
        <f>=+AN203+AO203+AP203+AQ203+AR203+AS203+AT203+AU203</f>
      </c>
    </row>
    <row r="204" ht="16" customHeight="1" spans="1:51" x14ac:dyDescent="0.25">
      <c r="A204" s="45"/>
      <c r="B204" s="46"/>
      <c r="C204" s="46"/>
      <c r="D204" s="46" t="s">
        <v>33</v>
      </c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  <c r="AI204" s="46"/>
      <c r="AJ204" s="46"/>
      <c r="AK204" s="46"/>
      <c r="AL204" s="46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ht="16" customHeight="1" spans="1:51" x14ac:dyDescent="0.25">
      <c r="A205" s="45"/>
      <c r="B205" s="46" t="s">
        <v>241</v>
      </c>
      <c r="C205" s="46" t="s">
        <v>242</v>
      </c>
      <c r="D205" s="46" t="s">
        <v>29</v>
      </c>
      <c r="E205" s="46" t="s">
        <v>41</v>
      </c>
      <c r="F205" s="46" t="s">
        <v>41</v>
      </c>
      <c r="G205" s="46" t="s">
        <v>59</v>
      </c>
      <c r="H205" s="46" t="s">
        <v>37</v>
      </c>
      <c r="I205" s="46" t="s">
        <v>59</v>
      </c>
      <c r="J205" s="46" t="s">
        <v>59</v>
      </c>
      <c r="K205" s="46" t="s">
        <v>59</v>
      </c>
      <c r="L205" s="46" t="s">
        <v>59</v>
      </c>
      <c r="M205" s="46" t="s">
        <v>59</v>
      </c>
      <c r="N205" s="46" t="s">
        <v>59</v>
      </c>
      <c r="O205" s="46" t="s">
        <v>37</v>
      </c>
      <c r="P205" s="46" t="s">
        <v>41</v>
      </c>
      <c r="Q205" s="46" t="s">
        <v>41</v>
      </c>
      <c r="R205" s="46" t="s">
        <v>59</v>
      </c>
      <c r="S205" s="46" t="s">
        <v>41</v>
      </c>
      <c r="T205" s="46" t="s">
        <v>59</v>
      </c>
      <c r="U205" s="46" t="s">
        <v>41</v>
      </c>
      <c r="V205" s="46" t="s">
        <v>37</v>
      </c>
      <c r="W205" s="46" t="s">
        <v>41</v>
      </c>
      <c r="X205" s="46" t="s">
        <v>41</v>
      </c>
      <c r="Y205" s="46" t="s">
        <v>41</v>
      </c>
      <c r="Z205" s="46" t="s">
        <v>41</v>
      </c>
      <c r="AA205" s="46" t="s">
        <v>41</v>
      </c>
      <c r="AB205" s="46" t="s">
        <v>42</v>
      </c>
      <c r="AC205" s="46" t="s">
        <v>37</v>
      </c>
      <c r="AD205" s="46" t="s">
        <v>36</v>
      </c>
      <c r="AE205" s="46" t="s">
        <v>36</v>
      </c>
      <c r="AF205" s="46" t="s">
        <v>36</v>
      </c>
      <c r="AG205" s="46" t="s">
        <v>36</v>
      </c>
      <c r="AH205" s="46" t="s">
        <v>43</v>
      </c>
      <c r="AI205" s="46" t="s">
        <v>41</v>
      </c>
      <c r="AJ205" s="46">
        <f>=SUM(E206:AI206)</f>
      </c>
      <c r="AK205" s="46">
        <f>=+AY205</f>
      </c>
      <c r="AL205" s="46"/>
      <c r="AM205" s="1"/>
      <c r="AN205" s="1">
        <f>=COUNTIF(E205:AI205,"A")+COUNTIF(E205:AI205,"B")+COUNTIF(E205:AI205,"C")+COUNTIF(E205:AI205,"D")+COUNTIF(E205:AI205,"E")+COUNTIF(E205:AI205,"F")+COUNTIF(E205:AI205,"M")+COUNTIF(E205:AI205,"AB")+COUNTIF(E205:AI205,"UZ")+COUNTIF(E205:AI205,"G")+(COUNTIF(E205:AI205,"RT.")/2)+(COUNTIF(E205:AI205,"ÇRT.")/2)</f>
      </c>
      <c r="AO205" s="1">
        <f>=COUNTIF(E205:AI205,"O")</f>
      </c>
      <c r="AP205" s="1">
        <f>=COUNTIF(E205:AI205,"RT")+(COUNTIF(E205:AI205,"RT.")/2)</f>
      </c>
      <c r="AQ205" s="1">
        <f>=COUNTIF(E205:AI205,"ÇRT")+(COUNTIF(E205:AI205,"ÇRT.")/2)</f>
      </c>
      <c r="AR205" s="1">
        <f>=COUNTIF(E205:AI205,"ÇHT")</f>
      </c>
      <c r="AS205" s="1">
        <f>=COUNTIF(E205:AI205,"Ö")+COUNTIF(E205:AI205,"T")</f>
      </c>
      <c r="AT205" s="1">
        <f>=COUNTIF(E205:AI205,"Y")</f>
      </c>
      <c r="AU205" s="1">
        <f>=COUNTIF(E205:AI205,"R.")</f>
      </c>
      <c r="AV205" s="1">
        <f>=COUNTIF(E205:AI205,"Ü")</f>
      </c>
      <c r="AW205" s="1">
        <f>=COUNTIF(E205:AI205,"R")</f>
      </c>
      <c r="AX205" s="1">
        <f>=COUNTIF(E205:AI205,"DV")</f>
      </c>
      <c r="AY205" s="1">
        <f>=+AN205+AO205+AP205+AQ205+AR205+AS205+AT205+AU205</f>
      </c>
    </row>
    <row r="206" ht="16" customHeight="1" spans="1:51" x14ac:dyDescent="0.25">
      <c r="A206" s="45"/>
      <c r="B206" s="46"/>
      <c r="C206" s="46"/>
      <c r="D206" s="46" t="s">
        <v>33</v>
      </c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  <c r="AI206" s="46"/>
      <c r="AJ206" s="46"/>
      <c r="AK206" s="46"/>
      <c r="AL206" s="46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ht="16" customHeight="1" spans="1:51" x14ac:dyDescent="0.25">
      <c r="A207" s="45"/>
      <c r="B207" s="46" t="s">
        <v>243</v>
      </c>
      <c r="C207" s="46" t="s">
        <v>244</v>
      </c>
      <c r="D207" s="46" t="s">
        <v>29</v>
      </c>
      <c r="E207" s="46" t="s">
        <v>36</v>
      </c>
      <c r="F207" s="46" t="s">
        <v>36</v>
      </c>
      <c r="G207" s="46" t="s">
        <v>36</v>
      </c>
      <c r="H207" s="46" t="s">
        <v>36</v>
      </c>
      <c r="I207" s="46" t="s">
        <v>37</v>
      </c>
      <c r="J207" s="46" t="s">
        <v>36</v>
      </c>
      <c r="K207" s="46" t="s">
        <v>36</v>
      </c>
      <c r="L207" s="46" t="s">
        <v>36</v>
      </c>
      <c r="M207" s="46" t="s">
        <v>36</v>
      </c>
      <c r="N207" s="46" t="s">
        <v>36</v>
      </c>
      <c r="O207" s="46" t="s">
        <v>36</v>
      </c>
      <c r="P207" s="46" t="s">
        <v>37</v>
      </c>
      <c r="Q207" s="46" t="s">
        <v>36</v>
      </c>
      <c r="R207" s="46" t="s">
        <v>36</v>
      </c>
      <c r="S207" s="46" t="s">
        <v>36</v>
      </c>
      <c r="T207" s="46" t="s">
        <v>36</v>
      </c>
      <c r="U207" s="46" t="s">
        <v>31</v>
      </c>
      <c r="V207" s="46" t="s">
        <v>36</v>
      </c>
      <c r="W207" s="46" t="s">
        <v>37</v>
      </c>
      <c r="X207" s="46" t="s">
        <v>36</v>
      </c>
      <c r="Y207" s="46" t="s">
        <v>36</v>
      </c>
      <c r="Z207" s="46" t="s">
        <v>36</v>
      </c>
      <c r="AA207" s="46" t="s">
        <v>36</v>
      </c>
      <c r="AB207" s="46" t="s">
        <v>36</v>
      </c>
      <c r="AC207" s="46" t="s">
        <v>36</v>
      </c>
      <c r="AD207" s="46" t="s">
        <v>37</v>
      </c>
      <c r="AE207" s="46" t="s">
        <v>36</v>
      </c>
      <c r="AF207" s="46" t="s">
        <v>36</v>
      </c>
      <c r="AG207" s="46" t="s">
        <v>36</v>
      </c>
      <c r="AH207" s="46" t="s">
        <v>43</v>
      </c>
      <c r="AI207" s="46" t="s">
        <v>36</v>
      </c>
      <c r="AJ207" s="46">
        <f>=SUM(E208:AI208)</f>
      </c>
      <c r="AK207" s="46">
        <f>=+AY207</f>
      </c>
      <c r="AL207" s="46"/>
      <c r="AM207" s="1"/>
      <c r="AN207" s="1">
        <f>=COUNTIF(E207:AI207,"A")+COUNTIF(E207:AI207,"B")+COUNTIF(E207:AI207,"C")+COUNTIF(E207:AI207,"D")+COUNTIF(E207:AI207,"E")+COUNTIF(E207:AI207,"F")+COUNTIF(E207:AI207,"M")+COUNTIF(E207:AI207,"AB")+COUNTIF(E207:AI207,"UZ")+COUNTIF(E207:AI207,"G")+(COUNTIF(E207:AI207,"RT.")/2)+(COUNTIF(E207:AI207,"ÇRT.")/2)</f>
      </c>
      <c r="AO207" s="1">
        <f>=COUNTIF(E207:AI207,"O")</f>
      </c>
      <c r="AP207" s="1">
        <f>=COUNTIF(E207:AI207,"RT")+(COUNTIF(E207:AI207,"RT.")/2)</f>
      </c>
      <c r="AQ207" s="1">
        <f>=COUNTIF(E207:AI207,"ÇRT")+(COUNTIF(E207:AI207,"ÇRT.")/2)</f>
      </c>
      <c r="AR207" s="1">
        <f>=COUNTIF(E207:AI207,"ÇHT")</f>
      </c>
      <c r="AS207" s="1">
        <f>=COUNTIF(E207:AI207,"Ö")+COUNTIF(E207:AI207,"T")</f>
      </c>
      <c r="AT207" s="1">
        <f>=COUNTIF(E207:AI207,"Y")</f>
      </c>
      <c r="AU207" s="1">
        <f>=COUNTIF(E207:AI207,"R.")</f>
      </c>
      <c r="AV207" s="1">
        <f>=COUNTIF(E207:AI207,"Ü")</f>
      </c>
      <c r="AW207" s="1">
        <f>=COUNTIF(E207:AI207,"R")</f>
      </c>
      <c r="AX207" s="1">
        <f>=COUNTIF(E207:AI207,"DV")</f>
      </c>
      <c r="AY207" s="1">
        <f>=+AN207+AO207+AP207+AQ207+AR207+AS207+AT207+AU207</f>
      </c>
    </row>
    <row r="208" ht="16" customHeight="1" spans="1:51" x14ac:dyDescent="0.25">
      <c r="A208" s="45"/>
      <c r="B208" s="46"/>
      <c r="C208" s="46"/>
      <c r="D208" s="46" t="s">
        <v>33</v>
      </c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  <c r="AI208" s="46"/>
      <c r="AJ208" s="46"/>
      <c r="AK208" s="46"/>
      <c r="AL208" s="46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ht="16" customHeight="1" spans="1:51" x14ac:dyDescent="0.25">
      <c r="A209" s="45"/>
      <c r="B209" s="46" t="s">
        <v>245</v>
      </c>
      <c r="C209" s="46" t="s">
        <v>246</v>
      </c>
      <c r="D209" s="46" t="s">
        <v>29</v>
      </c>
      <c r="E209" s="46" t="s">
        <v>32</v>
      </c>
      <c r="F209" s="46" t="s">
        <v>32</v>
      </c>
      <c r="G209" s="46" t="s">
        <v>32</v>
      </c>
      <c r="H209" s="46" t="s">
        <v>32</v>
      </c>
      <c r="I209" s="46" t="s">
        <v>32</v>
      </c>
      <c r="J209" s="46" t="s">
        <v>36</v>
      </c>
      <c r="K209" s="46" t="s">
        <v>36</v>
      </c>
      <c r="L209" s="46" t="s">
        <v>37</v>
      </c>
      <c r="M209" s="46" t="s">
        <v>36</v>
      </c>
      <c r="N209" s="46" t="s">
        <v>36</v>
      </c>
      <c r="O209" s="46" t="s">
        <v>36</v>
      </c>
      <c r="P209" s="46" t="s">
        <v>36</v>
      </c>
      <c r="Q209" s="46" t="s">
        <v>36</v>
      </c>
      <c r="R209" s="46" t="s">
        <v>36</v>
      </c>
      <c r="S209" s="46" t="s">
        <v>37</v>
      </c>
      <c r="T209" s="46" t="s">
        <v>36</v>
      </c>
      <c r="U209" s="46" t="s">
        <v>36</v>
      </c>
      <c r="V209" s="46" t="s">
        <v>36</v>
      </c>
      <c r="W209" s="46" t="s">
        <v>36</v>
      </c>
      <c r="X209" s="46" t="s">
        <v>36</v>
      </c>
      <c r="Y209" s="46" t="s">
        <v>36</v>
      </c>
      <c r="Z209" s="46" t="s">
        <v>37</v>
      </c>
      <c r="AA209" s="46" t="s">
        <v>36</v>
      </c>
      <c r="AB209" s="46" t="s">
        <v>36</v>
      </c>
      <c r="AC209" s="46" t="s">
        <v>36</v>
      </c>
      <c r="AD209" s="46" t="s">
        <v>36</v>
      </c>
      <c r="AE209" s="46" t="s">
        <v>36</v>
      </c>
      <c r="AF209" s="46" t="s">
        <v>36</v>
      </c>
      <c r="AG209" s="46" t="s">
        <v>37</v>
      </c>
      <c r="AH209" s="46" t="s">
        <v>43</v>
      </c>
      <c r="AI209" s="46" t="s">
        <v>36</v>
      </c>
      <c r="AJ209" s="46">
        <f>=SUM(E210:AI210)</f>
      </c>
      <c r="AK209" s="46">
        <f>=+AY209</f>
      </c>
      <c r="AL209" s="46"/>
      <c r="AM209" s="1"/>
      <c r="AN209" s="1">
        <f>=COUNTIF(E209:AI209,"A")+COUNTIF(E209:AI209,"B")+COUNTIF(E209:AI209,"C")+COUNTIF(E209:AI209,"D")+COUNTIF(E209:AI209,"E")+COUNTIF(E209:AI209,"F")+COUNTIF(E209:AI209,"M")+COUNTIF(E209:AI209,"AB")+COUNTIF(E209:AI209,"UZ")+COUNTIF(E209:AI209,"G")+(COUNTIF(E209:AI209,"RT.")/2)+(COUNTIF(E209:AI209,"ÇRT.")/2)</f>
      </c>
      <c r="AO209" s="1">
        <f>=COUNTIF(E209:AI209,"O")</f>
      </c>
      <c r="AP209" s="1">
        <f>=COUNTIF(E209:AI209,"RT")+(COUNTIF(E209:AI209,"RT.")/2)</f>
      </c>
      <c r="AQ209" s="1">
        <f>=COUNTIF(E209:AI209,"ÇRT")+(COUNTIF(E209:AI209,"ÇRT.")/2)</f>
      </c>
      <c r="AR209" s="1">
        <f>=COUNTIF(E209:AI209,"ÇHT")</f>
      </c>
      <c r="AS209" s="1">
        <f>=COUNTIF(E209:AI209,"Ö")+COUNTIF(E209:AI209,"T")</f>
      </c>
      <c r="AT209" s="1">
        <f>=COUNTIF(E209:AI209,"Y")</f>
      </c>
      <c r="AU209" s="1">
        <f>=COUNTIF(E209:AI209,"R.")</f>
      </c>
      <c r="AV209" s="1">
        <f>=COUNTIF(E209:AI209,"Ü")</f>
      </c>
      <c r="AW209" s="1">
        <f>=COUNTIF(E209:AI209,"R")</f>
      </c>
      <c r="AX209" s="1">
        <f>=COUNTIF(E209:AI209,"DV")</f>
      </c>
      <c r="AY209" s="1">
        <f>=+AN209+AO209+AP209+AQ209+AR209+AS209+AT209+AU209</f>
      </c>
    </row>
    <row r="210" ht="16" customHeight="1" spans="1:51" x14ac:dyDescent="0.25">
      <c r="A210" s="45"/>
      <c r="B210" s="46"/>
      <c r="C210" s="46"/>
      <c r="D210" s="46" t="s">
        <v>33</v>
      </c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  <c r="AI210" s="46"/>
      <c r="AJ210" s="46"/>
      <c r="AK210" s="46"/>
      <c r="AL210" s="46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ht="16" customHeight="1" spans="1:51" x14ac:dyDescent="0.25">
      <c r="A211" s="45"/>
      <c r="B211" s="46" t="s">
        <v>247</v>
      </c>
      <c r="C211" s="46" t="s">
        <v>248</v>
      </c>
      <c r="D211" s="46" t="s">
        <v>29</v>
      </c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  <c r="AI211" s="46"/>
      <c r="AJ211" s="46">
        <f>=SUM(E212:AI212)</f>
      </c>
      <c r="AK211" s="46">
        <f>=+AY211</f>
      </c>
      <c r="AL211" s="46"/>
      <c r="AM211" s="1"/>
      <c r="AN211" s="1">
        <f>=COUNTIF(E211:AI211,"A")+COUNTIF(E211:AI211,"B")+COUNTIF(E211:AI211,"C")+COUNTIF(E211:AI211,"D")+COUNTIF(E211:AI211,"E")+COUNTIF(E211:AI211,"F")+COUNTIF(E211:AI211,"M")+COUNTIF(E211:AI211,"AB")+COUNTIF(E211:AI211,"UZ")+COUNTIF(E211:AI211,"G")+(COUNTIF(E211:AI211,"RT.")/2)+(COUNTIF(E211:AI211,"ÇRT.")/2)</f>
      </c>
      <c r="AO211" s="1">
        <f>=COUNTIF(E211:AI211,"O")</f>
      </c>
      <c r="AP211" s="1">
        <f>=COUNTIF(E211:AI211,"RT")+(COUNTIF(E211:AI211,"RT.")/2)</f>
      </c>
      <c r="AQ211" s="1">
        <f>=COUNTIF(E211:AI211,"ÇRT")+(COUNTIF(E211:AI211,"ÇRT.")/2)</f>
      </c>
      <c r="AR211" s="1">
        <f>=COUNTIF(E211:AI211,"ÇHT")</f>
      </c>
      <c r="AS211" s="1">
        <f>=COUNTIF(E211:AI211,"Ö")+COUNTIF(E211:AI211,"T")</f>
      </c>
      <c r="AT211" s="1">
        <f>=COUNTIF(E211:AI211,"Y")</f>
      </c>
      <c r="AU211" s="1">
        <f>=COUNTIF(E211:AI211,"R.")</f>
      </c>
      <c r="AV211" s="1">
        <f>=COUNTIF(E211:AI211,"Ü")</f>
      </c>
      <c r="AW211" s="1">
        <f>=COUNTIF(E211:AI211,"R")</f>
      </c>
      <c r="AX211" s="1">
        <f>=COUNTIF(E211:AI211,"DV")</f>
      </c>
      <c r="AY211" s="1">
        <f>=+AN211+AO211+AP211+AQ211+AR211+AS211+AT211+AU211</f>
      </c>
    </row>
    <row r="212" ht="16" customHeight="1" spans="1:51" x14ac:dyDescent="0.25">
      <c r="A212" s="45"/>
      <c r="B212" s="46"/>
      <c r="C212" s="46"/>
      <c r="D212" s="46" t="s">
        <v>33</v>
      </c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  <c r="AI212" s="46"/>
      <c r="AJ212" s="46"/>
      <c r="AK212" s="46"/>
      <c r="AL212" s="46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ht="16" customHeight="1" spans="1:51" x14ac:dyDescent="0.25">
      <c r="A213" s="45"/>
      <c r="B213" s="46" t="s">
        <v>249</v>
      </c>
      <c r="C213" s="46" t="s">
        <v>250</v>
      </c>
      <c r="D213" s="46" t="s">
        <v>29</v>
      </c>
      <c r="E213" s="46" t="s">
        <v>41</v>
      </c>
      <c r="F213" s="46" t="s">
        <v>41</v>
      </c>
      <c r="G213" s="46" t="s">
        <v>42</v>
      </c>
      <c r="H213" s="46" t="s">
        <v>37</v>
      </c>
      <c r="I213" s="46" t="s">
        <v>41</v>
      </c>
      <c r="J213" s="46" t="s">
        <v>41</v>
      </c>
      <c r="K213" s="46" t="s">
        <v>41</v>
      </c>
      <c r="L213" s="46" t="s">
        <v>41</v>
      </c>
      <c r="M213" s="46" t="s">
        <v>41</v>
      </c>
      <c r="N213" s="46" t="s">
        <v>41</v>
      </c>
      <c r="O213" s="46" t="s">
        <v>37</v>
      </c>
      <c r="P213" s="46" t="s">
        <v>41</v>
      </c>
      <c r="Q213" s="46" t="s">
        <v>41</v>
      </c>
      <c r="R213" s="46" t="s">
        <v>41</v>
      </c>
      <c r="S213" s="46" t="s">
        <v>41</v>
      </c>
      <c r="T213" s="46" t="s">
        <v>41</v>
      </c>
      <c r="U213" s="46" t="s">
        <v>41</v>
      </c>
      <c r="V213" s="46" t="s">
        <v>37</v>
      </c>
      <c r="W213" s="46" t="s">
        <v>41</v>
      </c>
      <c r="X213" s="46" t="s">
        <v>41</v>
      </c>
      <c r="Y213" s="46" t="s">
        <v>41</v>
      </c>
      <c r="Z213" s="46" t="s">
        <v>41</v>
      </c>
      <c r="AA213" s="46" t="s">
        <v>41</v>
      </c>
      <c r="AB213" s="46" t="s">
        <v>41</v>
      </c>
      <c r="AC213" s="46" t="s">
        <v>37</v>
      </c>
      <c r="AD213" s="46" t="s">
        <v>41</v>
      </c>
      <c r="AE213" s="46" t="s">
        <v>41</v>
      </c>
      <c r="AF213" s="46" t="s">
        <v>41</v>
      </c>
      <c r="AG213" s="46" t="s">
        <v>41</v>
      </c>
      <c r="AH213" s="46" t="s">
        <v>43</v>
      </c>
      <c r="AI213" s="46" t="s">
        <v>41</v>
      </c>
      <c r="AJ213" s="46">
        <f>=SUM(E214:AI214)</f>
      </c>
      <c r="AK213" s="46">
        <f>=+AY213</f>
      </c>
      <c r="AL213" s="46"/>
      <c r="AM213" s="1"/>
      <c r="AN213" s="1">
        <f>=COUNTIF(E213:AI213,"A")+COUNTIF(E213:AI213,"B")+COUNTIF(E213:AI213,"C")+COUNTIF(E213:AI213,"D")+COUNTIF(E213:AI213,"E")+COUNTIF(E213:AI213,"F")+COUNTIF(E213:AI213,"M")+COUNTIF(E213:AI213,"AB")+COUNTIF(E213:AI213,"UZ")+COUNTIF(E213:AI213,"G")+(COUNTIF(E213:AI213,"RT.")/2)+(COUNTIF(E213:AI213,"ÇRT.")/2)</f>
      </c>
      <c r="AO213" s="1">
        <f>=COUNTIF(E213:AI213,"O")</f>
      </c>
      <c r="AP213" s="1">
        <f>=COUNTIF(E213:AI213,"RT")+(COUNTIF(E213:AI213,"RT.")/2)</f>
      </c>
      <c r="AQ213" s="1">
        <f>=COUNTIF(E213:AI213,"ÇRT")+(COUNTIF(E213:AI213,"ÇRT.")/2)</f>
      </c>
      <c r="AR213" s="1">
        <f>=COUNTIF(E213:AI213,"ÇHT")</f>
      </c>
      <c r="AS213" s="1">
        <f>=COUNTIF(E213:AI213,"Ö")+COUNTIF(E213:AI213,"T")</f>
      </c>
      <c r="AT213" s="1">
        <f>=COUNTIF(E213:AI213,"Y")</f>
      </c>
      <c r="AU213" s="1">
        <f>=COUNTIF(E213:AI213,"R.")</f>
      </c>
      <c r="AV213" s="1">
        <f>=COUNTIF(E213:AI213,"Ü")</f>
      </c>
      <c r="AW213" s="1">
        <f>=COUNTIF(E213:AI213,"R")</f>
      </c>
      <c r="AX213" s="1">
        <f>=COUNTIF(E213:AI213,"DV")</f>
      </c>
      <c r="AY213" s="1">
        <f>=+AN213+AO213+AP213+AQ213+AR213+AS213+AT213+AU213</f>
      </c>
    </row>
    <row r="214" ht="16" customHeight="1" spans="1:51" x14ac:dyDescent="0.25">
      <c r="A214" s="45"/>
      <c r="B214" s="46"/>
      <c r="C214" s="46"/>
      <c r="D214" s="46" t="s">
        <v>33</v>
      </c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  <c r="AI214" s="46"/>
      <c r="AJ214" s="46"/>
      <c r="AK214" s="46"/>
      <c r="AL214" s="46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ht="16" customHeight="1" spans="1:51" x14ac:dyDescent="0.25">
      <c r="A215" s="45"/>
      <c r="B215" s="46" t="s">
        <v>251</v>
      </c>
      <c r="C215" s="46" t="s">
        <v>252</v>
      </c>
      <c r="D215" s="46" t="s">
        <v>29</v>
      </c>
      <c r="E215" s="46" t="s">
        <v>41</v>
      </c>
      <c r="F215" s="46" t="s">
        <v>41</v>
      </c>
      <c r="G215" s="46" t="s">
        <v>37</v>
      </c>
      <c r="H215" s="46" t="s">
        <v>41</v>
      </c>
      <c r="I215" s="46" t="s">
        <v>41</v>
      </c>
      <c r="J215" s="46" t="s">
        <v>41</v>
      </c>
      <c r="K215" s="46" t="s">
        <v>41</v>
      </c>
      <c r="L215" s="46" t="s">
        <v>41</v>
      </c>
      <c r="M215" s="46" t="s">
        <v>41</v>
      </c>
      <c r="N215" s="46" t="s">
        <v>37</v>
      </c>
      <c r="O215" s="46" t="s">
        <v>41</v>
      </c>
      <c r="P215" s="46" t="s">
        <v>41</v>
      </c>
      <c r="Q215" s="46" t="s">
        <v>41</v>
      </c>
      <c r="R215" s="46" t="s">
        <v>41</v>
      </c>
      <c r="S215" s="46" t="s">
        <v>41</v>
      </c>
      <c r="T215" s="46" t="s">
        <v>41</v>
      </c>
      <c r="U215" s="46" t="s">
        <v>37</v>
      </c>
      <c r="V215" s="46" t="s">
        <v>41</v>
      </c>
      <c r="W215" s="46" t="s">
        <v>41</v>
      </c>
      <c r="X215" s="46" t="s">
        <v>41</v>
      </c>
      <c r="Y215" s="46" t="s">
        <v>41</v>
      </c>
      <c r="Z215" s="46" t="s">
        <v>41</v>
      </c>
      <c r="AA215" s="46" t="s">
        <v>41</v>
      </c>
      <c r="AB215" s="46" t="s">
        <v>37</v>
      </c>
      <c r="AC215" s="46" t="s">
        <v>41</v>
      </c>
      <c r="AD215" s="46" t="s">
        <v>41</v>
      </c>
      <c r="AE215" s="46" t="s">
        <v>41</v>
      </c>
      <c r="AF215" s="46" t="s">
        <v>41</v>
      </c>
      <c r="AG215" s="46" t="s">
        <v>41</v>
      </c>
      <c r="AH215" s="46" t="s">
        <v>43</v>
      </c>
      <c r="AI215" s="46" t="s">
        <v>37</v>
      </c>
      <c r="AJ215" s="46">
        <f>=SUM(E216:AI216)</f>
      </c>
      <c r="AK215" s="46">
        <f>=+AY215</f>
      </c>
      <c r="AL215" s="46"/>
      <c r="AM215" s="1"/>
      <c r="AN215" s="1">
        <f>=COUNTIF(E215:AI215,"A")+COUNTIF(E215:AI215,"B")+COUNTIF(E215:AI215,"C")+COUNTIF(E215:AI215,"D")+COUNTIF(E215:AI215,"E")+COUNTIF(E215:AI215,"F")+COUNTIF(E215:AI215,"M")+COUNTIF(E215:AI215,"AB")+COUNTIF(E215:AI215,"UZ")+COUNTIF(E215:AI215,"G")+(COUNTIF(E215:AI215,"RT.")/2)+(COUNTIF(E215:AI215,"ÇRT.")/2)</f>
      </c>
      <c r="AO215" s="1">
        <f>=COUNTIF(E215:AI215,"O")</f>
      </c>
      <c r="AP215" s="1">
        <f>=COUNTIF(E215:AI215,"RT")+(COUNTIF(E215:AI215,"RT.")/2)</f>
      </c>
      <c r="AQ215" s="1">
        <f>=COUNTIF(E215:AI215,"ÇRT")+(COUNTIF(E215:AI215,"ÇRT.")/2)</f>
      </c>
      <c r="AR215" s="1">
        <f>=COUNTIF(E215:AI215,"ÇHT")</f>
      </c>
      <c r="AS215" s="1">
        <f>=COUNTIF(E215:AI215,"Ö")+COUNTIF(E215:AI215,"T")</f>
      </c>
      <c r="AT215" s="1">
        <f>=COUNTIF(E215:AI215,"Y")</f>
      </c>
      <c r="AU215" s="1">
        <f>=COUNTIF(E215:AI215,"R.")</f>
      </c>
      <c r="AV215" s="1">
        <f>=COUNTIF(E215:AI215,"Ü")</f>
      </c>
      <c r="AW215" s="1">
        <f>=COUNTIF(E215:AI215,"R")</f>
      </c>
      <c r="AX215" s="1">
        <f>=COUNTIF(E215:AI215,"DV")</f>
      </c>
      <c r="AY215" s="1">
        <f>=+AN215+AO215+AP215+AQ215+AR215+AS215+AT215+AU215</f>
      </c>
    </row>
    <row r="216" ht="16" customHeight="1" spans="1:51" x14ac:dyDescent="0.25">
      <c r="A216" s="45"/>
      <c r="B216" s="46"/>
      <c r="C216" s="46"/>
      <c r="D216" s="46" t="s">
        <v>33</v>
      </c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  <c r="AI216" s="46"/>
      <c r="AJ216" s="46"/>
      <c r="AK216" s="46"/>
      <c r="AL216" s="46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ht="16" customHeight="1" spans="1:51" x14ac:dyDescent="0.25">
      <c r="A217" s="45"/>
      <c r="B217" s="46" t="s">
        <v>253</v>
      </c>
      <c r="C217" s="46" t="s">
        <v>254</v>
      </c>
      <c r="D217" s="46" t="s">
        <v>29</v>
      </c>
      <c r="E217" s="46" t="s">
        <v>36</v>
      </c>
      <c r="F217" s="46" t="s">
        <v>36</v>
      </c>
      <c r="G217" s="46" t="s">
        <v>36</v>
      </c>
      <c r="H217" s="46" t="s">
        <v>36</v>
      </c>
      <c r="I217" s="46" t="s">
        <v>37</v>
      </c>
      <c r="J217" s="46" t="s">
        <v>36</v>
      </c>
      <c r="K217" s="46" t="s">
        <v>36</v>
      </c>
      <c r="L217" s="46" t="s">
        <v>36</v>
      </c>
      <c r="M217" s="46" t="s">
        <v>36</v>
      </c>
      <c r="N217" s="46" t="s">
        <v>36</v>
      </c>
      <c r="O217" s="46" t="s">
        <v>36</v>
      </c>
      <c r="P217" s="46" t="s">
        <v>37</v>
      </c>
      <c r="Q217" s="46" t="s">
        <v>36</v>
      </c>
      <c r="R217" s="46" t="s">
        <v>36</v>
      </c>
      <c r="S217" s="46" t="s">
        <v>36</v>
      </c>
      <c r="T217" s="46" t="s">
        <v>36</v>
      </c>
      <c r="U217" s="46" t="s">
        <v>36</v>
      </c>
      <c r="V217" s="46" t="s">
        <v>36</v>
      </c>
      <c r="W217" s="46" t="s">
        <v>37</v>
      </c>
      <c r="X217" s="46" t="s">
        <v>36</v>
      </c>
      <c r="Y217" s="46" t="s">
        <v>36</v>
      </c>
      <c r="Z217" s="46" t="s">
        <v>36</v>
      </c>
      <c r="AA217" s="46" t="s">
        <v>36</v>
      </c>
      <c r="AB217" s="46" t="s">
        <v>36</v>
      </c>
      <c r="AC217" s="46" t="s">
        <v>36</v>
      </c>
      <c r="AD217" s="46" t="s">
        <v>37</v>
      </c>
      <c r="AE217" s="46" t="s">
        <v>36</v>
      </c>
      <c r="AF217" s="46" t="s">
        <v>36</v>
      </c>
      <c r="AG217" s="46" t="s">
        <v>36</v>
      </c>
      <c r="AH217" s="46" t="s">
        <v>43</v>
      </c>
      <c r="AI217" s="46" t="s">
        <v>36</v>
      </c>
      <c r="AJ217" s="46">
        <f>=SUM(E218:AI218)</f>
      </c>
      <c r="AK217" s="46">
        <f>=+AY217</f>
      </c>
      <c r="AL217" s="46"/>
      <c r="AM217" s="1"/>
      <c r="AN217" s="1">
        <f>=COUNTIF(E217:AI217,"A")+COUNTIF(E217:AI217,"B")+COUNTIF(E217:AI217,"C")+COUNTIF(E217:AI217,"D")+COUNTIF(E217:AI217,"E")+COUNTIF(E217:AI217,"F")+COUNTIF(E217:AI217,"M")+COUNTIF(E217:AI217,"AB")+COUNTIF(E217:AI217,"UZ")+COUNTIF(E217:AI217,"G")+(COUNTIF(E217:AI217,"RT.")/2)+(COUNTIF(E217:AI217,"ÇRT.")/2)</f>
      </c>
      <c r="AO217" s="1">
        <f>=COUNTIF(E217:AI217,"O")</f>
      </c>
      <c r="AP217" s="1">
        <f>=COUNTIF(E217:AI217,"RT")+(COUNTIF(E217:AI217,"RT.")/2)</f>
      </c>
      <c r="AQ217" s="1">
        <f>=COUNTIF(E217:AI217,"ÇRT")+(COUNTIF(E217:AI217,"ÇRT.")/2)</f>
      </c>
      <c r="AR217" s="1">
        <f>=COUNTIF(E217:AI217,"ÇHT")</f>
      </c>
      <c r="AS217" s="1">
        <f>=COUNTIF(E217:AI217,"Ö")+COUNTIF(E217:AI217,"T")</f>
      </c>
      <c r="AT217" s="1">
        <f>=COUNTIF(E217:AI217,"Y")</f>
      </c>
      <c r="AU217" s="1">
        <f>=COUNTIF(E217:AI217,"R.")</f>
      </c>
      <c r="AV217" s="1">
        <f>=COUNTIF(E217:AI217,"Ü")</f>
      </c>
      <c r="AW217" s="1">
        <f>=COUNTIF(E217:AI217,"R")</f>
      </c>
      <c r="AX217" s="1">
        <f>=COUNTIF(E217:AI217,"DV")</f>
      </c>
      <c r="AY217" s="1">
        <f>=+AN217+AO217+AP217+AQ217+AR217+AS217+AT217+AU217</f>
      </c>
    </row>
    <row r="218" ht="16" customHeight="1" spans="1:51" x14ac:dyDescent="0.25">
      <c r="A218" s="45"/>
      <c r="B218" s="46"/>
      <c r="C218" s="46"/>
      <c r="D218" s="46" t="s">
        <v>33</v>
      </c>
      <c r="E218" s="46"/>
      <c r="F218" s="46"/>
      <c r="G218" s="46"/>
      <c r="H218" s="46">
        <v>2</v>
      </c>
      <c r="I218" s="46"/>
      <c r="J218" s="46"/>
      <c r="K218" s="46">
        <v>2</v>
      </c>
      <c r="L218" s="46">
        <v>3</v>
      </c>
      <c r="M218" s="46"/>
      <c r="N218" s="46"/>
      <c r="O218" s="46">
        <v>3</v>
      </c>
      <c r="P218" s="46"/>
      <c r="Q218" s="46"/>
      <c r="R218" s="46">
        <v>2</v>
      </c>
      <c r="S218" s="46">
        <v>3</v>
      </c>
      <c r="T218" s="46"/>
      <c r="U218" s="46"/>
      <c r="V218" s="46">
        <v>3</v>
      </c>
      <c r="W218" s="46"/>
      <c r="X218" s="46">
        <v>2</v>
      </c>
      <c r="Y218" s="46">
        <v>2</v>
      </c>
      <c r="Z218" s="46">
        <v>3</v>
      </c>
      <c r="AA218" s="46"/>
      <c r="AB218" s="46"/>
      <c r="AC218" s="46">
        <v>3</v>
      </c>
      <c r="AD218" s="46"/>
      <c r="AE218" s="46">
        <v>2</v>
      </c>
      <c r="AF218" s="46">
        <v>2</v>
      </c>
      <c r="AG218" s="46">
        <v>2</v>
      </c>
      <c r="AH218" s="46"/>
      <c r="AI218" s="46"/>
      <c r="AJ218" s="46"/>
      <c r="AK218" s="46"/>
      <c r="AL218" s="46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ht="16" customHeight="1" spans="1:51" x14ac:dyDescent="0.25">
      <c r="A219" s="45"/>
      <c r="B219" s="46" t="s">
        <v>255</v>
      </c>
      <c r="C219" s="46" t="s">
        <v>256</v>
      </c>
      <c r="D219" s="46" t="s">
        <v>29</v>
      </c>
      <c r="E219" s="46" t="s">
        <v>41</v>
      </c>
      <c r="F219" s="46" t="s">
        <v>37</v>
      </c>
      <c r="G219" s="46" t="s">
        <v>41</v>
      </c>
      <c r="H219" s="46" t="s">
        <v>41</v>
      </c>
      <c r="I219" s="46" t="s">
        <v>41</v>
      </c>
      <c r="J219" s="46" t="s">
        <v>42</v>
      </c>
      <c r="K219" s="46" t="s">
        <v>41</v>
      </c>
      <c r="L219" s="46" t="s">
        <v>41</v>
      </c>
      <c r="M219" s="46" t="s">
        <v>37</v>
      </c>
      <c r="N219" s="46" t="s">
        <v>41</v>
      </c>
      <c r="O219" s="46" t="s">
        <v>41</v>
      </c>
      <c r="P219" s="46" t="s">
        <v>41</v>
      </c>
      <c r="Q219" s="46" t="s">
        <v>42</v>
      </c>
      <c r="R219" s="46" t="s">
        <v>41</v>
      </c>
      <c r="S219" s="46" t="s">
        <v>41</v>
      </c>
      <c r="T219" s="46" t="s">
        <v>37</v>
      </c>
      <c r="U219" s="46" t="s">
        <v>41</v>
      </c>
      <c r="V219" s="46" t="s">
        <v>41</v>
      </c>
      <c r="W219" s="46" t="s">
        <v>41</v>
      </c>
      <c r="X219" s="46" t="s">
        <v>42</v>
      </c>
      <c r="Y219" s="46" t="s">
        <v>41</v>
      </c>
      <c r="Z219" s="46" t="s">
        <v>41</v>
      </c>
      <c r="AA219" s="46" t="s">
        <v>37</v>
      </c>
      <c r="AB219" s="46" t="s">
        <v>41</v>
      </c>
      <c r="AC219" s="46" t="s">
        <v>41</v>
      </c>
      <c r="AD219" s="46" t="s">
        <v>41</v>
      </c>
      <c r="AE219" s="46" t="s">
        <v>42</v>
      </c>
      <c r="AF219" s="46" t="s">
        <v>41</v>
      </c>
      <c r="AG219" s="46" t="s">
        <v>41</v>
      </c>
      <c r="AH219" s="46" t="s">
        <v>37</v>
      </c>
      <c r="AI219" s="46" t="s">
        <v>41</v>
      </c>
      <c r="AJ219" s="46">
        <f>=SUM(E220:AI220)</f>
      </c>
      <c r="AK219" s="46">
        <f>=+AY219</f>
      </c>
      <c r="AL219" s="46"/>
      <c r="AM219" s="1"/>
      <c r="AN219" s="1">
        <f>=COUNTIF(E219:AI219,"A")+COUNTIF(E219:AI219,"B")+COUNTIF(E219:AI219,"C")+COUNTIF(E219:AI219,"D")+COUNTIF(E219:AI219,"E")+COUNTIF(E219:AI219,"F")+COUNTIF(E219:AI219,"M")+COUNTIF(E219:AI219,"AB")+COUNTIF(E219:AI219,"UZ")+COUNTIF(E219:AI219,"G")+(COUNTIF(E219:AI219,"RT.")/2)+(COUNTIF(E219:AI219,"ÇRT.")/2)</f>
      </c>
      <c r="AO219" s="1">
        <f>=COUNTIF(E219:AI219,"O")</f>
      </c>
      <c r="AP219" s="1">
        <f>=COUNTIF(E219:AI219,"RT")+(COUNTIF(E219:AI219,"RT.")/2)</f>
      </c>
      <c r="AQ219" s="1">
        <f>=COUNTIF(E219:AI219,"ÇRT")+(COUNTIF(E219:AI219,"ÇRT.")/2)</f>
      </c>
      <c r="AR219" s="1">
        <f>=COUNTIF(E219:AI219,"ÇHT")</f>
      </c>
      <c r="AS219" s="1">
        <f>=COUNTIF(E219:AI219,"Ö")+COUNTIF(E219:AI219,"T")</f>
      </c>
      <c r="AT219" s="1">
        <f>=COUNTIF(E219:AI219,"Y")</f>
      </c>
      <c r="AU219" s="1">
        <f>=COUNTIF(E219:AI219,"R.")</f>
      </c>
      <c r="AV219" s="1">
        <f>=COUNTIF(E219:AI219,"Ü")</f>
      </c>
      <c r="AW219" s="1">
        <f>=COUNTIF(E219:AI219,"R")</f>
      </c>
      <c r="AX219" s="1">
        <f>=COUNTIF(E219:AI219,"DV")</f>
      </c>
      <c r="AY219" s="1">
        <f>=+AN219+AO219+AP219+AQ219+AR219+AS219+AT219+AU219</f>
      </c>
    </row>
    <row r="220" ht="16" customHeight="1" spans="1:51" x14ac:dyDescent="0.25">
      <c r="A220" s="45"/>
      <c r="B220" s="46"/>
      <c r="C220" s="46"/>
      <c r="D220" s="46" t="s">
        <v>33</v>
      </c>
      <c r="E220" s="46"/>
      <c r="F220" s="46"/>
      <c r="G220" s="46"/>
      <c r="H220" s="46"/>
      <c r="I220" s="46"/>
      <c r="J220" s="46">
        <v>2</v>
      </c>
      <c r="K220" s="46"/>
      <c r="L220" s="46"/>
      <c r="M220" s="46"/>
      <c r="N220" s="46"/>
      <c r="O220" s="46"/>
      <c r="P220" s="46"/>
      <c r="Q220" s="46">
        <v>2</v>
      </c>
      <c r="R220" s="46"/>
      <c r="S220" s="46"/>
      <c r="T220" s="46"/>
      <c r="U220" s="46"/>
      <c r="V220" s="46"/>
      <c r="W220" s="46"/>
      <c r="X220" s="46">
        <v>2</v>
      </c>
      <c r="Y220" s="46"/>
      <c r="Z220" s="46"/>
      <c r="AA220" s="46"/>
      <c r="AB220" s="46"/>
      <c r="AC220" s="46"/>
      <c r="AD220" s="46"/>
      <c r="AE220" s="46">
        <v>2</v>
      </c>
      <c r="AF220" s="46"/>
      <c r="AG220" s="46"/>
      <c r="AH220" s="46"/>
      <c r="AI220" s="46"/>
      <c r="AJ220" s="46"/>
      <c r="AK220" s="46"/>
      <c r="AL220" s="46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ht="16" customHeight="1" spans="1:51" x14ac:dyDescent="0.25">
      <c r="A221" s="45"/>
      <c r="B221" s="46" t="s">
        <v>257</v>
      </c>
      <c r="C221" s="46" t="s">
        <v>258</v>
      </c>
      <c r="D221" s="46" t="s">
        <v>29</v>
      </c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  <c r="AI221" s="46"/>
      <c r="AJ221" s="46">
        <f>=SUM(E222:AI222)</f>
      </c>
      <c r="AK221" s="46">
        <f>=+AY221</f>
      </c>
      <c r="AL221" s="46"/>
      <c r="AM221" s="1"/>
      <c r="AN221" s="1">
        <f>=COUNTIF(E221:AI221,"A")+COUNTIF(E221:AI221,"B")+COUNTIF(E221:AI221,"C")+COUNTIF(E221:AI221,"D")+COUNTIF(E221:AI221,"E")+COUNTIF(E221:AI221,"F")+COUNTIF(E221:AI221,"M")+COUNTIF(E221:AI221,"AB")+COUNTIF(E221:AI221,"UZ")+COUNTIF(E221:AI221,"G")+(COUNTIF(E221:AI221,"RT.")/2)+(COUNTIF(E221:AI221,"ÇRT.")/2)</f>
      </c>
      <c r="AO221" s="1">
        <f>=COUNTIF(E221:AI221,"O")</f>
      </c>
      <c r="AP221" s="1">
        <f>=COUNTIF(E221:AI221,"RT")+(COUNTIF(E221:AI221,"RT.")/2)</f>
      </c>
      <c r="AQ221" s="1">
        <f>=COUNTIF(E221:AI221,"ÇRT")+(COUNTIF(E221:AI221,"ÇRT.")/2)</f>
      </c>
      <c r="AR221" s="1">
        <f>=COUNTIF(E221:AI221,"ÇHT")</f>
      </c>
      <c r="AS221" s="1">
        <f>=COUNTIF(E221:AI221,"Ö")+COUNTIF(E221:AI221,"T")</f>
      </c>
      <c r="AT221" s="1">
        <f>=COUNTIF(E221:AI221,"Y")</f>
      </c>
      <c r="AU221" s="1">
        <f>=COUNTIF(E221:AI221,"R.")</f>
      </c>
      <c r="AV221" s="1">
        <f>=COUNTIF(E221:AI221,"Ü")</f>
      </c>
      <c r="AW221" s="1">
        <f>=COUNTIF(E221:AI221,"R")</f>
      </c>
      <c r="AX221" s="1">
        <f>=COUNTIF(E221:AI221,"DV")</f>
      </c>
      <c r="AY221" s="1">
        <f>=+AN221+AO221+AP221+AQ221+AR221+AS221+AT221+AU221</f>
      </c>
    </row>
    <row r="222" ht="16" customHeight="1" spans="1:51" x14ac:dyDescent="0.25">
      <c r="A222" s="45"/>
      <c r="B222" s="46"/>
      <c r="C222" s="46"/>
      <c r="D222" s="46" t="s">
        <v>33</v>
      </c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  <c r="AI222" s="46"/>
      <c r="AJ222" s="46"/>
      <c r="AK222" s="46"/>
      <c r="AL222" s="46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ht="16" customHeight="1" spans="1:51" x14ac:dyDescent="0.25">
      <c r="A223" s="45"/>
      <c r="B223" s="46" t="s">
        <v>259</v>
      </c>
      <c r="C223" s="46" t="s">
        <v>260</v>
      </c>
      <c r="D223" s="46" t="s">
        <v>29</v>
      </c>
      <c r="E223" s="46" t="s">
        <v>46</v>
      </c>
      <c r="F223" s="46" t="s">
        <v>46</v>
      </c>
      <c r="G223" s="46" t="s">
        <v>46</v>
      </c>
      <c r="H223" s="46" t="s">
        <v>46</v>
      </c>
      <c r="I223" s="46" t="s">
        <v>46</v>
      </c>
      <c r="J223" s="46" t="s">
        <v>36</v>
      </c>
      <c r="K223" s="46" t="s">
        <v>37</v>
      </c>
      <c r="L223" s="46" t="s">
        <v>46</v>
      </c>
      <c r="M223" s="46" t="s">
        <v>46</v>
      </c>
      <c r="N223" s="46" t="s">
        <v>46</v>
      </c>
      <c r="O223" s="46" t="s">
        <v>46</v>
      </c>
      <c r="P223" s="46" t="s">
        <v>46</v>
      </c>
      <c r="Q223" s="46" t="s">
        <v>36</v>
      </c>
      <c r="R223" s="46" t="s">
        <v>37</v>
      </c>
      <c r="S223" s="46" t="s">
        <v>46</v>
      </c>
      <c r="T223" s="46" t="s">
        <v>46</v>
      </c>
      <c r="U223" s="46" t="s">
        <v>59</v>
      </c>
      <c r="V223" s="46" t="s">
        <v>59</v>
      </c>
      <c r="W223" s="46" t="s">
        <v>59</v>
      </c>
      <c r="X223" s="46" t="s">
        <v>59</v>
      </c>
      <c r="Y223" s="46" t="s">
        <v>37</v>
      </c>
      <c r="Z223" s="46" t="s">
        <v>59</v>
      </c>
      <c r="AA223" s="46" t="s">
        <v>59</v>
      </c>
      <c r="AB223" s="46" t="s">
        <v>46</v>
      </c>
      <c r="AC223" s="46" t="s">
        <v>46</v>
      </c>
      <c r="AD223" s="46" t="s">
        <v>46</v>
      </c>
      <c r="AE223" s="46" t="s">
        <v>46</v>
      </c>
      <c r="AF223" s="46" t="s">
        <v>37</v>
      </c>
      <c r="AG223" s="46" t="s">
        <v>46</v>
      </c>
      <c r="AH223" s="46" t="s">
        <v>43</v>
      </c>
      <c r="AI223" s="46" t="s">
        <v>46</v>
      </c>
      <c r="AJ223" s="46">
        <f>=SUM(E224:AI224)</f>
      </c>
      <c r="AK223" s="46">
        <f>=+AY223</f>
      </c>
      <c r="AL223" s="46"/>
      <c r="AM223" s="1"/>
      <c r="AN223" s="1">
        <f>=COUNTIF(E223:AI223,"A")+COUNTIF(E223:AI223,"B")+COUNTIF(E223:AI223,"C")+COUNTIF(E223:AI223,"D")+COUNTIF(E223:AI223,"E")+COUNTIF(E223:AI223,"F")+COUNTIF(E223:AI223,"M")+COUNTIF(E223:AI223,"AB")+COUNTIF(E223:AI223,"UZ")+COUNTIF(E223:AI223,"G")+(COUNTIF(E223:AI223,"RT.")/2)+(COUNTIF(E223:AI223,"ÇRT.")/2)</f>
      </c>
      <c r="AO223" s="1">
        <f>=COUNTIF(E223:AI223,"O")</f>
      </c>
      <c r="AP223" s="1">
        <f>=COUNTIF(E223:AI223,"RT")+(COUNTIF(E223:AI223,"RT.")/2)</f>
      </c>
      <c r="AQ223" s="1">
        <f>=COUNTIF(E223:AI223,"ÇRT")+(COUNTIF(E223:AI223,"ÇRT.")/2)</f>
      </c>
      <c r="AR223" s="1">
        <f>=COUNTIF(E223:AI223,"ÇHT")</f>
      </c>
      <c r="AS223" s="1">
        <f>=COUNTIF(E223:AI223,"Ö")+COUNTIF(E223:AI223,"T")</f>
      </c>
      <c r="AT223" s="1">
        <f>=COUNTIF(E223:AI223,"Y")</f>
      </c>
      <c r="AU223" s="1">
        <f>=COUNTIF(E223:AI223,"R.")</f>
      </c>
      <c r="AV223" s="1">
        <f>=COUNTIF(E223:AI223,"Ü")</f>
      </c>
      <c r="AW223" s="1">
        <f>=COUNTIF(E223:AI223,"R")</f>
      </c>
      <c r="AX223" s="1">
        <f>=COUNTIF(E223:AI223,"DV")</f>
      </c>
      <c r="AY223" s="1">
        <f>=+AN223+AO223+AP223+AQ223+AR223+AS223+AT223+AU223</f>
      </c>
    </row>
    <row r="224" ht="16" customHeight="1" spans="1:51" x14ac:dyDescent="0.25">
      <c r="A224" s="45"/>
      <c r="B224" s="46"/>
      <c r="C224" s="46"/>
      <c r="D224" s="46" t="s">
        <v>33</v>
      </c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>
        <v>3</v>
      </c>
      <c r="AB224" s="46"/>
      <c r="AC224" s="46"/>
      <c r="AD224" s="46"/>
      <c r="AE224" s="46"/>
      <c r="AF224" s="46"/>
      <c r="AG224" s="46"/>
      <c r="AH224" s="46"/>
      <c r="AI224" s="46"/>
      <c r="AJ224" s="46"/>
      <c r="AK224" s="46"/>
      <c r="AL224" s="46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ht="16" customHeight="1" spans="1:51" x14ac:dyDescent="0.25">
      <c r="A225" s="45"/>
      <c r="B225" s="46" t="s">
        <v>261</v>
      </c>
      <c r="C225" s="46" t="s">
        <v>262</v>
      </c>
      <c r="D225" s="46" t="s">
        <v>29</v>
      </c>
      <c r="E225" s="46" t="s">
        <v>36</v>
      </c>
      <c r="F225" s="46" t="s">
        <v>36</v>
      </c>
      <c r="G225" s="46" t="s">
        <v>41</v>
      </c>
      <c r="H225" s="46" t="s">
        <v>41</v>
      </c>
      <c r="I225" s="46" t="s">
        <v>41</v>
      </c>
      <c r="J225" s="46" t="s">
        <v>41</v>
      </c>
      <c r="K225" s="46" t="s">
        <v>41</v>
      </c>
      <c r="L225" s="46" t="s">
        <v>37</v>
      </c>
      <c r="M225" s="46" t="s">
        <v>41</v>
      </c>
      <c r="N225" s="46" t="s">
        <v>41</v>
      </c>
      <c r="O225" s="46" t="s">
        <v>37</v>
      </c>
      <c r="P225" s="46" t="s">
        <v>41</v>
      </c>
      <c r="Q225" s="46" t="s">
        <v>41</v>
      </c>
      <c r="R225" s="46" t="s">
        <v>41</v>
      </c>
      <c r="S225" s="46" t="s">
        <v>41</v>
      </c>
      <c r="T225" s="46" t="s">
        <v>41</v>
      </c>
      <c r="U225" s="46" t="s">
        <v>37</v>
      </c>
      <c r="V225" s="46" t="s">
        <v>41</v>
      </c>
      <c r="W225" s="46" t="s">
        <v>41</v>
      </c>
      <c r="X225" s="46" t="s">
        <v>41</v>
      </c>
      <c r="Y225" s="46" t="s">
        <v>41</v>
      </c>
      <c r="Z225" s="46" t="s">
        <v>41</v>
      </c>
      <c r="AA225" s="46" t="s">
        <v>41</v>
      </c>
      <c r="AB225" s="46" t="s">
        <v>37</v>
      </c>
      <c r="AC225" s="46" t="s">
        <v>41</v>
      </c>
      <c r="AD225" s="46" t="s">
        <v>41</v>
      </c>
      <c r="AE225" s="46" t="s">
        <v>41</v>
      </c>
      <c r="AF225" s="46" t="s">
        <v>41</v>
      </c>
      <c r="AG225" s="46" t="s">
        <v>41</v>
      </c>
      <c r="AH225" s="46" t="s">
        <v>43</v>
      </c>
      <c r="AI225" s="46" t="s">
        <v>37</v>
      </c>
      <c r="AJ225" s="46">
        <f>=SUM(E226:AI226)</f>
      </c>
      <c r="AK225" s="46">
        <f>=+AY225</f>
      </c>
      <c r="AL225" s="46"/>
      <c r="AM225" s="1"/>
      <c r="AN225" s="1">
        <f>=COUNTIF(E225:AI225,"A")+COUNTIF(E225:AI225,"B")+COUNTIF(E225:AI225,"C")+COUNTIF(E225:AI225,"D")+COUNTIF(E225:AI225,"E")+COUNTIF(E225:AI225,"F")+COUNTIF(E225:AI225,"M")+COUNTIF(E225:AI225,"AB")+COUNTIF(E225:AI225,"UZ")+COUNTIF(E225:AI225,"G")+(COUNTIF(E225:AI225,"RT.")/2)+(COUNTIF(E225:AI225,"ÇRT.")/2)</f>
      </c>
      <c r="AO225" s="1">
        <f>=COUNTIF(E225:AI225,"O")</f>
      </c>
      <c r="AP225" s="1">
        <f>=COUNTIF(E225:AI225,"RT")+(COUNTIF(E225:AI225,"RT.")/2)</f>
      </c>
      <c r="AQ225" s="1">
        <f>=COUNTIF(E225:AI225,"ÇRT")+(COUNTIF(E225:AI225,"ÇRT.")/2)</f>
      </c>
      <c r="AR225" s="1">
        <f>=COUNTIF(E225:AI225,"ÇHT")</f>
      </c>
      <c r="AS225" s="1">
        <f>=COUNTIF(E225:AI225,"Ö")+COUNTIF(E225:AI225,"T")</f>
      </c>
      <c r="AT225" s="1">
        <f>=COUNTIF(E225:AI225,"Y")</f>
      </c>
      <c r="AU225" s="1">
        <f>=COUNTIF(E225:AI225,"R.")</f>
      </c>
      <c r="AV225" s="1">
        <f>=COUNTIF(E225:AI225,"Ü")</f>
      </c>
      <c r="AW225" s="1">
        <f>=COUNTIF(E225:AI225,"R")</f>
      </c>
      <c r="AX225" s="1">
        <f>=COUNTIF(E225:AI225,"DV")</f>
      </c>
      <c r="AY225" s="1">
        <f>=+AN225+AO225+AP225+AQ225+AR225+AS225+AT225+AU225</f>
      </c>
    </row>
    <row r="226" ht="16" customHeight="1" spans="1:51" x14ac:dyDescent="0.25">
      <c r="A226" s="45"/>
      <c r="B226" s="46"/>
      <c r="C226" s="46"/>
      <c r="D226" s="46" t="s">
        <v>33</v>
      </c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  <c r="AD226" s="46"/>
      <c r="AE226" s="46"/>
      <c r="AF226" s="46"/>
      <c r="AG226" s="46"/>
      <c r="AH226" s="46"/>
      <c r="AI226" s="46"/>
      <c r="AJ226" s="46"/>
      <c r="AK226" s="46"/>
      <c r="AL226" s="46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ht="16" customHeight="1" spans="1:51" x14ac:dyDescent="0.25">
      <c r="A227" s="45"/>
      <c r="B227" s="46" t="s">
        <v>263</v>
      </c>
      <c r="C227" s="46" t="s">
        <v>264</v>
      </c>
      <c r="D227" s="46" t="s">
        <v>29</v>
      </c>
      <c r="E227" s="46" t="s">
        <v>37</v>
      </c>
      <c r="F227" s="46" t="s">
        <v>36</v>
      </c>
      <c r="G227" s="46" t="s">
        <v>36</v>
      </c>
      <c r="H227" s="46" t="s">
        <v>36</v>
      </c>
      <c r="I227" s="46" t="s">
        <v>36</v>
      </c>
      <c r="J227" s="46" t="s">
        <v>36</v>
      </c>
      <c r="K227" s="46" t="s">
        <v>36</v>
      </c>
      <c r="L227" s="46" t="s">
        <v>37</v>
      </c>
      <c r="M227" s="46" t="s">
        <v>36</v>
      </c>
      <c r="N227" s="46" t="s">
        <v>37</v>
      </c>
      <c r="O227" s="46" t="s">
        <v>36</v>
      </c>
      <c r="P227" s="46" t="s">
        <v>36</v>
      </c>
      <c r="Q227" s="46" t="s">
        <v>36</v>
      </c>
      <c r="R227" s="46" t="s">
        <v>36</v>
      </c>
      <c r="S227" s="46" t="s">
        <v>36</v>
      </c>
      <c r="T227" s="46" t="s">
        <v>36</v>
      </c>
      <c r="U227" s="46" t="s">
        <v>36</v>
      </c>
      <c r="V227" s="46" t="s">
        <v>36</v>
      </c>
      <c r="W227" s="46" t="s">
        <v>36</v>
      </c>
      <c r="X227" s="46" t="s">
        <v>36</v>
      </c>
      <c r="Y227" s="46" t="s">
        <v>36</v>
      </c>
      <c r="Z227" s="46" t="s">
        <v>37</v>
      </c>
      <c r="AA227" s="46" t="s">
        <v>36</v>
      </c>
      <c r="AB227" s="46" t="s">
        <v>36</v>
      </c>
      <c r="AC227" s="46" t="s">
        <v>36</v>
      </c>
      <c r="AD227" s="46" t="s">
        <v>36</v>
      </c>
      <c r="AE227" s="46" t="s">
        <v>36</v>
      </c>
      <c r="AF227" s="46" t="s">
        <v>36</v>
      </c>
      <c r="AG227" s="46" t="s">
        <v>37</v>
      </c>
      <c r="AH227" s="46" t="s">
        <v>43</v>
      </c>
      <c r="AI227" s="46" t="s">
        <v>36</v>
      </c>
      <c r="AJ227" s="46">
        <f>=SUM(E228:AI228)</f>
      </c>
      <c r="AK227" s="46">
        <f>=+AY227</f>
      </c>
      <c r="AL227" s="46"/>
      <c r="AM227" s="1"/>
      <c r="AN227" s="1">
        <f>=COUNTIF(E227:AI227,"A")+COUNTIF(E227:AI227,"B")+COUNTIF(E227:AI227,"C")+COUNTIF(E227:AI227,"D")+COUNTIF(E227:AI227,"E")+COUNTIF(E227:AI227,"F")+COUNTIF(E227:AI227,"M")+COUNTIF(E227:AI227,"AB")+COUNTIF(E227:AI227,"UZ")+COUNTIF(E227:AI227,"G")+(COUNTIF(E227:AI227,"RT.")/2)+(COUNTIF(E227:AI227,"ÇRT.")/2)</f>
      </c>
      <c r="AO227" s="1">
        <f>=COUNTIF(E227:AI227,"O")</f>
      </c>
      <c r="AP227" s="1">
        <f>=COUNTIF(E227:AI227,"RT")+(COUNTIF(E227:AI227,"RT.")/2)</f>
      </c>
      <c r="AQ227" s="1">
        <f>=COUNTIF(E227:AI227,"ÇRT")+(COUNTIF(E227:AI227,"ÇRT.")/2)</f>
      </c>
      <c r="AR227" s="1">
        <f>=COUNTIF(E227:AI227,"ÇHT")</f>
      </c>
      <c r="AS227" s="1">
        <f>=COUNTIF(E227:AI227,"Ö")+COUNTIF(E227:AI227,"T")</f>
      </c>
      <c r="AT227" s="1">
        <f>=COUNTIF(E227:AI227,"Y")</f>
      </c>
      <c r="AU227" s="1">
        <f>=COUNTIF(E227:AI227,"R.")</f>
      </c>
      <c r="AV227" s="1">
        <f>=COUNTIF(E227:AI227,"Ü")</f>
      </c>
      <c r="AW227" s="1">
        <f>=COUNTIF(E227:AI227,"R")</f>
      </c>
      <c r="AX227" s="1">
        <f>=COUNTIF(E227:AI227,"DV")</f>
      </c>
      <c r="AY227" s="1">
        <f>=+AN227+AO227+AP227+AQ227+AR227+AS227+AT227+AU227</f>
      </c>
    </row>
    <row r="228" ht="16" customHeight="1" spans="1:51" x14ac:dyDescent="0.25">
      <c r="A228" s="45"/>
      <c r="B228" s="46"/>
      <c r="C228" s="46"/>
      <c r="D228" s="46" t="s">
        <v>33</v>
      </c>
      <c r="E228" s="46"/>
      <c r="F228" s="46"/>
      <c r="G228" s="46">
        <v>1</v>
      </c>
      <c r="H228" s="46">
        <v>1</v>
      </c>
      <c r="I228" s="46">
        <v>1</v>
      </c>
      <c r="J228" s="46">
        <v>1</v>
      </c>
      <c r="K228" s="46">
        <v>1</v>
      </c>
      <c r="L228" s="46"/>
      <c r="M228" s="46">
        <v>1</v>
      </c>
      <c r="N228" s="46"/>
      <c r="O228" s="46">
        <v>1</v>
      </c>
      <c r="P228" s="46">
        <v>1</v>
      </c>
      <c r="Q228" s="46">
        <v>1</v>
      </c>
      <c r="R228" s="46">
        <v>1</v>
      </c>
      <c r="S228" s="46">
        <v>1</v>
      </c>
      <c r="T228" s="46">
        <v>1</v>
      </c>
      <c r="U228" s="46">
        <v>1</v>
      </c>
      <c r="V228" s="46">
        <v>1</v>
      </c>
      <c r="W228" s="46">
        <v>1</v>
      </c>
      <c r="X228" s="46">
        <v>1</v>
      </c>
      <c r="Y228" s="46">
        <v>1</v>
      </c>
      <c r="Z228" s="46"/>
      <c r="AA228" s="46">
        <v>1</v>
      </c>
      <c r="AB228" s="46">
        <v>1</v>
      </c>
      <c r="AC228" s="46">
        <v>1</v>
      </c>
      <c r="AD228" s="46">
        <v>1</v>
      </c>
      <c r="AE228" s="46">
        <v>1</v>
      </c>
      <c r="AF228" s="46">
        <v>1</v>
      </c>
      <c r="AG228" s="46"/>
      <c r="AH228" s="46">
        <v>1</v>
      </c>
      <c r="AI228" s="46"/>
      <c r="AJ228" s="46"/>
      <c r="AK228" s="46"/>
      <c r="AL228" s="46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ht="16" customHeight="1" spans="1:51" x14ac:dyDescent="0.25">
      <c r="A229" s="45"/>
      <c r="B229" s="46" t="s">
        <v>265</v>
      </c>
      <c r="C229" s="46" t="s">
        <v>266</v>
      </c>
      <c r="D229" s="46" t="s">
        <v>29</v>
      </c>
      <c r="E229" s="46" t="s">
        <v>41</v>
      </c>
      <c r="F229" s="46" t="s">
        <v>37</v>
      </c>
      <c r="G229" s="46" t="s">
        <v>41</v>
      </c>
      <c r="H229" s="46" t="s">
        <v>41</v>
      </c>
      <c r="I229" s="46" t="s">
        <v>36</v>
      </c>
      <c r="J229" s="46" t="s">
        <v>36</v>
      </c>
      <c r="K229" s="46" t="s">
        <v>36</v>
      </c>
      <c r="L229" s="46" t="s">
        <v>41</v>
      </c>
      <c r="M229" s="46" t="s">
        <v>37</v>
      </c>
      <c r="N229" s="46" t="s">
        <v>41</v>
      </c>
      <c r="O229" s="46" t="s">
        <v>42</v>
      </c>
      <c r="P229" s="46" t="s">
        <v>36</v>
      </c>
      <c r="Q229" s="46" t="s">
        <v>36</v>
      </c>
      <c r="R229" s="46" t="s">
        <v>36</v>
      </c>
      <c r="S229" s="46" t="s">
        <v>41</v>
      </c>
      <c r="T229" s="46" t="s">
        <v>37</v>
      </c>
      <c r="U229" s="46" t="s">
        <v>41</v>
      </c>
      <c r="V229" s="46" t="s">
        <v>41</v>
      </c>
      <c r="W229" s="46" t="s">
        <v>41</v>
      </c>
      <c r="X229" s="46" t="s">
        <v>36</v>
      </c>
      <c r="Y229" s="46" t="s">
        <v>36</v>
      </c>
      <c r="Z229" s="46" t="s">
        <v>36</v>
      </c>
      <c r="AA229" s="46" t="s">
        <v>37</v>
      </c>
      <c r="AB229" s="46" t="s">
        <v>37</v>
      </c>
      <c r="AC229" s="46" t="s">
        <v>36</v>
      </c>
      <c r="AD229" s="46" t="s">
        <v>36</v>
      </c>
      <c r="AE229" s="46" t="s">
        <v>36</v>
      </c>
      <c r="AF229" s="46" t="s">
        <v>36</v>
      </c>
      <c r="AG229" s="46" t="s">
        <v>36</v>
      </c>
      <c r="AH229" s="46" t="s">
        <v>43</v>
      </c>
      <c r="AI229" s="46" t="s">
        <v>41</v>
      </c>
      <c r="AJ229" s="46">
        <f>=SUM(E230:AI230)</f>
      </c>
      <c r="AK229" s="46">
        <f>=+AY229</f>
      </c>
      <c r="AL229" s="46"/>
      <c r="AM229" s="1"/>
      <c r="AN229" s="1">
        <f>=COUNTIF(E229:AI229,"A")+COUNTIF(E229:AI229,"B")+COUNTIF(E229:AI229,"C")+COUNTIF(E229:AI229,"D")+COUNTIF(E229:AI229,"E")+COUNTIF(E229:AI229,"F")+COUNTIF(E229:AI229,"M")+COUNTIF(E229:AI229,"AB")+COUNTIF(E229:AI229,"UZ")+COUNTIF(E229:AI229,"G")+(COUNTIF(E229:AI229,"RT.")/2)+(COUNTIF(E229:AI229,"ÇRT.")/2)</f>
      </c>
      <c r="AO229" s="1">
        <f>=COUNTIF(E229:AI229,"O")</f>
      </c>
      <c r="AP229" s="1">
        <f>=COUNTIF(E229:AI229,"RT")+(COUNTIF(E229:AI229,"RT.")/2)</f>
      </c>
      <c r="AQ229" s="1">
        <f>=COUNTIF(E229:AI229,"ÇRT")+(COUNTIF(E229:AI229,"ÇRT.")/2)</f>
      </c>
      <c r="AR229" s="1">
        <f>=COUNTIF(E229:AI229,"ÇHT")</f>
      </c>
      <c r="AS229" s="1">
        <f>=COUNTIF(E229:AI229,"Ö")+COUNTIF(E229:AI229,"T")</f>
      </c>
      <c r="AT229" s="1">
        <f>=COUNTIF(E229:AI229,"Y")</f>
      </c>
      <c r="AU229" s="1">
        <f>=COUNTIF(E229:AI229,"R.")</f>
      </c>
      <c r="AV229" s="1">
        <f>=COUNTIF(E229:AI229,"Ü")</f>
      </c>
      <c r="AW229" s="1">
        <f>=COUNTIF(E229:AI229,"R")</f>
      </c>
      <c r="AX229" s="1">
        <f>=COUNTIF(E229:AI229,"DV")</f>
      </c>
      <c r="AY229" s="1">
        <f>=+AN229+AO229+AP229+AQ229+AR229+AS229+AT229+AU229</f>
      </c>
    </row>
    <row r="230" ht="16" customHeight="1" spans="1:51" x14ac:dyDescent="0.25">
      <c r="A230" s="45"/>
      <c r="B230" s="46"/>
      <c r="C230" s="46"/>
      <c r="D230" s="46" t="s">
        <v>33</v>
      </c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>
        <v>3</v>
      </c>
      <c r="Z230" s="46">
        <v>3</v>
      </c>
      <c r="AA230" s="46"/>
      <c r="AB230" s="46"/>
      <c r="AC230" s="46"/>
      <c r="AD230" s="46"/>
      <c r="AE230" s="46"/>
      <c r="AF230" s="46"/>
      <c r="AG230" s="46"/>
      <c r="AH230" s="46"/>
      <c r="AI230" s="46"/>
      <c r="AJ230" s="46"/>
      <c r="AK230" s="46"/>
      <c r="AL230" s="46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ht="16" customHeight="1" spans="1:51" x14ac:dyDescent="0.25">
      <c r="A231" s="45"/>
      <c r="B231" s="46" t="s">
        <v>267</v>
      </c>
      <c r="C231" s="46" t="s">
        <v>268</v>
      </c>
      <c r="D231" s="46" t="s">
        <v>29</v>
      </c>
      <c r="E231" s="46" t="s">
        <v>37</v>
      </c>
      <c r="F231" s="46" t="s">
        <v>41</v>
      </c>
      <c r="G231" s="46" t="s">
        <v>41</v>
      </c>
      <c r="H231" s="46" t="s">
        <v>41</v>
      </c>
      <c r="I231" s="46" t="s">
        <v>41</v>
      </c>
      <c r="J231" s="46" t="s">
        <v>41</v>
      </c>
      <c r="K231" s="46" t="s">
        <v>41</v>
      </c>
      <c r="L231" s="46" t="s">
        <v>37</v>
      </c>
      <c r="M231" s="46" t="s">
        <v>41</v>
      </c>
      <c r="N231" s="46" t="s">
        <v>41</v>
      </c>
      <c r="O231" s="46" t="s">
        <v>41</v>
      </c>
      <c r="P231" s="46" t="s">
        <v>41</v>
      </c>
      <c r="Q231" s="46" t="s">
        <v>41</v>
      </c>
      <c r="R231" s="46" t="s">
        <v>41</v>
      </c>
      <c r="S231" s="46" t="s">
        <v>37</v>
      </c>
      <c r="T231" s="46" t="s">
        <v>41</v>
      </c>
      <c r="U231" s="46" t="s">
        <v>41</v>
      </c>
      <c r="V231" s="46" t="s">
        <v>41</v>
      </c>
      <c r="W231" s="46" t="s">
        <v>41</v>
      </c>
      <c r="X231" s="46" t="s">
        <v>41</v>
      </c>
      <c r="Y231" s="46" t="s">
        <v>41</v>
      </c>
      <c r="Z231" s="46" t="s">
        <v>37</v>
      </c>
      <c r="AA231" s="46" t="s">
        <v>41</v>
      </c>
      <c r="AB231" s="46" t="s">
        <v>41</v>
      </c>
      <c r="AC231" s="46" t="s">
        <v>41</v>
      </c>
      <c r="AD231" s="46" t="s">
        <v>41</v>
      </c>
      <c r="AE231" s="46" t="s">
        <v>41</v>
      </c>
      <c r="AF231" s="46" t="s">
        <v>41</v>
      </c>
      <c r="AG231" s="46" t="s">
        <v>37</v>
      </c>
      <c r="AH231" s="46" t="s">
        <v>43</v>
      </c>
      <c r="AI231" s="46" t="s">
        <v>41</v>
      </c>
      <c r="AJ231" s="46">
        <f>=SUM(E232:AI232)</f>
      </c>
      <c r="AK231" s="46">
        <f>=+AY231</f>
      </c>
      <c r="AL231" s="46"/>
      <c r="AM231" s="1"/>
      <c r="AN231" s="1">
        <f>=COUNTIF(E231:AI231,"A")+COUNTIF(E231:AI231,"B")+COUNTIF(E231:AI231,"C")+COUNTIF(E231:AI231,"D")+COUNTIF(E231:AI231,"E")+COUNTIF(E231:AI231,"F")+COUNTIF(E231:AI231,"M")+COUNTIF(E231:AI231,"AB")+COUNTIF(E231:AI231,"UZ")+COUNTIF(E231:AI231,"G")+(COUNTIF(E231:AI231,"RT.")/2)+(COUNTIF(E231:AI231,"ÇRT.")/2)</f>
      </c>
      <c r="AO231" s="1">
        <f>=COUNTIF(E231:AI231,"O")</f>
      </c>
      <c r="AP231" s="1">
        <f>=COUNTIF(E231:AI231,"RT")+(COUNTIF(E231:AI231,"RT.")/2)</f>
      </c>
      <c r="AQ231" s="1">
        <f>=COUNTIF(E231:AI231,"ÇRT")+(COUNTIF(E231:AI231,"ÇRT.")/2)</f>
      </c>
      <c r="AR231" s="1">
        <f>=COUNTIF(E231:AI231,"ÇHT")</f>
      </c>
      <c r="AS231" s="1">
        <f>=COUNTIF(E231:AI231,"Ö")+COUNTIF(E231:AI231,"T")</f>
      </c>
      <c r="AT231" s="1">
        <f>=COUNTIF(E231:AI231,"Y")</f>
      </c>
      <c r="AU231" s="1">
        <f>=COUNTIF(E231:AI231,"R.")</f>
      </c>
      <c r="AV231" s="1">
        <f>=COUNTIF(E231:AI231,"Ü")</f>
      </c>
      <c r="AW231" s="1">
        <f>=COUNTIF(E231:AI231,"R")</f>
      </c>
      <c r="AX231" s="1">
        <f>=COUNTIF(E231:AI231,"DV")</f>
      </c>
      <c r="AY231" s="1">
        <f>=+AN231+AO231+AP231+AQ231+AR231+AS231+AT231+AU231</f>
      </c>
    </row>
    <row r="232" ht="16" customHeight="1" spans="1:51" x14ac:dyDescent="0.25">
      <c r="A232" s="45"/>
      <c r="B232" s="46"/>
      <c r="C232" s="46"/>
      <c r="D232" s="46" t="s">
        <v>33</v>
      </c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>
        <v>2</v>
      </c>
      <c r="AC232" s="46">
        <v>2</v>
      </c>
      <c r="AD232" s="46">
        <v>2</v>
      </c>
      <c r="AE232" s="46">
        <v>2</v>
      </c>
      <c r="AF232" s="46">
        <v>2</v>
      </c>
      <c r="AG232" s="46"/>
      <c r="AH232" s="46">
        <v>2</v>
      </c>
      <c r="AI232" s="46"/>
      <c r="AJ232" s="46"/>
      <c r="AK232" s="46"/>
      <c r="AL232" s="46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ht="16" customHeight="1" spans="1:51" x14ac:dyDescent="0.25">
      <c r="A233" s="45"/>
      <c r="B233" s="46" t="s">
        <v>269</v>
      </c>
      <c r="C233" s="46" t="s">
        <v>270</v>
      </c>
      <c r="D233" s="46" t="s">
        <v>29</v>
      </c>
      <c r="E233" s="46" t="s">
        <v>30</v>
      </c>
      <c r="F233" s="46" t="s">
        <v>30</v>
      </c>
      <c r="G233" s="46" t="s">
        <v>30</v>
      </c>
      <c r="H233" s="46" t="s">
        <v>30</v>
      </c>
      <c r="I233" s="46" t="s">
        <v>37</v>
      </c>
      <c r="J233" s="46" t="s">
        <v>30</v>
      </c>
      <c r="K233" s="46" t="s">
        <v>30</v>
      </c>
      <c r="L233" s="46" t="s">
        <v>30</v>
      </c>
      <c r="M233" s="46" t="s">
        <v>30</v>
      </c>
      <c r="N233" s="46" t="s">
        <v>30</v>
      </c>
      <c r="O233" s="46" t="s">
        <v>30</v>
      </c>
      <c r="P233" s="46" t="s">
        <v>37</v>
      </c>
      <c r="Q233" s="46" t="s">
        <v>30</v>
      </c>
      <c r="R233" s="46" t="s">
        <v>30</v>
      </c>
      <c r="S233" s="46" t="s">
        <v>30</v>
      </c>
      <c r="T233" s="46" t="s">
        <v>30</v>
      </c>
      <c r="U233" s="46" t="s">
        <v>30</v>
      </c>
      <c r="V233" s="46" t="s">
        <v>30</v>
      </c>
      <c r="W233" s="46" t="s">
        <v>30</v>
      </c>
      <c r="X233" s="46" t="s">
        <v>30</v>
      </c>
      <c r="Y233" s="46" t="s">
        <v>37</v>
      </c>
      <c r="Z233" s="46" t="s">
        <v>153</v>
      </c>
      <c r="AA233" s="46" t="s">
        <v>153</v>
      </c>
      <c r="AB233" s="46" t="s">
        <v>30</v>
      </c>
      <c r="AC233" s="46" t="s">
        <v>30</v>
      </c>
      <c r="AD233" s="46" t="s">
        <v>37</v>
      </c>
      <c r="AE233" s="46" t="s">
        <v>30</v>
      </c>
      <c r="AF233" s="46" t="s">
        <v>30</v>
      </c>
      <c r="AG233" s="46" t="s">
        <v>30</v>
      </c>
      <c r="AH233" s="46" t="s">
        <v>43</v>
      </c>
      <c r="AI233" s="46" t="s">
        <v>30</v>
      </c>
      <c r="AJ233" s="46">
        <f>=SUM(E234:AI234)</f>
      </c>
      <c r="AK233" s="46">
        <f>=+AY233</f>
      </c>
      <c r="AL233" s="46"/>
      <c r="AM233" s="1"/>
      <c r="AN233" s="1">
        <f>=COUNTIF(E233:AI233,"A")+COUNTIF(E233:AI233,"B")+COUNTIF(E233:AI233,"C")+COUNTIF(E233:AI233,"D")+COUNTIF(E233:AI233,"E")+COUNTIF(E233:AI233,"F")+COUNTIF(E233:AI233,"M")+COUNTIF(E233:AI233,"AB")+COUNTIF(E233:AI233,"UZ")+COUNTIF(E233:AI233,"G")+(COUNTIF(E233:AI233,"RT.")/2)+(COUNTIF(E233:AI233,"ÇRT.")/2)</f>
      </c>
      <c r="AO233" s="1">
        <f>=COUNTIF(E233:AI233,"O")</f>
      </c>
      <c r="AP233" s="1">
        <f>=COUNTIF(E233:AI233,"RT")+(COUNTIF(E233:AI233,"RT.")/2)</f>
      </c>
      <c r="AQ233" s="1">
        <f>=COUNTIF(E233:AI233,"ÇRT")+(COUNTIF(E233:AI233,"ÇRT.")/2)</f>
      </c>
      <c r="AR233" s="1">
        <f>=COUNTIF(E233:AI233,"ÇHT")</f>
      </c>
      <c r="AS233" s="1">
        <f>=COUNTIF(E233:AI233,"Ö")+COUNTIF(E233:AI233,"T")</f>
      </c>
      <c r="AT233" s="1">
        <f>=COUNTIF(E233:AI233,"Y")</f>
      </c>
      <c r="AU233" s="1">
        <f>=COUNTIF(E233:AI233,"R.")</f>
      </c>
      <c r="AV233" s="1">
        <f>=COUNTIF(E233:AI233,"Ü")</f>
      </c>
      <c r="AW233" s="1">
        <f>=COUNTIF(E233:AI233,"R")</f>
      </c>
      <c r="AX233" s="1">
        <f>=COUNTIF(E233:AI233,"DV")</f>
      </c>
      <c r="AY233" s="1">
        <f>=+AN233+AO233+AP233+AQ233+AR233+AS233+AT233+AU233</f>
      </c>
    </row>
    <row r="234" ht="16" customHeight="1" spans="1:51" x14ac:dyDescent="0.25">
      <c r="A234" s="45"/>
      <c r="B234" s="46"/>
      <c r="C234" s="46"/>
      <c r="D234" s="46" t="s">
        <v>33</v>
      </c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  <c r="AE234" s="46"/>
      <c r="AF234" s="46"/>
      <c r="AG234" s="46"/>
      <c r="AH234" s="46"/>
      <c r="AI234" s="46"/>
      <c r="AJ234" s="46"/>
      <c r="AK234" s="46"/>
      <c r="AL234" s="46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ht="16" customHeight="1" spans="1:51" x14ac:dyDescent="0.25">
      <c r="A235" s="45"/>
      <c r="B235" s="46" t="s">
        <v>271</v>
      </c>
      <c r="C235" s="46" t="s">
        <v>272</v>
      </c>
      <c r="D235" s="46" t="s">
        <v>29</v>
      </c>
      <c r="E235" s="46" t="s">
        <v>41</v>
      </c>
      <c r="F235" s="46" t="s">
        <v>37</v>
      </c>
      <c r="G235" s="46" t="s">
        <v>41</v>
      </c>
      <c r="H235" s="46" t="s">
        <v>41</v>
      </c>
      <c r="I235" s="46" t="s">
        <v>41</v>
      </c>
      <c r="J235" s="46" t="s">
        <v>41</v>
      </c>
      <c r="K235" s="46" t="s">
        <v>41</v>
      </c>
      <c r="L235" s="46" t="s">
        <v>41</v>
      </c>
      <c r="M235" s="46" t="s">
        <v>37</v>
      </c>
      <c r="N235" s="46" t="s">
        <v>41</v>
      </c>
      <c r="O235" s="46" t="s">
        <v>41</v>
      </c>
      <c r="P235" s="46" t="s">
        <v>41</v>
      </c>
      <c r="Q235" s="46" t="s">
        <v>41</v>
      </c>
      <c r="R235" s="46" t="s">
        <v>41</v>
      </c>
      <c r="S235" s="46" t="s">
        <v>41</v>
      </c>
      <c r="T235" s="46" t="s">
        <v>37</v>
      </c>
      <c r="U235" s="46" t="s">
        <v>41</v>
      </c>
      <c r="V235" s="46" t="s">
        <v>41</v>
      </c>
      <c r="W235" s="46" t="s">
        <v>41</v>
      </c>
      <c r="X235" s="46" t="s">
        <v>41</v>
      </c>
      <c r="Y235" s="46" t="s">
        <v>41</v>
      </c>
      <c r="Z235" s="46" t="s">
        <v>41</v>
      </c>
      <c r="AA235" s="46" t="s">
        <v>37</v>
      </c>
      <c r="AB235" s="46" t="s">
        <v>41</v>
      </c>
      <c r="AC235" s="46" t="s">
        <v>41</v>
      </c>
      <c r="AD235" s="46" t="s">
        <v>41</v>
      </c>
      <c r="AE235" s="46" t="s">
        <v>41</v>
      </c>
      <c r="AF235" s="46" t="s">
        <v>41</v>
      </c>
      <c r="AG235" s="46" t="s">
        <v>41</v>
      </c>
      <c r="AH235" s="46" t="s">
        <v>37</v>
      </c>
      <c r="AI235" s="46" t="s">
        <v>41</v>
      </c>
      <c r="AJ235" s="46">
        <f>=SUM(E236:AI236)</f>
      </c>
      <c r="AK235" s="46">
        <f>=+AY235</f>
      </c>
      <c r="AL235" s="46"/>
      <c r="AM235" s="1"/>
      <c r="AN235" s="1">
        <f>=COUNTIF(E235:AI235,"A")+COUNTIF(E235:AI235,"B")+COUNTIF(E235:AI235,"C")+COUNTIF(E235:AI235,"D")+COUNTIF(E235:AI235,"E")+COUNTIF(E235:AI235,"F")+COUNTIF(E235:AI235,"M")+COUNTIF(E235:AI235,"AB")+COUNTIF(E235:AI235,"UZ")+COUNTIF(E235:AI235,"G")+(COUNTIF(E235:AI235,"RT.")/2)+(COUNTIF(E235:AI235,"ÇRT.")/2)</f>
      </c>
      <c r="AO235" s="1">
        <f>=COUNTIF(E235:AI235,"O")</f>
      </c>
      <c r="AP235" s="1">
        <f>=COUNTIF(E235:AI235,"RT")+(COUNTIF(E235:AI235,"RT.")/2)</f>
      </c>
      <c r="AQ235" s="1">
        <f>=COUNTIF(E235:AI235,"ÇRT")+(COUNTIF(E235:AI235,"ÇRT.")/2)</f>
      </c>
      <c r="AR235" s="1">
        <f>=COUNTIF(E235:AI235,"ÇHT")</f>
      </c>
      <c r="AS235" s="1">
        <f>=COUNTIF(E235:AI235,"Ö")+COUNTIF(E235:AI235,"T")</f>
      </c>
      <c r="AT235" s="1">
        <f>=COUNTIF(E235:AI235,"Y")</f>
      </c>
      <c r="AU235" s="1">
        <f>=COUNTIF(E235:AI235,"R.")</f>
      </c>
      <c r="AV235" s="1">
        <f>=COUNTIF(E235:AI235,"Ü")</f>
      </c>
      <c r="AW235" s="1">
        <f>=COUNTIF(E235:AI235,"R")</f>
      </c>
      <c r="AX235" s="1">
        <f>=COUNTIF(E235:AI235,"DV")</f>
      </c>
      <c r="AY235" s="1">
        <f>=+AN235+AO235+AP235+AQ235+AR235+AS235+AT235+AU235</f>
      </c>
    </row>
    <row r="236" ht="16" customHeight="1" spans="1:51" x14ac:dyDescent="0.25">
      <c r="A236" s="45"/>
      <c r="B236" s="46"/>
      <c r="C236" s="46"/>
      <c r="D236" s="46" t="s">
        <v>33</v>
      </c>
      <c r="E236" s="46"/>
      <c r="F236" s="46"/>
      <c r="G236" s="46"/>
      <c r="H236" s="46">
        <v>3</v>
      </c>
      <c r="I236" s="46"/>
      <c r="J236" s="46"/>
      <c r="K236" s="46">
        <v>3</v>
      </c>
      <c r="L236" s="46"/>
      <c r="M236" s="46"/>
      <c r="N236" s="46"/>
      <c r="O236" s="46">
        <v>3</v>
      </c>
      <c r="P236" s="46"/>
      <c r="Q236" s="46"/>
      <c r="R236" s="46">
        <v>3</v>
      </c>
      <c r="S236" s="46"/>
      <c r="T236" s="46"/>
      <c r="U236" s="46"/>
      <c r="V236" s="46">
        <v>3</v>
      </c>
      <c r="W236" s="46"/>
      <c r="X236" s="46"/>
      <c r="Y236" s="46">
        <v>3</v>
      </c>
      <c r="Z236" s="46"/>
      <c r="AA236" s="46"/>
      <c r="AB236" s="46"/>
      <c r="AC236" s="46">
        <v>3</v>
      </c>
      <c r="AD236" s="46"/>
      <c r="AE236" s="46"/>
      <c r="AF236" s="46">
        <v>3</v>
      </c>
      <c r="AG236" s="46"/>
      <c r="AH236" s="46"/>
      <c r="AI236" s="46"/>
      <c r="AJ236" s="46"/>
      <c r="AK236" s="46"/>
      <c r="AL236" s="46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ht="16" customHeight="1" spans="1:51" x14ac:dyDescent="0.25">
      <c r="A237" s="45"/>
      <c r="B237" s="46" t="s">
        <v>273</v>
      </c>
      <c r="C237" s="46" t="s">
        <v>274</v>
      </c>
      <c r="D237" s="46" t="s">
        <v>29</v>
      </c>
      <c r="E237" s="46" t="s">
        <v>36</v>
      </c>
      <c r="F237" s="46" t="s">
        <v>36</v>
      </c>
      <c r="G237" s="46" t="s">
        <v>37</v>
      </c>
      <c r="H237" s="46" t="s">
        <v>36</v>
      </c>
      <c r="I237" s="46" t="s">
        <v>36</v>
      </c>
      <c r="J237" s="46" t="s">
        <v>36</v>
      </c>
      <c r="K237" s="46" t="s">
        <v>36</v>
      </c>
      <c r="L237" s="46" t="s">
        <v>36</v>
      </c>
      <c r="M237" s="46" t="s">
        <v>36</v>
      </c>
      <c r="N237" s="46" t="s">
        <v>37</v>
      </c>
      <c r="O237" s="46" t="s">
        <v>41</v>
      </c>
      <c r="P237" s="46" t="s">
        <v>42</v>
      </c>
      <c r="Q237" s="46" t="s">
        <v>36</v>
      </c>
      <c r="R237" s="46" t="s">
        <v>36</v>
      </c>
      <c r="S237" s="46" t="s">
        <v>36</v>
      </c>
      <c r="T237" s="46" t="s">
        <v>36</v>
      </c>
      <c r="U237" s="46" t="s">
        <v>37</v>
      </c>
      <c r="V237" s="46" t="s">
        <v>41</v>
      </c>
      <c r="W237" s="46" t="s">
        <v>41</v>
      </c>
      <c r="X237" s="46" t="s">
        <v>41</v>
      </c>
      <c r="Y237" s="46" t="s">
        <v>41</v>
      </c>
      <c r="Z237" s="46" t="s">
        <v>41</v>
      </c>
      <c r="AA237" s="46" t="s">
        <v>41</v>
      </c>
      <c r="AB237" s="46" t="s">
        <v>37</v>
      </c>
      <c r="AC237" s="46" t="s">
        <v>41</v>
      </c>
      <c r="AD237" s="46" t="s">
        <v>41</v>
      </c>
      <c r="AE237" s="46" t="s">
        <v>41</v>
      </c>
      <c r="AF237" s="46" t="s">
        <v>41</v>
      </c>
      <c r="AG237" s="46" t="s">
        <v>41</v>
      </c>
      <c r="AH237" s="46" t="s">
        <v>43</v>
      </c>
      <c r="AI237" s="46" t="s">
        <v>37</v>
      </c>
      <c r="AJ237" s="46">
        <f>=SUM(E238:AI238)</f>
      </c>
      <c r="AK237" s="46">
        <f>=+AY237</f>
      </c>
      <c r="AL237" s="46"/>
      <c r="AM237" s="1"/>
      <c r="AN237" s="1">
        <f>=COUNTIF(E237:AI237,"A")+COUNTIF(E237:AI237,"B")+COUNTIF(E237:AI237,"C")+COUNTIF(E237:AI237,"D")+COUNTIF(E237:AI237,"E")+COUNTIF(E237:AI237,"F")+COUNTIF(E237:AI237,"M")+COUNTIF(E237:AI237,"AB")+COUNTIF(E237:AI237,"UZ")+COUNTIF(E237:AI237,"G")+(COUNTIF(E237:AI237,"RT.")/2)+(COUNTIF(E237:AI237,"ÇRT.")/2)</f>
      </c>
      <c r="AO237" s="1">
        <f>=COUNTIF(E237:AI237,"O")</f>
      </c>
      <c r="AP237" s="1">
        <f>=COUNTIF(E237:AI237,"RT")+(COUNTIF(E237:AI237,"RT.")/2)</f>
      </c>
      <c r="AQ237" s="1">
        <f>=COUNTIF(E237:AI237,"ÇRT")+(COUNTIF(E237:AI237,"ÇRT.")/2)</f>
      </c>
      <c r="AR237" s="1">
        <f>=COUNTIF(E237:AI237,"ÇHT")</f>
      </c>
      <c r="AS237" s="1">
        <f>=COUNTIF(E237:AI237,"Ö")+COUNTIF(E237:AI237,"T")</f>
      </c>
      <c r="AT237" s="1">
        <f>=COUNTIF(E237:AI237,"Y")</f>
      </c>
      <c r="AU237" s="1">
        <f>=COUNTIF(E237:AI237,"R.")</f>
      </c>
      <c r="AV237" s="1">
        <f>=COUNTIF(E237:AI237,"Ü")</f>
      </c>
      <c r="AW237" s="1">
        <f>=COUNTIF(E237:AI237,"R")</f>
      </c>
      <c r="AX237" s="1">
        <f>=COUNTIF(E237:AI237,"DV")</f>
      </c>
      <c r="AY237" s="1">
        <f>=+AN237+AO237+AP237+AQ237+AR237+AS237+AT237+AU237</f>
      </c>
    </row>
    <row r="238" ht="16" customHeight="1" spans="1:51" x14ac:dyDescent="0.25">
      <c r="A238" s="45"/>
      <c r="B238" s="46"/>
      <c r="C238" s="46"/>
      <c r="D238" s="46" t="s">
        <v>33</v>
      </c>
      <c r="E238" s="46"/>
      <c r="F238" s="46"/>
      <c r="G238" s="46"/>
      <c r="H238" s="46"/>
      <c r="I238" s="46"/>
      <c r="J238" s="46"/>
      <c r="K238" s="46"/>
      <c r="L238" s="46">
        <v>2</v>
      </c>
      <c r="M238" s="46">
        <v>2</v>
      </c>
      <c r="N238" s="46"/>
      <c r="O238" s="46"/>
      <c r="P238" s="46"/>
      <c r="Q238" s="46">
        <v>2</v>
      </c>
      <c r="R238" s="46">
        <v>2</v>
      </c>
      <c r="S238" s="46">
        <v>2</v>
      </c>
      <c r="T238" s="46">
        <v>2</v>
      </c>
      <c r="U238" s="46"/>
      <c r="V238" s="46"/>
      <c r="W238" s="46"/>
      <c r="X238" s="46">
        <v>2</v>
      </c>
      <c r="Y238" s="46">
        <v>2</v>
      </c>
      <c r="Z238" s="46">
        <v>2</v>
      </c>
      <c r="AA238" s="46">
        <v>2</v>
      </c>
      <c r="AB238" s="46"/>
      <c r="AC238" s="46"/>
      <c r="AD238" s="46"/>
      <c r="AE238" s="46">
        <v>2</v>
      </c>
      <c r="AF238" s="46">
        <v>2</v>
      </c>
      <c r="AG238" s="46">
        <v>2</v>
      </c>
      <c r="AH238" s="46">
        <v>2</v>
      </c>
      <c r="AI238" s="46"/>
      <c r="AJ238" s="46"/>
      <c r="AK238" s="46"/>
      <c r="AL238" s="46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ht="16" customHeight="1" spans="1:51" x14ac:dyDescent="0.25">
      <c r="A239" s="45"/>
      <c r="B239" s="46" t="s">
        <v>275</v>
      </c>
      <c r="C239" s="46" t="s">
        <v>276</v>
      </c>
      <c r="D239" s="46" t="s">
        <v>29</v>
      </c>
      <c r="E239" s="46" t="s">
        <v>41</v>
      </c>
      <c r="F239" s="46" t="s">
        <v>41</v>
      </c>
      <c r="G239" s="46" t="s">
        <v>41</v>
      </c>
      <c r="H239" s="46" t="s">
        <v>37</v>
      </c>
      <c r="I239" s="46" t="s">
        <v>41</v>
      </c>
      <c r="J239" s="46" t="s">
        <v>41</v>
      </c>
      <c r="K239" s="46" t="s">
        <v>41</v>
      </c>
      <c r="L239" s="46" t="s">
        <v>41</v>
      </c>
      <c r="M239" s="46" t="s">
        <v>41</v>
      </c>
      <c r="N239" s="46" t="s">
        <v>41</v>
      </c>
      <c r="O239" s="46" t="s">
        <v>37</v>
      </c>
      <c r="P239" s="46" t="s">
        <v>41</v>
      </c>
      <c r="Q239" s="46" t="s">
        <v>41</v>
      </c>
      <c r="R239" s="46" t="s">
        <v>41</v>
      </c>
      <c r="S239" s="46" t="s">
        <v>41</v>
      </c>
      <c r="T239" s="46" t="s">
        <v>41</v>
      </c>
      <c r="U239" s="46" t="s">
        <v>41</v>
      </c>
      <c r="V239" s="46" t="s">
        <v>37</v>
      </c>
      <c r="W239" s="46" t="s">
        <v>41</v>
      </c>
      <c r="X239" s="46" t="s">
        <v>41</v>
      </c>
      <c r="Y239" s="46" t="s">
        <v>41</v>
      </c>
      <c r="Z239" s="46" t="s">
        <v>41</v>
      </c>
      <c r="AA239" s="46" t="s">
        <v>41</v>
      </c>
      <c r="AB239" s="46" t="s">
        <v>42</v>
      </c>
      <c r="AC239" s="46" t="s">
        <v>37</v>
      </c>
      <c r="AD239" s="46" t="s">
        <v>31</v>
      </c>
      <c r="AE239" s="46" t="s">
        <v>31</v>
      </c>
      <c r="AF239" s="46" t="s">
        <v>31</v>
      </c>
      <c r="AG239" s="46" t="s">
        <v>31</v>
      </c>
      <c r="AH239" s="46" t="s">
        <v>154</v>
      </c>
      <c r="AI239" s="46" t="s">
        <v>153</v>
      </c>
      <c r="AJ239" s="46">
        <f>=SUM(E240:AI240)</f>
      </c>
      <c r="AK239" s="46">
        <f>=+AY239</f>
      </c>
      <c r="AL239" s="46"/>
      <c r="AM239" s="1"/>
      <c r="AN239" s="1">
        <f>=COUNTIF(E239:AI239,"A")+COUNTIF(E239:AI239,"B")+COUNTIF(E239:AI239,"C")+COUNTIF(E239:AI239,"D")+COUNTIF(E239:AI239,"E")+COUNTIF(E239:AI239,"F")+COUNTIF(E239:AI239,"M")+COUNTIF(E239:AI239,"AB")+COUNTIF(E239:AI239,"UZ")+COUNTIF(E239:AI239,"G")+(COUNTIF(E239:AI239,"RT.")/2)+(COUNTIF(E239:AI239,"ÇRT.")/2)</f>
      </c>
      <c r="AO239" s="1">
        <f>=COUNTIF(E239:AI239,"O")</f>
      </c>
      <c r="AP239" s="1">
        <f>=COUNTIF(E239:AI239,"RT")+(COUNTIF(E239:AI239,"RT.")/2)</f>
      </c>
      <c r="AQ239" s="1">
        <f>=COUNTIF(E239:AI239,"ÇRT")+(COUNTIF(E239:AI239,"ÇRT.")/2)</f>
      </c>
      <c r="AR239" s="1">
        <f>=COUNTIF(E239:AI239,"ÇHT")</f>
      </c>
      <c r="AS239" s="1">
        <f>=COUNTIF(E239:AI239,"Ö")+COUNTIF(E239:AI239,"T")</f>
      </c>
      <c r="AT239" s="1">
        <f>=COUNTIF(E239:AI239,"Y")</f>
      </c>
      <c r="AU239" s="1">
        <f>=COUNTIF(E239:AI239,"R.")</f>
      </c>
      <c r="AV239" s="1">
        <f>=COUNTIF(E239:AI239,"Ü")</f>
      </c>
      <c r="AW239" s="1">
        <f>=COUNTIF(E239:AI239,"R")</f>
      </c>
      <c r="AX239" s="1">
        <f>=COUNTIF(E239:AI239,"DV")</f>
      </c>
      <c r="AY239" s="1">
        <f>=+AN239+AO239+AP239+AQ239+AR239+AS239+AT239+AU239</f>
      </c>
    </row>
    <row r="240" ht="16" customHeight="1" spans="1:51" x14ac:dyDescent="0.25">
      <c r="A240" s="45"/>
      <c r="B240" s="46"/>
      <c r="C240" s="46"/>
      <c r="D240" s="46" t="s">
        <v>33</v>
      </c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  <c r="AC240" s="46"/>
      <c r="AD240" s="46"/>
      <c r="AE240" s="46"/>
      <c r="AF240" s="46"/>
      <c r="AG240" s="46"/>
      <c r="AH240" s="46"/>
      <c r="AI240" s="46"/>
      <c r="AJ240" s="46"/>
      <c r="AK240" s="46"/>
      <c r="AL240" s="46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ht="16" customHeight="1" spans="1:51" x14ac:dyDescent="0.25">
      <c r="A241" s="45"/>
      <c r="B241" s="46" t="s">
        <v>277</v>
      </c>
      <c r="C241" s="46" t="s">
        <v>278</v>
      </c>
      <c r="D241" s="46" t="s">
        <v>29</v>
      </c>
      <c r="E241" s="46" t="s">
        <v>41</v>
      </c>
      <c r="F241" s="46" t="s">
        <v>37</v>
      </c>
      <c r="G241" s="46" t="s">
        <v>41</v>
      </c>
      <c r="H241" s="46" t="s">
        <v>41</v>
      </c>
      <c r="I241" s="46" t="s">
        <v>41</v>
      </c>
      <c r="J241" s="46" t="s">
        <v>41</v>
      </c>
      <c r="K241" s="46" t="s">
        <v>41</v>
      </c>
      <c r="L241" s="46" t="s">
        <v>41</v>
      </c>
      <c r="M241" s="46" t="s">
        <v>37</v>
      </c>
      <c r="N241" s="46" t="s">
        <v>41</v>
      </c>
      <c r="O241" s="46" t="s">
        <v>41</v>
      </c>
      <c r="P241" s="46" t="s">
        <v>41</v>
      </c>
      <c r="Q241" s="46" t="s">
        <v>41</v>
      </c>
      <c r="R241" s="46" t="s">
        <v>41</v>
      </c>
      <c r="S241" s="46" t="s">
        <v>41</v>
      </c>
      <c r="T241" s="46" t="s">
        <v>37</v>
      </c>
      <c r="U241" s="46" t="s">
        <v>41</v>
      </c>
      <c r="V241" s="46" t="s">
        <v>41</v>
      </c>
      <c r="W241" s="46" t="s">
        <v>41</v>
      </c>
      <c r="X241" s="46" t="s">
        <v>41</v>
      </c>
      <c r="Y241" s="46" t="s">
        <v>41</v>
      </c>
      <c r="Z241" s="46" t="s">
        <v>41</v>
      </c>
      <c r="AA241" s="46" t="s">
        <v>37</v>
      </c>
      <c r="AB241" s="46" t="s">
        <v>41</v>
      </c>
      <c r="AC241" s="46" t="s">
        <v>41</v>
      </c>
      <c r="AD241" s="46" t="s">
        <v>41</v>
      </c>
      <c r="AE241" s="46" t="s">
        <v>41</v>
      </c>
      <c r="AF241" s="46" t="s">
        <v>41</v>
      </c>
      <c r="AG241" s="46" t="s">
        <v>41</v>
      </c>
      <c r="AH241" s="46" t="s">
        <v>37</v>
      </c>
      <c r="AI241" s="46" t="s">
        <v>41</v>
      </c>
      <c r="AJ241" s="46">
        <f>=SUM(E242:AI242)</f>
      </c>
      <c r="AK241" s="46">
        <f>=+AY241</f>
      </c>
      <c r="AL241" s="46"/>
      <c r="AM241" s="1"/>
      <c r="AN241" s="1">
        <f>=COUNTIF(E241:AI241,"A")+COUNTIF(E241:AI241,"B")+COUNTIF(E241:AI241,"C")+COUNTIF(E241:AI241,"D")+COUNTIF(E241:AI241,"E")+COUNTIF(E241:AI241,"F")+COUNTIF(E241:AI241,"M")+COUNTIF(E241:AI241,"AB")+COUNTIF(E241:AI241,"UZ")+COUNTIF(E241:AI241,"G")+(COUNTIF(E241:AI241,"RT.")/2)+(COUNTIF(E241:AI241,"ÇRT.")/2)</f>
      </c>
      <c r="AO241" s="1">
        <f>=COUNTIF(E241:AI241,"O")</f>
      </c>
      <c r="AP241" s="1">
        <f>=COUNTIF(E241:AI241,"RT")+(COUNTIF(E241:AI241,"RT.")/2)</f>
      </c>
      <c r="AQ241" s="1">
        <f>=COUNTIF(E241:AI241,"ÇRT")+(COUNTIF(E241:AI241,"ÇRT.")/2)</f>
      </c>
      <c r="AR241" s="1">
        <f>=COUNTIF(E241:AI241,"ÇHT")</f>
      </c>
      <c r="AS241" s="1">
        <f>=COUNTIF(E241:AI241,"Ö")+COUNTIF(E241:AI241,"T")</f>
      </c>
      <c r="AT241" s="1">
        <f>=COUNTIF(E241:AI241,"Y")</f>
      </c>
      <c r="AU241" s="1">
        <f>=COUNTIF(E241:AI241,"R.")</f>
      </c>
      <c r="AV241" s="1">
        <f>=COUNTIF(E241:AI241,"Ü")</f>
      </c>
      <c r="AW241" s="1">
        <f>=COUNTIF(E241:AI241,"R")</f>
      </c>
      <c r="AX241" s="1">
        <f>=COUNTIF(E241:AI241,"DV")</f>
      </c>
      <c r="AY241" s="1">
        <f>=+AN241+AO241+AP241+AQ241+AR241+AS241+AT241+AU241</f>
      </c>
    </row>
    <row r="242" ht="16" customHeight="1" spans="1:51" x14ac:dyDescent="0.25">
      <c r="A242" s="45"/>
      <c r="B242" s="46"/>
      <c r="C242" s="46"/>
      <c r="D242" s="46" t="s">
        <v>33</v>
      </c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  <c r="AC242" s="46"/>
      <c r="AD242" s="46"/>
      <c r="AE242" s="46"/>
      <c r="AF242" s="46"/>
      <c r="AG242" s="46"/>
      <c r="AH242" s="46"/>
      <c r="AI242" s="46"/>
      <c r="AJ242" s="46"/>
      <c r="AK242" s="46"/>
      <c r="AL242" s="46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ht="16" customHeight="1" spans="1:51" x14ac:dyDescent="0.25">
      <c r="A243" s="45"/>
      <c r="B243" s="46" t="s">
        <v>279</v>
      </c>
      <c r="C243" s="46" t="s">
        <v>280</v>
      </c>
      <c r="D243" s="46" t="s">
        <v>29</v>
      </c>
      <c r="E243" s="46" t="s">
        <v>42</v>
      </c>
      <c r="F243" s="46" t="s">
        <v>42</v>
      </c>
      <c r="G243" s="46" t="s">
        <v>42</v>
      </c>
      <c r="H243" s="46" t="s">
        <v>42</v>
      </c>
      <c r="I243" s="46" t="s">
        <v>37</v>
      </c>
      <c r="J243" s="46" t="s">
        <v>42</v>
      </c>
      <c r="K243" s="46" t="s">
        <v>42</v>
      </c>
      <c r="L243" s="46" t="s">
        <v>42</v>
      </c>
      <c r="M243" s="46" t="s">
        <v>42</v>
      </c>
      <c r="N243" s="46" t="s">
        <v>42</v>
      </c>
      <c r="O243" s="46" t="s">
        <v>42</v>
      </c>
      <c r="P243" s="46" t="s">
        <v>37</v>
      </c>
      <c r="Q243" s="46" t="s">
        <v>42</v>
      </c>
      <c r="R243" s="46" t="s">
        <v>42</v>
      </c>
      <c r="S243" s="46" t="s">
        <v>42</v>
      </c>
      <c r="T243" s="46" t="s">
        <v>42</v>
      </c>
      <c r="U243" s="46" t="s">
        <v>42</v>
      </c>
      <c r="V243" s="46" t="s">
        <v>42</v>
      </c>
      <c r="W243" s="46" t="s">
        <v>37</v>
      </c>
      <c r="X243" s="46" t="s">
        <v>42</v>
      </c>
      <c r="Y243" s="46" t="s">
        <v>42</v>
      </c>
      <c r="Z243" s="46" t="s">
        <v>42</v>
      </c>
      <c r="AA243" s="46" t="s">
        <v>42</v>
      </c>
      <c r="AB243" s="46" t="s">
        <v>42</v>
      </c>
      <c r="AC243" s="46" t="s">
        <v>42</v>
      </c>
      <c r="AD243" s="46" t="s">
        <v>42</v>
      </c>
      <c r="AE243" s="46" t="s">
        <v>42</v>
      </c>
      <c r="AF243" s="46" t="s">
        <v>42</v>
      </c>
      <c r="AG243" s="46" t="s">
        <v>37</v>
      </c>
      <c r="AH243" s="46" t="s">
        <v>43</v>
      </c>
      <c r="AI243" s="46" t="s">
        <v>42</v>
      </c>
      <c r="AJ243" s="46">
        <f>=SUM(E244:AI244)</f>
      </c>
      <c r="AK243" s="46">
        <f>=+AY243</f>
      </c>
      <c r="AL243" s="46"/>
      <c r="AM243" s="1"/>
      <c r="AN243" s="1">
        <f>=COUNTIF(E243:AI243,"A")+COUNTIF(E243:AI243,"B")+COUNTIF(E243:AI243,"C")+COUNTIF(E243:AI243,"D")+COUNTIF(E243:AI243,"E")+COUNTIF(E243:AI243,"F")+COUNTIF(E243:AI243,"M")+COUNTIF(E243:AI243,"AB")+COUNTIF(E243:AI243,"UZ")+COUNTIF(E243:AI243,"G")+(COUNTIF(E243:AI243,"RT.")/2)+(COUNTIF(E243:AI243,"ÇRT.")/2)</f>
      </c>
      <c r="AO243" s="1">
        <f>=COUNTIF(E243:AI243,"O")</f>
      </c>
      <c r="AP243" s="1">
        <f>=COUNTIF(E243:AI243,"RT")+(COUNTIF(E243:AI243,"RT.")/2)</f>
      </c>
      <c r="AQ243" s="1">
        <f>=COUNTIF(E243:AI243,"ÇRT")+(COUNTIF(E243:AI243,"ÇRT.")/2)</f>
      </c>
      <c r="AR243" s="1">
        <f>=COUNTIF(E243:AI243,"ÇHT")</f>
      </c>
      <c r="AS243" s="1">
        <f>=COUNTIF(E243:AI243,"Ö")+COUNTIF(E243:AI243,"T")</f>
      </c>
      <c r="AT243" s="1">
        <f>=COUNTIF(E243:AI243,"Y")</f>
      </c>
      <c r="AU243" s="1">
        <f>=COUNTIF(E243:AI243,"R.")</f>
      </c>
      <c r="AV243" s="1">
        <f>=COUNTIF(E243:AI243,"Ü")</f>
      </c>
      <c r="AW243" s="1">
        <f>=COUNTIF(E243:AI243,"R")</f>
      </c>
      <c r="AX243" s="1">
        <f>=COUNTIF(E243:AI243,"DV")</f>
      </c>
      <c r="AY243" s="1">
        <f>=+AN243+AO243+AP243+AQ243+AR243+AS243+AT243+AU243</f>
      </c>
    </row>
    <row r="244" ht="16" customHeight="1" spans="1:51" x14ac:dyDescent="0.25">
      <c r="A244" s="45"/>
      <c r="B244" s="46"/>
      <c r="C244" s="46"/>
      <c r="D244" s="46" t="s">
        <v>33</v>
      </c>
      <c r="E244" s="46"/>
      <c r="F244" s="46"/>
      <c r="G244" s="46">
        <v>1</v>
      </c>
      <c r="H244" s="46">
        <v>1</v>
      </c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  <c r="AD244" s="46"/>
      <c r="AE244" s="46">
        <v>3</v>
      </c>
      <c r="AF244" s="46"/>
      <c r="AG244" s="46"/>
      <c r="AH244" s="46"/>
      <c r="AI244" s="46"/>
      <c r="AJ244" s="46"/>
      <c r="AK244" s="46"/>
      <c r="AL244" s="46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ht="16" customHeight="1" spans="1:51" x14ac:dyDescent="0.25">
      <c r="A245" s="45"/>
      <c r="B245" s="46" t="s">
        <v>281</v>
      </c>
      <c r="C245" s="46" t="s">
        <v>282</v>
      </c>
      <c r="D245" s="46" t="s">
        <v>29</v>
      </c>
      <c r="E245" s="46" t="s">
        <v>59</v>
      </c>
      <c r="F245" s="46" t="s">
        <v>37</v>
      </c>
      <c r="G245" s="46" t="s">
        <v>36</v>
      </c>
      <c r="H245" s="46" t="s">
        <v>36</v>
      </c>
      <c r="I245" s="46" t="s">
        <v>36</v>
      </c>
      <c r="J245" s="46" t="s">
        <v>36</v>
      </c>
      <c r="K245" s="46" t="s">
        <v>36</v>
      </c>
      <c r="L245" s="46" t="s">
        <v>36</v>
      </c>
      <c r="M245" s="46" t="s">
        <v>37</v>
      </c>
      <c r="N245" s="46" t="s">
        <v>36</v>
      </c>
      <c r="O245" s="46" t="s">
        <v>36</v>
      </c>
      <c r="P245" s="46" t="s">
        <v>36</v>
      </c>
      <c r="Q245" s="46" t="s">
        <v>36</v>
      </c>
      <c r="R245" s="46" t="s">
        <v>36</v>
      </c>
      <c r="S245" s="46" t="s">
        <v>36</v>
      </c>
      <c r="T245" s="46" t="s">
        <v>37</v>
      </c>
      <c r="U245" s="46" t="s">
        <v>36</v>
      </c>
      <c r="V245" s="46" t="s">
        <v>36</v>
      </c>
      <c r="W245" s="46" t="s">
        <v>36</v>
      </c>
      <c r="X245" s="46" t="s">
        <v>36</v>
      </c>
      <c r="Y245" s="46" t="s">
        <v>36</v>
      </c>
      <c r="Z245" s="46" t="s">
        <v>36</v>
      </c>
      <c r="AA245" s="46" t="s">
        <v>37</v>
      </c>
      <c r="AB245" s="46" t="s">
        <v>36</v>
      </c>
      <c r="AC245" s="46" t="s">
        <v>36</v>
      </c>
      <c r="AD245" s="46" t="s">
        <v>36</v>
      </c>
      <c r="AE245" s="46" t="s">
        <v>36</v>
      </c>
      <c r="AF245" s="46" t="s">
        <v>36</v>
      </c>
      <c r="AG245" s="46" t="s">
        <v>36</v>
      </c>
      <c r="AH245" s="46" t="s">
        <v>37</v>
      </c>
      <c r="AI245" s="46" t="s">
        <v>36</v>
      </c>
      <c r="AJ245" s="46">
        <f>=SUM(E246:AI246)</f>
      </c>
      <c r="AK245" s="46">
        <f>=+AY245</f>
      </c>
      <c r="AL245" s="46"/>
      <c r="AM245" s="1"/>
      <c r="AN245" s="1">
        <f>=COUNTIF(E245:AI245,"A")+COUNTIF(E245:AI245,"B")+COUNTIF(E245:AI245,"C")+COUNTIF(E245:AI245,"D")+COUNTIF(E245:AI245,"E")+COUNTIF(E245:AI245,"F")+COUNTIF(E245:AI245,"M")+COUNTIF(E245:AI245,"AB")+COUNTIF(E245:AI245,"UZ")+COUNTIF(E245:AI245,"G")+(COUNTIF(E245:AI245,"RT.")/2)+(COUNTIF(E245:AI245,"ÇRT.")/2)</f>
      </c>
      <c r="AO245" s="1">
        <f>=COUNTIF(E245:AI245,"O")</f>
      </c>
      <c r="AP245" s="1">
        <f>=COUNTIF(E245:AI245,"RT")+(COUNTIF(E245:AI245,"RT.")/2)</f>
      </c>
      <c r="AQ245" s="1">
        <f>=COUNTIF(E245:AI245,"ÇRT")+(COUNTIF(E245:AI245,"ÇRT.")/2)</f>
      </c>
      <c r="AR245" s="1">
        <f>=COUNTIF(E245:AI245,"ÇHT")</f>
      </c>
      <c r="AS245" s="1">
        <f>=COUNTIF(E245:AI245,"Ö")+COUNTIF(E245:AI245,"T")</f>
      </c>
      <c r="AT245" s="1">
        <f>=COUNTIF(E245:AI245,"Y")</f>
      </c>
      <c r="AU245" s="1">
        <f>=COUNTIF(E245:AI245,"R.")</f>
      </c>
      <c r="AV245" s="1">
        <f>=COUNTIF(E245:AI245,"Ü")</f>
      </c>
      <c r="AW245" s="1">
        <f>=COUNTIF(E245:AI245,"R")</f>
      </c>
      <c r="AX245" s="1">
        <f>=COUNTIF(E245:AI245,"DV")</f>
      </c>
      <c r="AY245" s="1">
        <f>=+AN245+AO245+AP245+AQ245+AR245+AS245+AT245+AU245</f>
      </c>
    </row>
    <row r="246" ht="16" customHeight="1" spans="1:51" x14ac:dyDescent="0.25">
      <c r="A246" s="45"/>
      <c r="B246" s="46"/>
      <c r="C246" s="46"/>
      <c r="D246" s="46" t="s">
        <v>33</v>
      </c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  <c r="AF246" s="46">
        <v>2</v>
      </c>
      <c r="AG246" s="46"/>
      <c r="AH246" s="46"/>
      <c r="AI246" s="46"/>
      <c r="AJ246" s="46"/>
      <c r="AK246" s="46"/>
      <c r="AL246" s="46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ht="16" customHeight="1" spans="1:51" x14ac:dyDescent="0.25">
      <c r="A247" s="45"/>
      <c r="B247" s="46" t="s">
        <v>283</v>
      </c>
      <c r="C247" s="46" t="s">
        <v>284</v>
      </c>
      <c r="D247" s="46" t="s">
        <v>29</v>
      </c>
      <c r="E247" s="46" t="s">
        <v>37</v>
      </c>
      <c r="F247" s="46" t="s">
        <v>36</v>
      </c>
      <c r="G247" s="46" t="s">
        <v>36</v>
      </c>
      <c r="H247" s="46" t="s">
        <v>36</v>
      </c>
      <c r="I247" s="46" t="s">
        <v>36</v>
      </c>
      <c r="J247" s="46" t="s">
        <v>36</v>
      </c>
      <c r="K247" s="46" t="s">
        <v>37</v>
      </c>
      <c r="L247" s="46" t="s">
        <v>31</v>
      </c>
      <c r="M247" s="46" t="s">
        <v>36</v>
      </c>
      <c r="N247" s="46" t="s">
        <v>36</v>
      </c>
      <c r="O247" s="46" t="s">
        <v>36</v>
      </c>
      <c r="P247" s="46" t="s">
        <v>36</v>
      </c>
      <c r="Q247" s="46" t="s">
        <v>36</v>
      </c>
      <c r="R247" s="46" t="s">
        <v>36</v>
      </c>
      <c r="S247" s="46" t="s">
        <v>37</v>
      </c>
      <c r="T247" s="46" t="s">
        <v>36</v>
      </c>
      <c r="U247" s="46" t="s">
        <v>36</v>
      </c>
      <c r="V247" s="46" t="s">
        <v>36</v>
      </c>
      <c r="W247" s="46" t="s">
        <v>36</v>
      </c>
      <c r="X247" s="46" t="s">
        <v>36</v>
      </c>
      <c r="Y247" s="46" t="s">
        <v>36</v>
      </c>
      <c r="Z247" s="46" t="s">
        <v>37</v>
      </c>
      <c r="AA247" s="46" t="s">
        <v>36</v>
      </c>
      <c r="AB247" s="46" t="s">
        <v>36</v>
      </c>
      <c r="AC247" s="46" t="s">
        <v>36</v>
      </c>
      <c r="AD247" s="46" t="s">
        <v>31</v>
      </c>
      <c r="AE247" s="46" t="s">
        <v>31</v>
      </c>
      <c r="AF247" s="46" t="s">
        <v>32</v>
      </c>
      <c r="AG247" s="46" t="s">
        <v>32</v>
      </c>
      <c r="AH247" s="46" t="s">
        <v>32</v>
      </c>
      <c r="AI247" s="46" t="s">
        <v>36</v>
      </c>
      <c r="AJ247" s="46">
        <f>=SUM(E248:AI248)</f>
      </c>
      <c r="AK247" s="46">
        <f>=+AY247</f>
      </c>
      <c r="AL247" s="46"/>
      <c r="AM247" s="1"/>
      <c r="AN247" s="1">
        <f>=COUNTIF(E247:AI247,"A")+COUNTIF(E247:AI247,"B")+COUNTIF(E247:AI247,"C")+COUNTIF(E247:AI247,"D")+COUNTIF(E247:AI247,"E")+COUNTIF(E247:AI247,"F")+COUNTIF(E247:AI247,"M")+COUNTIF(E247:AI247,"AB")+COUNTIF(E247:AI247,"UZ")+COUNTIF(E247:AI247,"G")+(COUNTIF(E247:AI247,"RT.")/2)+(COUNTIF(E247:AI247,"ÇRT.")/2)</f>
      </c>
      <c r="AO247" s="1">
        <f>=COUNTIF(E247:AI247,"O")</f>
      </c>
      <c r="AP247" s="1">
        <f>=COUNTIF(E247:AI247,"RT")+(COUNTIF(E247:AI247,"RT.")/2)</f>
      </c>
      <c r="AQ247" s="1">
        <f>=COUNTIF(E247:AI247,"ÇRT")+(COUNTIF(E247:AI247,"ÇRT.")/2)</f>
      </c>
      <c r="AR247" s="1">
        <f>=COUNTIF(E247:AI247,"ÇHT")</f>
      </c>
      <c r="AS247" s="1">
        <f>=COUNTIF(E247:AI247,"Ö")+COUNTIF(E247:AI247,"T")</f>
      </c>
      <c r="AT247" s="1">
        <f>=COUNTIF(E247:AI247,"Y")</f>
      </c>
      <c r="AU247" s="1">
        <f>=COUNTIF(E247:AI247,"R.")</f>
      </c>
      <c r="AV247" s="1">
        <f>=COUNTIF(E247:AI247,"Ü")</f>
      </c>
      <c r="AW247" s="1">
        <f>=COUNTIF(E247:AI247,"R")</f>
      </c>
      <c r="AX247" s="1">
        <f>=COUNTIF(E247:AI247,"DV")</f>
      </c>
      <c r="AY247" s="1">
        <f>=+AN247+AO247+AP247+AQ247+AR247+AS247+AT247+AU247</f>
      </c>
    </row>
    <row r="248" ht="16" customHeight="1" spans="1:51" x14ac:dyDescent="0.25">
      <c r="A248" s="45"/>
      <c r="B248" s="46"/>
      <c r="C248" s="46"/>
      <c r="D248" s="46" t="s">
        <v>33</v>
      </c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  <c r="AD248" s="46"/>
      <c r="AE248" s="46"/>
      <c r="AF248" s="46"/>
      <c r="AG248" s="46"/>
      <c r="AH248" s="46"/>
      <c r="AI248" s="46"/>
      <c r="AJ248" s="46"/>
      <c r="AK248" s="46"/>
      <c r="AL248" s="46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ht="16" customHeight="1" spans="1:51" x14ac:dyDescent="0.25">
      <c r="A249" s="45"/>
      <c r="B249" s="46" t="s">
        <v>285</v>
      </c>
      <c r="C249" s="46" t="s">
        <v>286</v>
      </c>
      <c r="D249" s="46" t="s">
        <v>29</v>
      </c>
      <c r="E249" s="46" t="s">
        <v>36</v>
      </c>
      <c r="F249" s="46" t="s">
        <v>37</v>
      </c>
      <c r="G249" s="46" t="s">
        <v>36</v>
      </c>
      <c r="H249" s="46" t="s">
        <v>36</v>
      </c>
      <c r="I249" s="46" t="s">
        <v>36</v>
      </c>
      <c r="J249" s="46" t="s">
        <v>36</v>
      </c>
      <c r="K249" s="46" t="s">
        <v>36</v>
      </c>
      <c r="L249" s="46" t="s">
        <v>36</v>
      </c>
      <c r="M249" s="46" t="s">
        <v>37</v>
      </c>
      <c r="N249" s="46" t="s">
        <v>36</v>
      </c>
      <c r="O249" s="46" t="s">
        <v>36</v>
      </c>
      <c r="P249" s="46" t="s">
        <v>36</v>
      </c>
      <c r="Q249" s="46" t="s">
        <v>36</v>
      </c>
      <c r="R249" s="46" t="s">
        <v>36</v>
      </c>
      <c r="S249" s="46" t="s">
        <v>36</v>
      </c>
      <c r="T249" s="46" t="s">
        <v>37</v>
      </c>
      <c r="U249" s="46" t="s">
        <v>36</v>
      </c>
      <c r="V249" s="46" t="s">
        <v>36</v>
      </c>
      <c r="W249" s="46" t="s">
        <v>36</v>
      </c>
      <c r="X249" s="46" t="s">
        <v>36</v>
      </c>
      <c r="Y249" s="46" t="s">
        <v>36</v>
      </c>
      <c r="Z249" s="46" t="s">
        <v>36</v>
      </c>
      <c r="AA249" s="46" t="s">
        <v>37</v>
      </c>
      <c r="AB249" s="46" t="s">
        <v>36</v>
      </c>
      <c r="AC249" s="46" t="s">
        <v>36</v>
      </c>
      <c r="AD249" s="46" t="s">
        <v>36</v>
      </c>
      <c r="AE249" s="46" t="s">
        <v>36</v>
      </c>
      <c r="AF249" s="46" t="s">
        <v>36</v>
      </c>
      <c r="AG249" s="46" t="s">
        <v>36</v>
      </c>
      <c r="AH249" s="46" t="s">
        <v>37</v>
      </c>
      <c r="AI249" s="46" t="s">
        <v>36</v>
      </c>
      <c r="AJ249" s="46">
        <f>=SUM(E250:AI250)</f>
      </c>
      <c r="AK249" s="46">
        <f>=+AY249</f>
      </c>
      <c r="AL249" s="46"/>
      <c r="AM249" s="1"/>
      <c r="AN249" s="1">
        <f>=COUNTIF(E249:AI249,"A")+COUNTIF(E249:AI249,"B")+COUNTIF(E249:AI249,"C")+COUNTIF(E249:AI249,"D")+COUNTIF(E249:AI249,"E")+COUNTIF(E249:AI249,"F")+COUNTIF(E249:AI249,"M")+COUNTIF(E249:AI249,"AB")+COUNTIF(E249:AI249,"UZ")+COUNTIF(E249:AI249,"G")+(COUNTIF(E249:AI249,"RT.")/2)+(COUNTIF(E249:AI249,"ÇRT.")/2)</f>
      </c>
      <c r="AO249" s="1">
        <f>=COUNTIF(E249:AI249,"O")</f>
      </c>
      <c r="AP249" s="1">
        <f>=COUNTIF(E249:AI249,"RT")+(COUNTIF(E249:AI249,"RT.")/2)</f>
      </c>
      <c r="AQ249" s="1">
        <f>=COUNTIF(E249:AI249,"ÇRT")+(COUNTIF(E249:AI249,"ÇRT.")/2)</f>
      </c>
      <c r="AR249" s="1">
        <f>=COUNTIF(E249:AI249,"ÇHT")</f>
      </c>
      <c r="AS249" s="1">
        <f>=COUNTIF(E249:AI249,"Ö")+COUNTIF(E249:AI249,"T")</f>
      </c>
      <c r="AT249" s="1">
        <f>=COUNTIF(E249:AI249,"Y")</f>
      </c>
      <c r="AU249" s="1">
        <f>=COUNTIF(E249:AI249,"R.")</f>
      </c>
      <c r="AV249" s="1">
        <f>=COUNTIF(E249:AI249,"Ü")</f>
      </c>
      <c r="AW249" s="1">
        <f>=COUNTIF(E249:AI249,"R")</f>
      </c>
      <c r="AX249" s="1">
        <f>=COUNTIF(E249:AI249,"DV")</f>
      </c>
      <c r="AY249" s="1">
        <f>=+AN249+AO249+AP249+AQ249+AR249+AS249+AT249+AU249</f>
      </c>
    </row>
    <row r="250" ht="16" customHeight="1" spans="1:51" x14ac:dyDescent="0.25">
      <c r="A250" s="45"/>
      <c r="B250" s="46"/>
      <c r="C250" s="46"/>
      <c r="D250" s="46" t="s">
        <v>33</v>
      </c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46"/>
      <c r="AF250" s="46"/>
      <c r="AG250" s="46"/>
      <c r="AH250" s="46"/>
      <c r="AI250" s="46"/>
      <c r="AJ250" s="46"/>
      <c r="AK250" s="46"/>
      <c r="AL250" s="46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ht="16" customHeight="1" spans="1:51" x14ac:dyDescent="0.25">
      <c r="A251" s="45"/>
      <c r="B251" s="46" t="s">
        <v>287</v>
      </c>
      <c r="C251" s="46" t="s">
        <v>288</v>
      </c>
      <c r="D251" s="46" t="s">
        <v>29</v>
      </c>
      <c r="E251" s="46" t="s">
        <v>36</v>
      </c>
      <c r="F251" s="46" t="s">
        <v>36</v>
      </c>
      <c r="G251" s="46" t="s">
        <v>36</v>
      </c>
      <c r="H251" s="46" t="s">
        <v>37</v>
      </c>
      <c r="I251" s="46" t="s">
        <v>36</v>
      </c>
      <c r="J251" s="46" t="s">
        <v>36</v>
      </c>
      <c r="K251" s="46" t="s">
        <v>36</v>
      </c>
      <c r="L251" s="46" t="s">
        <v>36</v>
      </c>
      <c r="M251" s="46" t="s">
        <v>36</v>
      </c>
      <c r="N251" s="46" t="s">
        <v>36</v>
      </c>
      <c r="O251" s="46" t="s">
        <v>37</v>
      </c>
      <c r="P251" s="46" t="s">
        <v>36</v>
      </c>
      <c r="Q251" s="46" t="s">
        <v>36</v>
      </c>
      <c r="R251" s="46" t="s">
        <v>36</v>
      </c>
      <c r="S251" s="46" t="s">
        <v>36</v>
      </c>
      <c r="T251" s="46" t="s">
        <v>36</v>
      </c>
      <c r="U251" s="46" t="s">
        <v>36</v>
      </c>
      <c r="V251" s="46" t="s">
        <v>37</v>
      </c>
      <c r="W251" s="46" t="s">
        <v>36</v>
      </c>
      <c r="X251" s="46" t="s">
        <v>36</v>
      </c>
      <c r="Y251" s="46" t="s">
        <v>36</v>
      </c>
      <c r="Z251" s="46" t="s">
        <v>36</v>
      </c>
      <c r="AA251" s="46" t="s">
        <v>36</v>
      </c>
      <c r="AB251" s="46" t="s">
        <v>36</v>
      </c>
      <c r="AC251" s="46" t="s">
        <v>37</v>
      </c>
      <c r="AD251" s="46" t="s">
        <v>36</v>
      </c>
      <c r="AE251" s="46" t="s">
        <v>36</v>
      </c>
      <c r="AF251" s="46" t="s">
        <v>36</v>
      </c>
      <c r="AG251" s="46" t="s">
        <v>36</v>
      </c>
      <c r="AH251" s="46" t="s">
        <v>43</v>
      </c>
      <c r="AI251" s="46" t="s">
        <v>36</v>
      </c>
      <c r="AJ251" s="46">
        <f>=SUM(E252:AI252)</f>
      </c>
      <c r="AK251" s="46">
        <f>=+AY251</f>
      </c>
      <c r="AL251" s="46"/>
      <c r="AM251" s="1"/>
      <c r="AN251" s="1">
        <f>=COUNTIF(E251:AI251,"A")+COUNTIF(E251:AI251,"B")+COUNTIF(E251:AI251,"C")+COUNTIF(E251:AI251,"D")+COUNTIF(E251:AI251,"E")+COUNTIF(E251:AI251,"F")+COUNTIF(E251:AI251,"M")+COUNTIF(E251:AI251,"AB")+COUNTIF(E251:AI251,"UZ")+COUNTIF(E251:AI251,"G")+(COUNTIF(E251:AI251,"RT.")/2)+(COUNTIF(E251:AI251,"ÇRT.")/2)</f>
      </c>
      <c r="AO251" s="1">
        <f>=COUNTIF(E251:AI251,"O")</f>
      </c>
      <c r="AP251" s="1">
        <f>=COUNTIF(E251:AI251,"RT")+(COUNTIF(E251:AI251,"RT.")/2)</f>
      </c>
      <c r="AQ251" s="1">
        <f>=COUNTIF(E251:AI251,"ÇRT")+(COUNTIF(E251:AI251,"ÇRT.")/2)</f>
      </c>
      <c r="AR251" s="1">
        <f>=COUNTIF(E251:AI251,"ÇHT")</f>
      </c>
      <c r="AS251" s="1">
        <f>=COUNTIF(E251:AI251,"Ö")+COUNTIF(E251:AI251,"T")</f>
      </c>
      <c r="AT251" s="1">
        <f>=COUNTIF(E251:AI251,"Y")</f>
      </c>
      <c r="AU251" s="1">
        <f>=COUNTIF(E251:AI251,"R.")</f>
      </c>
      <c r="AV251" s="1">
        <f>=COUNTIF(E251:AI251,"Ü")</f>
      </c>
      <c r="AW251" s="1">
        <f>=COUNTIF(E251:AI251,"R")</f>
      </c>
      <c r="AX251" s="1">
        <f>=COUNTIF(E251:AI251,"DV")</f>
      </c>
      <c r="AY251" s="1">
        <f>=+AN251+AO251+AP251+AQ251+AR251+AS251+AT251+AU251</f>
      </c>
    </row>
    <row r="252" ht="16" customHeight="1" spans="1:51" x14ac:dyDescent="0.25">
      <c r="A252" s="45"/>
      <c r="B252" s="46"/>
      <c r="C252" s="46"/>
      <c r="D252" s="46" t="s">
        <v>33</v>
      </c>
      <c r="E252" s="46"/>
      <c r="F252" s="46"/>
      <c r="G252" s="46"/>
      <c r="H252" s="46"/>
      <c r="I252" s="46">
        <v>2</v>
      </c>
      <c r="J252" s="46"/>
      <c r="K252" s="46"/>
      <c r="L252" s="46"/>
      <c r="M252" s="46"/>
      <c r="N252" s="46"/>
      <c r="O252" s="46"/>
      <c r="P252" s="46">
        <v>2</v>
      </c>
      <c r="Q252" s="46"/>
      <c r="R252" s="46"/>
      <c r="S252" s="46"/>
      <c r="T252" s="46"/>
      <c r="U252" s="46"/>
      <c r="V252" s="46"/>
      <c r="W252" s="46">
        <v>2</v>
      </c>
      <c r="X252" s="46"/>
      <c r="Y252" s="46"/>
      <c r="Z252" s="46"/>
      <c r="AA252" s="46"/>
      <c r="AB252" s="46"/>
      <c r="AC252" s="46"/>
      <c r="AD252" s="46"/>
      <c r="AE252" s="46">
        <v>2</v>
      </c>
      <c r="AF252" s="46"/>
      <c r="AG252" s="46"/>
      <c r="AH252" s="46">
        <v>2</v>
      </c>
      <c r="AI252" s="46"/>
      <c r="AJ252" s="46"/>
      <c r="AK252" s="46"/>
      <c r="AL252" s="46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ht="16" customHeight="1" spans="1:51" x14ac:dyDescent="0.25">
      <c r="A253" s="45"/>
      <c r="B253" s="46" t="s">
        <v>289</v>
      </c>
      <c r="C253" s="46" t="s">
        <v>290</v>
      </c>
      <c r="D253" s="46" t="s">
        <v>29</v>
      </c>
      <c r="E253" s="46" t="s">
        <v>36</v>
      </c>
      <c r="F253" s="46" t="s">
        <v>36</v>
      </c>
      <c r="G253" s="46" t="s">
        <v>36</v>
      </c>
      <c r="H253" s="46" t="s">
        <v>37</v>
      </c>
      <c r="I253" s="46" t="s">
        <v>36</v>
      </c>
      <c r="J253" s="46" t="s">
        <v>36</v>
      </c>
      <c r="K253" s="46" t="s">
        <v>36</v>
      </c>
      <c r="L253" s="46" t="s">
        <v>153</v>
      </c>
      <c r="M253" s="46" t="s">
        <v>36</v>
      </c>
      <c r="N253" s="46" t="s">
        <v>36</v>
      </c>
      <c r="O253" s="46" t="s">
        <v>37</v>
      </c>
      <c r="P253" s="46" t="s">
        <v>36</v>
      </c>
      <c r="Q253" s="46" t="s">
        <v>36</v>
      </c>
      <c r="R253" s="46" t="s">
        <v>36</v>
      </c>
      <c r="S253" s="46" t="s">
        <v>36</v>
      </c>
      <c r="T253" s="46" t="s">
        <v>36</v>
      </c>
      <c r="U253" s="46" t="s">
        <v>36</v>
      </c>
      <c r="V253" s="46" t="s">
        <v>37</v>
      </c>
      <c r="W253" s="46" t="s">
        <v>36</v>
      </c>
      <c r="X253" s="46" t="s">
        <v>36</v>
      </c>
      <c r="Y253" s="46" t="s">
        <v>36</v>
      </c>
      <c r="Z253" s="46" t="s">
        <v>36</v>
      </c>
      <c r="AA253" s="46" t="s">
        <v>36</v>
      </c>
      <c r="AB253" s="46" t="s">
        <v>36</v>
      </c>
      <c r="AC253" s="46" t="s">
        <v>37</v>
      </c>
      <c r="AD253" s="46" t="s">
        <v>36</v>
      </c>
      <c r="AE253" s="46" t="s">
        <v>31</v>
      </c>
      <c r="AF253" s="46" t="s">
        <v>31</v>
      </c>
      <c r="AG253" s="46" t="s">
        <v>36</v>
      </c>
      <c r="AH253" s="46" t="s">
        <v>43</v>
      </c>
      <c r="AI253" s="46" t="s">
        <v>36</v>
      </c>
      <c r="AJ253" s="46">
        <f>=SUM(E254:AI254)</f>
      </c>
      <c r="AK253" s="46">
        <f>=+AY253</f>
      </c>
      <c r="AL253" s="46"/>
      <c r="AM253" s="1"/>
      <c r="AN253" s="1">
        <f>=COUNTIF(E253:AI253,"A")+COUNTIF(E253:AI253,"B")+COUNTIF(E253:AI253,"C")+COUNTIF(E253:AI253,"D")+COUNTIF(E253:AI253,"E")+COUNTIF(E253:AI253,"F")+COUNTIF(E253:AI253,"M")+COUNTIF(E253:AI253,"AB")+COUNTIF(E253:AI253,"UZ")+COUNTIF(E253:AI253,"G")+(COUNTIF(E253:AI253,"RT.")/2)+(COUNTIF(E253:AI253,"ÇRT.")/2)</f>
      </c>
      <c r="AO253" s="1">
        <f>=COUNTIF(E253:AI253,"O")</f>
      </c>
      <c r="AP253" s="1">
        <f>=COUNTIF(E253:AI253,"RT")+(COUNTIF(E253:AI253,"RT.")/2)</f>
      </c>
      <c r="AQ253" s="1">
        <f>=COUNTIF(E253:AI253,"ÇRT")+(COUNTIF(E253:AI253,"ÇRT.")/2)</f>
      </c>
      <c r="AR253" s="1">
        <f>=COUNTIF(E253:AI253,"ÇHT")</f>
      </c>
      <c r="AS253" s="1">
        <f>=COUNTIF(E253:AI253,"Ö")+COUNTIF(E253:AI253,"T")</f>
      </c>
      <c r="AT253" s="1">
        <f>=COUNTIF(E253:AI253,"Y")</f>
      </c>
      <c r="AU253" s="1">
        <f>=COUNTIF(E253:AI253,"R.")</f>
      </c>
      <c r="AV253" s="1">
        <f>=COUNTIF(E253:AI253,"Ü")</f>
      </c>
      <c r="AW253" s="1">
        <f>=COUNTIF(E253:AI253,"R")</f>
      </c>
      <c r="AX253" s="1">
        <f>=COUNTIF(E253:AI253,"DV")</f>
      </c>
      <c r="AY253" s="1">
        <f>=+AN253+AO253+AP253+AQ253+AR253+AS253+AT253+AU253</f>
      </c>
    </row>
    <row r="254" ht="16" customHeight="1" spans="1:51" x14ac:dyDescent="0.25">
      <c r="A254" s="45"/>
      <c r="B254" s="46"/>
      <c r="C254" s="46"/>
      <c r="D254" s="46" t="s">
        <v>33</v>
      </c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  <c r="AE254" s="46"/>
      <c r="AF254" s="46"/>
      <c r="AG254" s="46"/>
      <c r="AH254" s="46"/>
      <c r="AI254" s="46"/>
      <c r="AJ254" s="46"/>
      <c r="AK254" s="46"/>
      <c r="AL254" s="46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ht="16" customHeight="1" spans="1:51" x14ac:dyDescent="0.25">
      <c r="A255" s="45"/>
      <c r="B255" s="46" t="s">
        <v>291</v>
      </c>
      <c r="C255" s="46" t="s">
        <v>292</v>
      </c>
      <c r="D255" s="46" t="s">
        <v>29</v>
      </c>
      <c r="E255" s="46" t="s">
        <v>36</v>
      </c>
      <c r="F255" s="46" t="s">
        <v>37</v>
      </c>
      <c r="G255" s="46" t="s">
        <v>36</v>
      </c>
      <c r="H255" s="46" t="s">
        <v>36</v>
      </c>
      <c r="I255" s="46" t="s">
        <v>36</v>
      </c>
      <c r="J255" s="46" t="s">
        <v>46</v>
      </c>
      <c r="K255" s="46" t="s">
        <v>36</v>
      </c>
      <c r="L255" s="46" t="s">
        <v>36</v>
      </c>
      <c r="M255" s="46" t="s">
        <v>37</v>
      </c>
      <c r="N255" s="46" t="s">
        <v>41</v>
      </c>
      <c r="O255" s="46" t="s">
        <v>41</v>
      </c>
      <c r="P255" s="46" t="s">
        <v>41</v>
      </c>
      <c r="Q255" s="46" t="s">
        <v>41</v>
      </c>
      <c r="R255" s="46" t="s">
        <v>41</v>
      </c>
      <c r="S255" s="46" t="s">
        <v>41</v>
      </c>
      <c r="T255" s="46" t="s">
        <v>37</v>
      </c>
      <c r="U255" s="46" t="s">
        <v>41</v>
      </c>
      <c r="V255" s="46" t="s">
        <v>41</v>
      </c>
      <c r="W255" s="46" t="s">
        <v>41</v>
      </c>
      <c r="X255" s="46" t="s">
        <v>41</v>
      </c>
      <c r="Y255" s="46" t="s">
        <v>41</v>
      </c>
      <c r="Z255" s="46" t="s">
        <v>46</v>
      </c>
      <c r="AA255" s="46" t="s">
        <v>37</v>
      </c>
      <c r="AB255" s="46" t="s">
        <v>41</v>
      </c>
      <c r="AC255" s="46" t="s">
        <v>41</v>
      </c>
      <c r="AD255" s="46" t="s">
        <v>41</v>
      </c>
      <c r="AE255" s="46" t="s">
        <v>41</v>
      </c>
      <c r="AF255" s="46" t="s">
        <v>41</v>
      </c>
      <c r="AG255" s="46" t="s">
        <v>41</v>
      </c>
      <c r="AH255" s="46" t="s">
        <v>37</v>
      </c>
      <c r="AI255" s="46" t="s">
        <v>36</v>
      </c>
      <c r="AJ255" s="46">
        <f>=SUM(E256:AI256)</f>
      </c>
      <c r="AK255" s="46">
        <f>=+AY255</f>
      </c>
      <c r="AL255" s="46"/>
      <c r="AM255" s="1"/>
      <c r="AN255" s="1">
        <f>=COUNTIF(E255:AI255,"A")+COUNTIF(E255:AI255,"B")+COUNTIF(E255:AI255,"C")+COUNTIF(E255:AI255,"D")+COUNTIF(E255:AI255,"E")+COUNTIF(E255:AI255,"F")+COUNTIF(E255:AI255,"M")+COUNTIF(E255:AI255,"AB")+COUNTIF(E255:AI255,"UZ")+COUNTIF(E255:AI255,"G")+(COUNTIF(E255:AI255,"RT.")/2)+(COUNTIF(E255:AI255,"ÇRT.")/2)</f>
      </c>
      <c r="AO255" s="1">
        <f>=COUNTIF(E255:AI255,"O")</f>
      </c>
      <c r="AP255" s="1">
        <f>=COUNTIF(E255:AI255,"RT")+(COUNTIF(E255:AI255,"RT.")/2)</f>
      </c>
      <c r="AQ255" s="1">
        <f>=COUNTIF(E255:AI255,"ÇRT")+(COUNTIF(E255:AI255,"ÇRT.")/2)</f>
      </c>
      <c r="AR255" s="1">
        <f>=COUNTIF(E255:AI255,"ÇHT")</f>
      </c>
      <c r="AS255" s="1">
        <f>=COUNTIF(E255:AI255,"Ö")+COUNTIF(E255:AI255,"T")</f>
      </c>
      <c r="AT255" s="1">
        <f>=COUNTIF(E255:AI255,"Y")</f>
      </c>
      <c r="AU255" s="1">
        <f>=COUNTIF(E255:AI255,"R.")</f>
      </c>
      <c r="AV255" s="1">
        <f>=COUNTIF(E255:AI255,"Ü")</f>
      </c>
      <c r="AW255" s="1">
        <f>=COUNTIF(E255:AI255,"R")</f>
      </c>
      <c r="AX255" s="1">
        <f>=COUNTIF(E255:AI255,"DV")</f>
      </c>
      <c r="AY255" s="1">
        <f>=+AN255+AO255+AP255+AQ255+AR255+AS255+AT255+AU255</f>
      </c>
    </row>
    <row r="256" ht="16" customHeight="1" spans="1:51" x14ac:dyDescent="0.25">
      <c r="A256" s="45"/>
      <c r="B256" s="46"/>
      <c r="C256" s="46"/>
      <c r="D256" s="46" t="s">
        <v>33</v>
      </c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6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ht="16" customHeight="1" spans="1:51" x14ac:dyDescent="0.25">
      <c r="A257" s="45"/>
      <c r="B257" s="46" t="s">
        <v>293</v>
      </c>
      <c r="C257" s="46" t="s">
        <v>294</v>
      </c>
      <c r="D257" s="46" t="s">
        <v>29</v>
      </c>
      <c r="E257" s="46" t="s">
        <v>36</v>
      </c>
      <c r="F257" s="46" t="s">
        <v>37</v>
      </c>
      <c r="G257" s="46" t="s">
        <v>36</v>
      </c>
      <c r="H257" s="46" t="s">
        <v>36</v>
      </c>
      <c r="I257" s="46" t="s">
        <v>36</v>
      </c>
      <c r="J257" s="46" t="s">
        <v>36</v>
      </c>
      <c r="K257" s="46" t="s">
        <v>36</v>
      </c>
      <c r="L257" s="46" t="s">
        <v>36</v>
      </c>
      <c r="M257" s="46" t="s">
        <v>37</v>
      </c>
      <c r="N257" s="46" t="s">
        <v>36</v>
      </c>
      <c r="O257" s="46" t="s">
        <v>36</v>
      </c>
      <c r="P257" s="46" t="s">
        <v>36</v>
      </c>
      <c r="Q257" s="46" t="s">
        <v>36</v>
      </c>
      <c r="R257" s="46" t="s">
        <v>36</v>
      </c>
      <c r="S257" s="46" t="s">
        <v>36</v>
      </c>
      <c r="T257" s="46" t="s">
        <v>37</v>
      </c>
      <c r="U257" s="46" t="s">
        <v>36</v>
      </c>
      <c r="V257" s="46" t="s">
        <v>36</v>
      </c>
      <c r="W257" s="46" t="s">
        <v>36</v>
      </c>
      <c r="X257" s="46" t="s">
        <v>36</v>
      </c>
      <c r="Y257" s="46" t="s">
        <v>36</v>
      </c>
      <c r="Z257" s="46" t="s">
        <v>36</v>
      </c>
      <c r="AA257" s="46" t="s">
        <v>37</v>
      </c>
      <c r="AB257" s="46" t="s">
        <v>36</v>
      </c>
      <c r="AC257" s="46" t="s">
        <v>36</v>
      </c>
      <c r="AD257" s="46" t="s">
        <v>36</v>
      </c>
      <c r="AE257" s="46" t="s">
        <v>36</v>
      </c>
      <c r="AF257" s="46" t="s">
        <v>36</v>
      </c>
      <c r="AG257" s="46" t="s">
        <v>36</v>
      </c>
      <c r="AH257" s="46" t="s">
        <v>37</v>
      </c>
      <c r="AI257" s="46" t="s">
        <v>36</v>
      </c>
      <c r="AJ257" s="46">
        <f>=SUM(E258:AI258)</f>
      </c>
      <c r="AK257" s="46">
        <f>=+AY257</f>
      </c>
      <c r="AL257" s="46"/>
      <c r="AM257" s="1"/>
      <c r="AN257" s="1">
        <f>=COUNTIF(E257:AI257,"A")+COUNTIF(E257:AI257,"B")+COUNTIF(E257:AI257,"C")+COUNTIF(E257:AI257,"D")+COUNTIF(E257:AI257,"E")+COUNTIF(E257:AI257,"F")+COUNTIF(E257:AI257,"M")+COUNTIF(E257:AI257,"AB")+COUNTIF(E257:AI257,"UZ")+COUNTIF(E257:AI257,"G")+(COUNTIF(E257:AI257,"RT.")/2)+(COUNTIF(E257:AI257,"ÇRT.")/2)</f>
      </c>
      <c r="AO257" s="1">
        <f>=COUNTIF(E257:AI257,"O")</f>
      </c>
      <c r="AP257" s="1">
        <f>=COUNTIF(E257:AI257,"RT")+(COUNTIF(E257:AI257,"RT.")/2)</f>
      </c>
      <c r="AQ257" s="1">
        <f>=COUNTIF(E257:AI257,"ÇRT")+(COUNTIF(E257:AI257,"ÇRT.")/2)</f>
      </c>
      <c r="AR257" s="1">
        <f>=COUNTIF(E257:AI257,"ÇHT")</f>
      </c>
      <c r="AS257" s="1">
        <f>=COUNTIF(E257:AI257,"Ö")+COUNTIF(E257:AI257,"T")</f>
      </c>
      <c r="AT257" s="1">
        <f>=COUNTIF(E257:AI257,"Y")</f>
      </c>
      <c r="AU257" s="1">
        <f>=COUNTIF(E257:AI257,"R.")</f>
      </c>
      <c r="AV257" s="1">
        <f>=COUNTIF(E257:AI257,"Ü")</f>
      </c>
      <c r="AW257" s="1">
        <f>=COUNTIF(E257:AI257,"R")</f>
      </c>
      <c r="AX257" s="1">
        <f>=COUNTIF(E257:AI257,"DV")</f>
      </c>
      <c r="AY257" s="1">
        <f>=+AN257+AO257+AP257+AQ257+AR257+AS257+AT257+AU257</f>
      </c>
    </row>
    <row r="258" ht="16" customHeight="1" spans="1:51" x14ac:dyDescent="0.25">
      <c r="A258" s="45"/>
      <c r="B258" s="46"/>
      <c r="C258" s="46"/>
      <c r="D258" s="46" t="s">
        <v>33</v>
      </c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  <c r="AF258" s="46"/>
      <c r="AG258" s="46"/>
      <c r="AH258" s="46"/>
      <c r="AI258" s="46"/>
      <c r="AJ258" s="46"/>
      <c r="AK258" s="46"/>
      <c r="AL258" s="46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ht="16" customHeight="1" spans="1:51" x14ac:dyDescent="0.25">
      <c r="A259" s="45"/>
      <c r="B259" s="46" t="s">
        <v>295</v>
      </c>
      <c r="C259" s="46" t="s">
        <v>296</v>
      </c>
      <c r="D259" s="46" t="s">
        <v>29</v>
      </c>
      <c r="E259" s="46" t="s">
        <v>37</v>
      </c>
      <c r="F259" s="46" t="s">
        <v>41</v>
      </c>
      <c r="G259" s="46" t="s">
        <v>41</v>
      </c>
      <c r="H259" s="46" t="s">
        <v>41</v>
      </c>
      <c r="I259" s="46" t="s">
        <v>41</v>
      </c>
      <c r="J259" s="46" t="s">
        <v>41</v>
      </c>
      <c r="K259" s="46" t="s">
        <v>41</v>
      </c>
      <c r="L259" s="46" t="s">
        <v>37</v>
      </c>
      <c r="M259" s="46" t="s">
        <v>41</v>
      </c>
      <c r="N259" s="46" t="s">
        <v>41</v>
      </c>
      <c r="O259" s="46" t="s">
        <v>41</v>
      </c>
      <c r="P259" s="46" t="s">
        <v>41</v>
      </c>
      <c r="Q259" s="46" t="s">
        <v>41</v>
      </c>
      <c r="R259" s="46" t="s">
        <v>41</v>
      </c>
      <c r="S259" s="46" t="s">
        <v>37</v>
      </c>
      <c r="T259" s="46" t="s">
        <v>41</v>
      </c>
      <c r="U259" s="46" t="s">
        <v>36</v>
      </c>
      <c r="V259" s="46" t="s">
        <v>36</v>
      </c>
      <c r="W259" s="46" t="s">
        <v>36</v>
      </c>
      <c r="X259" s="46" t="s">
        <v>36</v>
      </c>
      <c r="Y259" s="46" t="s">
        <v>36</v>
      </c>
      <c r="Z259" s="46" t="s">
        <v>37</v>
      </c>
      <c r="AA259" s="46" t="s">
        <v>36</v>
      </c>
      <c r="AB259" s="46" t="s">
        <v>36</v>
      </c>
      <c r="AC259" s="46" t="s">
        <v>41</v>
      </c>
      <c r="AD259" s="46" t="s">
        <v>41</v>
      </c>
      <c r="AE259" s="46" t="s">
        <v>41</v>
      </c>
      <c r="AF259" s="46" t="s">
        <v>41</v>
      </c>
      <c r="AG259" s="46" t="s">
        <v>37</v>
      </c>
      <c r="AH259" s="46" t="s">
        <v>43</v>
      </c>
      <c r="AI259" s="46" t="s">
        <v>41</v>
      </c>
      <c r="AJ259" s="46">
        <f>=SUM(E260:AI260)</f>
      </c>
      <c r="AK259" s="46">
        <f>=+AY259</f>
      </c>
      <c r="AL259" s="46"/>
      <c r="AM259" s="1"/>
      <c r="AN259" s="1">
        <f>=COUNTIF(E259:AI259,"A")+COUNTIF(E259:AI259,"B")+COUNTIF(E259:AI259,"C")+COUNTIF(E259:AI259,"D")+COUNTIF(E259:AI259,"E")+COUNTIF(E259:AI259,"F")+COUNTIF(E259:AI259,"M")+COUNTIF(E259:AI259,"AB")+COUNTIF(E259:AI259,"UZ")+COUNTIF(E259:AI259,"G")+(COUNTIF(E259:AI259,"RT.")/2)+(COUNTIF(E259:AI259,"ÇRT.")/2)</f>
      </c>
      <c r="AO259" s="1">
        <f>=COUNTIF(E259:AI259,"O")</f>
      </c>
      <c r="AP259" s="1">
        <f>=COUNTIF(E259:AI259,"RT")+(COUNTIF(E259:AI259,"RT.")/2)</f>
      </c>
      <c r="AQ259" s="1">
        <f>=COUNTIF(E259:AI259,"ÇRT")+(COUNTIF(E259:AI259,"ÇRT.")/2)</f>
      </c>
      <c r="AR259" s="1">
        <f>=COUNTIF(E259:AI259,"ÇHT")</f>
      </c>
      <c r="AS259" s="1">
        <f>=COUNTIF(E259:AI259,"Ö")+COUNTIF(E259:AI259,"T")</f>
      </c>
      <c r="AT259" s="1">
        <f>=COUNTIF(E259:AI259,"Y")</f>
      </c>
      <c r="AU259" s="1">
        <f>=COUNTIF(E259:AI259,"R.")</f>
      </c>
      <c r="AV259" s="1">
        <f>=COUNTIF(E259:AI259,"Ü")</f>
      </c>
      <c r="AW259" s="1">
        <f>=COUNTIF(E259:AI259,"R")</f>
      </c>
      <c r="AX259" s="1">
        <f>=COUNTIF(E259:AI259,"DV")</f>
      </c>
      <c r="AY259" s="1">
        <f>=+AN259+AO259+AP259+AQ259+AR259+AS259+AT259+AU259</f>
      </c>
    </row>
    <row r="260" ht="16" customHeight="1" spans="1:51" x14ac:dyDescent="0.25">
      <c r="A260" s="45"/>
      <c r="B260" s="46"/>
      <c r="C260" s="46"/>
      <c r="D260" s="46" t="s">
        <v>33</v>
      </c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  <c r="AC260" s="46"/>
      <c r="AD260" s="46"/>
      <c r="AE260" s="46"/>
      <c r="AF260" s="46"/>
      <c r="AG260" s="46"/>
      <c r="AH260" s="46"/>
      <c r="AI260" s="46"/>
      <c r="AJ260" s="46"/>
      <c r="AK260" s="46"/>
      <c r="AL260" s="46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ht="16" customHeight="1" spans="1:51" x14ac:dyDescent="0.25">
      <c r="A261" s="45"/>
      <c r="B261" s="46" t="s">
        <v>297</v>
      </c>
      <c r="C261" s="46" t="s">
        <v>298</v>
      </c>
      <c r="D261" s="46" t="s">
        <v>29</v>
      </c>
      <c r="E261" s="46" t="s">
        <v>299</v>
      </c>
      <c r="F261" s="46" t="s">
        <v>299</v>
      </c>
      <c r="G261" s="46" t="s">
        <v>37</v>
      </c>
      <c r="H261" s="46" t="s">
        <v>59</v>
      </c>
      <c r="I261" s="46" t="s">
        <v>31</v>
      </c>
      <c r="J261" s="46" t="s">
        <v>31</v>
      </c>
      <c r="K261" s="46" t="s">
        <v>32</v>
      </c>
      <c r="L261" s="46" t="s">
        <v>32</v>
      </c>
      <c r="M261" s="46" t="s">
        <v>32</v>
      </c>
      <c r="N261" s="46" t="s">
        <v>37</v>
      </c>
      <c r="O261" s="46" t="s">
        <v>59</v>
      </c>
      <c r="P261" s="46" t="s">
        <v>59</v>
      </c>
      <c r="Q261" s="46" t="s">
        <v>59</v>
      </c>
      <c r="R261" s="46" t="s">
        <v>59</v>
      </c>
      <c r="S261" s="46" t="s">
        <v>59</v>
      </c>
      <c r="T261" s="46" t="s">
        <v>59</v>
      </c>
      <c r="U261" s="46" t="s">
        <v>37</v>
      </c>
      <c r="V261" s="46" t="s">
        <v>299</v>
      </c>
      <c r="W261" s="46" t="s">
        <v>59</v>
      </c>
      <c r="X261" s="46" t="s">
        <v>59</v>
      </c>
      <c r="Y261" s="46" t="s">
        <v>59</v>
      </c>
      <c r="Z261" s="46" t="s">
        <v>46</v>
      </c>
      <c r="AA261" s="46" t="s">
        <v>299</v>
      </c>
      <c r="AB261" s="46" t="s">
        <v>37</v>
      </c>
      <c r="AC261" s="46" t="s">
        <v>31</v>
      </c>
      <c r="AD261" s="46" t="s">
        <v>31</v>
      </c>
      <c r="AE261" s="46" t="s">
        <v>32</v>
      </c>
      <c r="AF261" s="46" t="s">
        <v>32</v>
      </c>
      <c r="AG261" s="46" t="s">
        <v>32</v>
      </c>
      <c r="AH261" s="46" t="s">
        <v>32</v>
      </c>
      <c r="AI261" s="46" t="s">
        <v>32</v>
      </c>
      <c r="AJ261" s="46">
        <f>=SUM(E262:AI262)</f>
      </c>
      <c r="AK261" s="46">
        <f>=+AY261</f>
      </c>
      <c r="AL261" s="46"/>
      <c r="AM261" s="1"/>
      <c r="AN261" s="1">
        <f>=COUNTIF(E261:AI261,"A")+COUNTIF(E261:AI261,"B")+COUNTIF(E261:AI261,"C")+COUNTIF(E261:AI261,"D")+COUNTIF(E261:AI261,"E")+COUNTIF(E261:AI261,"F")+COUNTIF(E261:AI261,"M")+COUNTIF(E261:AI261,"AB")+COUNTIF(E261:AI261,"UZ")+COUNTIF(E261:AI261,"G")+(COUNTIF(E261:AI261,"RT.")/2)+(COUNTIF(E261:AI261,"ÇRT.")/2)</f>
      </c>
      <c r="AO261" s="1">
        <f>=COUNTIF(E261:AI261,"O")</f>
      </c>
      <c r="AP261" s="1">
        <f>=COUNTIF(E261:AI261,"RT")+(COUNTIF(E261:AI261,"RT.")/2)</f>
      </c>
      <c r="AQ261" s="1">
        <f>=COUNTIF(E261:AI261,"ÇRT")+(COUNTIF(E261:AI261,"ÇRT.")/2)</f>
      </c>
      <c r="AR261" s="1">
        <f>=COUNTIF(E261:AI261,"ÇHT")</f>
      </c>
      <c r="AS261" s="1">
        <f>=COUNTIF(E261:AI261,"Ö")+COUNTIF(E261:AI261,"T")</f>
      </c>
      <c r="AT261" s="1">
        <f>=COUNTIF(E261:AI261,"Y")</f>
      </c>
      <c r="AU261" s="1">
        <f>=COUNTIF(E261:AI261,"R.")</f>
      </c>
      <c r="AV261" s="1">
        <f>=COUNTIF(E261:AI261,"Ü")</f>
      </c>
      <c r="AW261" s="1">
        <f>=COUNTIF(E261:AI261,"R")</f>
      </c>
      <c r="AX261" s="1">
        <f>=COUNTIF(E261:AI261,"DV")</f>
      </c>
      <c r="AY261" s="1">
        <f>=+AN261+AO261+AP261+AQ261+AR261+AS261+AT261+AU261</f>
      </c>
    </row>
    <row r="262" ht="16" customHeight="1" spans="1:51" x14ac:dyDescent="0.25">
      <c r="A262" s="45"/>
      <c r="B262" s="46"/>
      <c r="C262" s="46"/>
      <c r="D262" s="46" t="s">
        <v>33</v>
      </c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>
        <v>3</v>
      </c>
      <c r="Q262" s="46"/>
      <c r="R262" s="46">
        <v>3</v>
      </c>
      <c r="S262" s="46"/>
      <c r="T262" s="46"/>
      <c r="U262" s="46"/>
      <c r="V262" s="46"/>
      <c r="W262" s="46"/>
      <c r="X262" s="46"/>
      <c r="Y262" s="46"/>
      <c r="Z262" s="46"/>
      <c r="AA262" s="46"/>
      <c r="AB262" s="46"/>
      <c r="AC262" s="46"/>
      <c r="AD262" s="46"/>
      <c r="AE262" s="46"/>
      <c r="AF262" s="46"/>
      <c r="AG262" s="46"/>
      <c r="AH262" s="46"/>
      <c r="AI262" s="46"/>
      <c r="AJ262" s="46"/>
      <c r="AK262" s="46"/>
      <c r="AL262" s="46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ht="16" customHeight="1" spans="1:51" x14ac:dyDescent="0.25">
      <c r="A263" s="45"/>
      <c r="B263" s="46" t="s">
        <v>300</v>
      </c>
      <c r="C263" s="46" t="s">
        <v>301</v>
      </c>
      <c r="D263" s="46" t="s">
        <v>29</v>
      </c>
      <c r="E263" s="46" t="s">
        <v>32</v>
      </c>
      <c r="F263" s="46" t="s">
        <v>32</v>
      </c>
      <c r="G263" s="46" t="s">
        <v>32</v>
      </c>
      <c r="H263" s="46" t="s">
        <v>36</v>
      </c>
      <c r="I263" s="46" t="s">
        <v>36</v>
      </c>
      <c r="J263" s="46" t="s">
        <v>36</v>
      </c>
      <c r="K263" s="46" t="s">
        <v>37</v>
      </c>
      <c r="L263" s="46" t="s">
        <v>36</v>
      </c>
      <c r="M263" s="46" t="s">
        <v>36</v>
      </c>
      <c r="N263" s="46" t="s">
        <v>36</v>
      </c>
      <c r="O263" s="46" t="s">
        <v>36</v>
      </c>
      <c r="P263" s="46" t="s">
        <v>36</v>
      </c>
      <c r="Q263" s="46" t="s">
        <v>36</v>
      </c>
      <c r="R263" s="46" t="s">
        <v>37</v>
      </c>
      <c r="S263" s="46" t="s">
        <v>36</v>
      </c>
      <c r="T263" s="46" t="s">
        <v>36</v>
      </c>
      <c r="U263" s="46" t="s">
        <v>36</v>
      </c>
      <c r="V263" s="46" t="s">
        <v>36</v>
      </c>
      <c r="W263" s="46" t="s">
        <v>36</v>
      </c>
      <c r="X263" s="46" t="s">
        <v>36</v>
      </c>
      <c r="Y263" s="46" t="s">
        <v>37</v>
      </c>
      <c r="Z263" s="46" t="s">
        <v>36</v>
      </c>
      <c r="AA263" s="46" t="s">
        <v>36</v>
      </c>
      <c r="AB263" s="46" t="s">
        <v>36</v>
      </c>
      <c r="AC263" s="46" t="s">
        <v>36</v>
      </c>
      <c r="AD263" s="46" t="s">
        <v>36</v>
      </c>
      <c r="AE263" s="46" t="s">
        <v>36</v>
      </c>
      <c r="AF263" s="46" t="s">
        <v>37</v>
      </c>
      <c r="AG263" s="46" t="s">
        <v>36</v>
      </c>
      <c r="AH263" s="46" t="s">
        <v>43</v>
      </c>
      <c r="AI263" s="46" t="s">
        <v>36</v>
      </c>
      <c r="AJ263" s="46">
        <f>=SUM(E264:AI264)</f>
      </c>
      <c r="AK263" s="46">
        <f>=+AY263</f>
      </c>
      <c r="AL263" s="46"/>
      <c r="AM263" s="1"/>
      <c r="AN263" s="1">
        <f>=COUNTIF(E263:AI263,"A")+COUNTIF(E263:AI263,"B")+COUNTIF(E263:AI263,"C")+COUNTIF(E263:AI263,"D")+COUNTIF(E263:AI263,"E")+COUNTIF(E263:AI263,"F")+COUNTIF(E263:AI263,"M")+COUNTIF(E263:AI263,"AB")+COUNTIF(E263:AI263,"UZ")+COUNTIF(E263:AI263,"G")+(COUNTIF(E263:AI263,"RT.")/2)+(COUNTIF(E263:AI263,"ÇRT.")/2)</f>
      </c>
      <c r="AO263" s="1">
        <f>=COUNTIF(E263:AI263,"O")</f>
      </c>
      <c r="AP263" s="1">
        <f>=COUNTIF(E263:AI263,"RT")+(COUNTIF(E263:AI263,"RT.")/2)</f>
      </c>
      <c r="AQ263" s="1">
        <f>=COUNTIF(E263:AI263,"ÇRT")+(COUNTIF(E263:AI263,"ÇRT.")/2)</f>
      </c>
      <c r="AR263" s="1">
        <f>=COUNTIF(E263:AI263,"ÇHT")</f>
      </c>
      <c r="AS263" s="1">
        <f>=COUNTIF(E263:AI263,"Ö")+COUNTIF(E263:AI263,"T")</f>
      </c>
      <c r="AT263" s="1">
        <f>=COUNTIF(E263:AI263,"Y")</f>
      </c>
      <c r="AU263" s="1">
        <f>=COUNTIF(E263:AI263,"R.")</f>
      </c>
      <c r="AV263" s="1">
        <f>=COUNTIF(E263:AI263,"Ü")</f>
      </c>
      <c r="AW263" s="1">
        <f>=COUNTIF(E263:AI263,"R")</f>
      </c>
      <c r="AX263" s="1">
        <f>=COUNTIF(E263:AI263,"DV")</f>
      </c>
      <c r="AY263" s="1">
        <f>=+AN263+AO263+AP263+AQ263+AR263+AS263+AT263+AU263</f>
      </c>
    </row>
    <row r="264" ht="16" customHeight="1" spans="1:51" x14ac:dyDescent="0.25">
      <c r="A264" s="45"/>
      <c r="B264" s="46"/>
      <c r="C264" s="46"/>
      <c r="D264" s="46" t="s">
        <v>33</v>
      </c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  <c r="AC264" s="46"/>
      <c r="AD264" s="46"/>
      <c r="AE264" s="46"/>
      <c r="AF264" s="46"/>
      <c r="AG264" s="46"/>
      <c r="AH264" s="46"/>
      <c r="AI264" s="46"/>
      <c r="AJ264" s="46"/>
      <c r="AK264" s="46"/>
      <c r="AL264" s="46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ht="16" customHeight="1" spans="1:51" x14ac:dyDescent="0.25">
      <c r="A265" s="45"/>
      <c r="B265" s="46" t="s">
        <v>302</v>
      </c>
      <c r="C265" s="46" t="s">
        <v>303</v>
      </c>
      <c r="D265" s="46" t="s">
        <v>29</v>
      </c>
      <c r="E265" s="46" t="s">
        <v>32</v>
      </c>
      <c r="F265" s="46" t="s">
        <v>32</v>
      </c>
      <c r="G265" s="46" t="s">
        <v>30</v>
      </c>
      <c r="H265" s="46" t="s">
        <v>30</v>
      </c>
      <c r="I265" s="46" t="s">
        <v>30</v>
      </c>
      <c r="J265" s="46" t="s">
        <v>30</v>
      </c>
      <c r="K265" s="46" t="s">
        <v>30</v>
      </c>
      <c r="L265" s="46" t="s">
        <v>30</v>
      </c>
      <c r="M265" s="46" t="s">
        <v>37</v>
      </c>
      <c r="N265" s="46" t="s">
        <v>30</v>
      </c>
      <c r="O265" s="46" t="s">
        <v>30</v>
      </c>
      <c r="P265" s="46" t="s">
        <v>30</v>
      </c>
      <c r="Q265" s="46" t="s">
        <v>30</v>
      </c>
      <c r="R265" s="46" t="s">
        <v>30</v>
      </c>
      <c r="S265" s="46" t="s">
        <v>30</v>
      </c>
      <c r="T265" s="46" t="s">
        <v>37</v>
      </c>
      <c r="U265" s="46" t="s">
        <v>30</v>
      </c>
      <c r="V265" s="46" t="s">
        <v>30</v>
      </c>
      <c r="W265" s="46" t="s">
        <v>30</v>
      </c>
      <c r="X265" s="46" t="s">
        <v>30</v>
      </c>
      <c r="Y265" s="46" t="s">
        <v>30</v>
      </c>
      <c r="Z265" s="46" t="s">
        <v>30</v>
      </c>
      <c r="AA265" s="46" t="s">
        <v>37</v>
      </c>
      <c r="AB265" s="46" t="s">
        <v>30</v>
      </c>
      <c r="AC265" s="46" t="s">
        <v>30</v>
      </c>
      <c r="AD265" s="46" t="s">
        <v>30</v>
      </c>
      <c r="AE265" s="46" t="s">
        <v>30</v>
      </c>
      <c r="AF265" s="46" t="s">
        <v>30</v>
      </c>
      <c r="AG265" s="46" t="s">
        <v>30</v>
      </c>
      <c r="AH265" s="46" t="s">
        <v>37</v>
      </c>
      <c r="AI265" s="46" t="s">
        <v>30</v>
      </c>
      <c r="AJ265" s="46">
        <f>=SUM(E266:AI266)</f>
      </c>
      <c r="AK265" s="46">
        <f>=+AY265</f>
      </c>
      <c r="AL265" s="46"/>
      <c r="AM265" s="1"/>
      <c r="AN265" s="1">
        <f>=COUNTIF(E265:AI265,"A")+COUNTIF(E265:AI265,"B")+COUNTIF(E265:AI265,"C")+COUNTIF(E265:AI265,"D")+COUNTIF(E265:AI265,"E")+COUNTIF(E265:AI265,"F")+COUNTIF(E265:AI265,"M")+COUNTIF(E265:AI265,"AB")+COUNTIF(E265:AI265,"UZ")+COUNTIF(E265:AI265,"G")+(COUNTIF(E265:AI265,"RT.")/2)+(COUNTIF(E265:AI265,"ÇRT.")/2)</f>
      </c>
      <c r="AO265" s="1">
        <f>=COUNTIF(E265:AI265,"O")</f>
      </c>
      <c r="AP265" s="1">
        <f>=COUNTIF(E265:AI265,"RT")+(COUNTIF(E265:AI265,"RT.")/2)</f>
      </c>
      <c r="AQ265" s="1">
        <f>=COUNTIF(E265:AI265,"ÇRT")+(COUNTIF(E265:AI265,"ÇRT.")/2)</f>
      </c>
      <c r="AR265" s="1">
        <f>=COUNTIF(E265:AI265,"ÇHT")</f>
      </c>
      <c r="AS265" s="1">
        <f>=COUNTIF(E265:AI265,"Ö")+COUNTIF(E265:AI265,"T")</f>
      </c>
      <c r="AT265" s="1">
        <f>=COUNTIF(E265:AI265,"Y")</f>
      </c>
      <c r="AU265" s="1">
        <f>=COUNTIF(E265:AI265,"R.")</f>
      </c>
      <c r="AV265" s="1">
        <f>=COUNTIF(E265:AI265,"Ü")</f>
      </c>
      <c r="AW265" s="1">
        <f>=COUNTIF(E265:AI265,"R")</f>
      </c>
      <c r="AX265" s="1">
        <f>=COUNTIF(E265:AI265,"DV")</f>
      </c>
      <c r="AY265" s="1">
        <f>=+AN265+AO265+AP265+AQ265+AR265+AS265+AT265+AU265</f>
      </c>
    </row>
    <row r="266" ht="16" customHeight="1" spans="1:51" x14ac:dyDescent="0.25">
      <c r="A266" s="45"/>
      <c r="B266" s="46"/>
      <c r="C266" s="46"/>
      <c r="D266" s="46" t="s">
        <v>33</v>
      </c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  <c r="AC266" s="46"/>
      <c r="AD266" s="46"/>
      <c r="AE266" s="46"/>
      <c r="AF266" s="46"/>
      <c r="AG266" s="46"/>
      <c r="AH266" s="46"/>
      <c r="AI266" s="46"/>
      <c r="AJ266" s="46"/>
      <c r="AK266" s="46"/>
      <c r="AL266" s="46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ht="16" customHeight="1" spans="1:51" x14ac:dyDescent="0.25">
      <c r="A267" s="45"/>
      <c r="B267" s="46" t="s">
        <v>304</v>
      </c>
      <c r="C267" s="46" t="s">
        <v>305</v>
      </c>
      <c r="D267" s="46" t="s">
        <v>29</v>
      </c>
      <c r="E267" s="46" t="s">
        <v>41</v>
      </c>
      <c r="F267" s="46" t="s">
        <v>41</v>
      </c>
      <c r="G267" s="46" t="s">
        <v>46</v>
      </c>
      <c r="H267" s="46" t="s">
        <v>37</v>
      </c>
      <c r="I267" s="46" t="s">
        <v>41</v>
      </c>
      <c r="J267" s="46" t="s">
        <v>41</v>
      </c>
      <c r="K267" s="46" t="s">
        <v>41</v>
      </c>
      <c r="L267" s="46" t="s">
        <v>41</v>
      </c>
      <c r="M267" s="46" t="s">
        <v>41</v>
      </c>
      <c r="N267" s="46" t="s">
        <v>41</v>
      </c>
      <c r="O267" s="46" t="s">
        <v>37</v>
      </c>
      <c r="P267" s="46" t="s">
        <v>41</v>
      </c>
      <c r="Q267" s="46" t="s">
        <v>41</v>
      </c>
      <c r="R267" s="46" t="s">
        <v>41</v>
      </c>
      <c r="S267" s="46" t="s">
        <v>41</v>
      </c>
      <c r="T267" s="46" t="s">
        <v>41</v>
      </c>
      <c r="U267" s="46" t="s">
        <v>41</v>
      </c>
      <c r="V267" s="46" t="s">
        <v>37</v>
      </c>
      <c r="W267" s="46" t="s">
        <v>41</v>
      </c>
      <c r="X267" s="46" t="s">
        <v>41</v>
      </c>
      <c r="Y267" s="46" t="s">
        <v>41</v>
      </c>
      <c r="Z267" s="46" t="s">
        <v>41</v>
      </c>
      <c r="AA267" s="46" t="s">
        <v>41</v>
      </c>
      <c r="AB267" s="46" t="s">
        <v>299</v>
      </c>
      <c r="AC267" s="46" t="s">
        <v>37</v>
      </c>
      <c r="AD267" s="46" t="s">
        <v>299</v>
      </c>
      <c r="AE267" s="46" t="s">
        <v>46</v>
      </c>
      <c r="AF267" s="46" t="s">
        <v>299</v>
      </c>
      <c r="AG267" s="46" t="s">
        <v>299</v>
      </c>
      <c r="AH267" s="46" t="s">
        <v>43</v>
      </c>
      <c r="AI267" s="46" t="s">
        <v>299</v>
      </c>
      <c r="AJ267" s="46">
        <f>=SUM(E268:AI268)</f>
      </c>
      <c r="AK267" s="46">
        <f>=+AY267</f>
      </c>
      <c r="AL267" s="46"/>
      <c r="AM267" s="1"/>
      <c r="AN267" s="1">
        <f>=COUNTIF(E267:AI267,"A")+COUNTIF(E267:AI267,"B")+COUNTIF(E267:AI267,"C")+COUNTIF(E267:AI267,"D")+COUNTIF(E267:AI267,"E")+COUNTIF(E267:AI267,"F")+COUNTIF(E267:AI267,"M")+COUNTIF(E267:AI267,"AB")+COUNTIF(E267:AI267,"UZ")+COUNTIF(E267:AI267,"G")+(COUNTIF(E267:AI267,"RT.")/2)+(COUNTIF(E267:AI267,"ÇRT.")/2)</f>
      </c>
      <c r="AO267" s="1">
        <f>=COUNTIF(E267:AI267,"O")</f>
      </c>
      <c r="AP267" s="1">
        <f>=COUNTIF(E267:AI267,"RT")+(COUNTIF(E267:AI267,"RT.")/2)</f>
      </c>
      <c r="AQ267" s="1">
        <f>=COUNTIF(E267:AI267,"ÇRT")+(COUNTIF(E267:AI267,"ÇRT.")/2)</f>
      </c>
      <c r="AR267" s="1">
        <f>=COUNTIF(E267:AI267,"ÇHT")</f>
      </c>
      <c r="AS267" s="1">
        <f>=COUNTIF(E267:AI267,"Ö")+COUNTIF(E267:AI267,"T")</f>
      </c>
      <c r="AT267" s="1">
        <f>=COUNTIF(E267:AI267,"Y")</f>
      </c>
      <c r="AU267" s="1">
        <f>=COUNTIF(E267:AI267,"R.")</f>
      </c>
      <c r="AV267" s="1">
        <f>=COUNTIF(E267:AI267,"Ü")</f>
      </c>
      <c r="AW267" s="1">
        <f>=COUNTIF(E267:AI267,"R")</f>
      </c>
      <c r="AX267" s="1">
        <f>=COUNTIF(E267:AI267,"DV")</f>
      </c>
      <c r="AY267" s="1">
        <f>=+AN267+AO267+AP267+AQ267+AR267+AS267+AT267+AU267</f>
      </c>
    </row>
    <row r="268" ht="16" customHeight="1" spans="1:51" x14ac:dyDescent="0.25">
      <c r="A268" s="45"/>
      <c r="B268" s="46"/>
      <c r="C268" s="46"/>
      <c r="D268" s="46" t="s">
        <v>33</v>
      </c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  <c r="AC268" s="46"/>
      <c r="AD268" s="46"/>
      <c r="AE268" s="46"/>
      <c r="AF268" s="46"/>
      <c r="AG268" s="46"/>
      <c r="AH268" s="46"/>
      <c r="AI268" s="46"/>
      <c r="AJ268" s="46"/>
      <c r="AK268" s="46"/>
      <c r="AL268" s="46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ht="16" customHeight="1" spans="1:51" x14ac:dyDescent="0.25">
      <c r="A269" s="45"/>
      <c r="B269" s="46" t="s">
        <v>306</v>
      </c>
      <c r="C269" s="46" t="s">
        <v>307</v>
      </c>
      <c r="D269" s="46" t="s">
        <v>29</v>
      </c>
      <c r="E269" s="46" t="s">
        <v>36</v>
      </c>
      <c r="F269" s="46" t="s">
        <v>36</v>
      </c>
      <c r="G269" s="46" t="s">
        <v>41</v>
      </c>
      <c r="H269" s="46" t="s">
        <v>41</v>
      </c>
      <c r="I269" s="46" t="s">
        <v>37</v>
      </c>
      <c r="J269" s="46" t="s">
        <v>41</v>
      </c>
      <c r="K269" s="46" t="s">
        <v>42</v>
      </c>
      <c r="L269" s="46" t="s">
        <v>42</v>
      </c>
      <c r="M269" s="46" t="s">
        <v>36</v>
      </c>
      <c r="N269" s="46" t="s">
        <v>41</v>
      </c>
      <c r="O269" s="46" t="s">
        <v>41</v>
      </c>
      <c r="P269" s="46" t="s">
        <v>37</v>
      </c>
      <c r="Q269" s="46" t="s">
        <v>41</v>
      </c>
      <c r="R269" s="46" t="s">
        <v>42</v>
      </c>
      <c r="S269" s="46" t="s">
        <v>36</v>
      </c>
      <c r="T269" s="46" t="s">
        <v>36</v>
      </c>
      <c r="U269" s="46" t="s">
        <v>41</v>
      </c>
      <c r="V269" s="46" t="s">
        <v>41</v>
      </c>
      <c r="W269" s="46" t="s">
        <v>37</v>
      </c>
      <c r="X269" s="46" t="s">
        <v>41</v>
      </c>
      <c r="Y269" s="46" t="s">
        <v>36</v>
      </c>
      <c r="Z269" s="46" t="s">
        <v>36</v>
      </c>
      <c r="AA269" s="46" t="s">
        <v>36</v>
      </c>
      <c r="AB269" s="46" t="s">
        <v>36</v>
      </c>
      <c r="AC269" s="46" t="s">
        <v>46</v>
      </c>
      <c r="AD269" s="46" t="s">
        <v>37</v>
      </c>
      <c r="AE269" s="46" t="s">
        <v>41</v>
      </c>
      <c r="AF269" s="46" t="s">
        <v>42</v>
      </c>
      <c r="AG269" s="46" t="s">
        <v>41</v>
      </c>
      <c r="AH269" s="46" t="s">
        <v>43</v>
      </c>
      <c r="AI269" s="46" t="s">
        <v>41</v>
      </c>
      <c r="AJ269" s="46">
        <f>=SUM(E270:AI270)</f>
      </c>
      <c r="AK269" s="46">
        <f>=+AY269</f>
      </c>
      <c r="AL269" s="46"/>
      <c r="AM269" s="1"/>
      <c r="AN269" s="1">
        <f>=COUNTIF(E269:AI269,"A")+COUNTIF(E269:AI269,"B")+COUNTIF(E269:AI269,"C")+COUNTIF(E269:AI269,"D")+COUNTIF(E269:AI269,"E")+COUNTIF(E269:AI269,"F")+COUNTIF(E269:AI269,"M")+COUNTIF(E269:AI269,"AB")+COUNTIF(E269:AI269,"UZ")+COUNTIF(E269:AI269,"G")+(COUNTIF(E269:AI269,"RT.")/2)+(COUNTIF(E269:AI269,"ÇRT.")/2)</f>
      </c>
      <c r="AO269" s="1">
        <f>=COUNTIF(E269:AI269,"O")</f>
      </c>
      <c r="AP269" s="1">
        <f>=COUNTIF(E269:AI269,"RT")+(COUNTIF(E269:AI269,"RT.")/2)</f>
      </c>
      <c r="AQ269" s="1">
        <f>=COUNTIF(E269:AI269,"ÇRT")+(COUNTIF(E269:AI269,"ÇRT.")/2)</f>
      </c>
      <c r="AR269" s="1">
        <f>=COUNTIF(E269:AI269,"ÇHT")</f>
      </c>
      <c r="AS269" s="1">
        <f>=COUNTIF(E269:AI269,"Ö")+COUNTIF(E269:AI269,"T")</f>
      </c>
      <c r="AT269" s="1">
        <f>=COUNTIF(E269:AI269,"Y")</f>
      </c>
      <c r="AU269" s="1">
        <f>=COUNTIF(E269:AI269,"R.")</f>
      </c>
      <c r="AV269" s="1">
        <f>=COUNTIF(E269:AI269,"Ü")</f>
      </c>
      <c r="AW269" s="1">
        <f>=COUNTIF(E269:AI269,"R")</f>
      </c>
      <c r="AX269" s="1">
        <f>=COUNTIF(E269:AI269,"DV")</f>
      </c>
      <c r="AY269" s="1">
        <f>=+AN269+AO269+AP269+AQ269+AR269+AS269+AT269+AU269</f>
      </c>
    </row>
    <row r="270" ht="16" customHeight="1" spans="1:51" x14ac:dyDescent="0.25">
      <c r="A270" s="45"/>
      <c r="B270" s="46"/>
      <c r="C270" s="46"/>
      <c r="D270" s="46" t="s">
        <v>33</v>
      </c>
      <c r="E270" s="46"/>
      <c r="F270" s="46"/>
      <c r="G270" s="46"/>
      <c r="H270" s="46"/>
      <c r="I270" s="46"/>
      <c r="J270" s="46"/>
      <c r="K270" s="46">
        <v>2</v>
      </c>
      <c r="L270" s="46">
        <v>2</v>
      </c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  <c r="AC270" s="46"/>
      <c r="AD270" s="46"/>
      <c r="AE270" s="46"/>
      <c r="AF270" s="46"/>
      <c r="AG270" s="46"/>
      <c r="AH270" s="46"/>
      <c r="AI270" s="46"/>
      <c r="AJ270" s="46"/>
      <c r="AK270" s="46"/>
      <c r="AL270" s="46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ht="16" customHeight="1" spans="1:51" x14ac:dyDescent="0.25">
      <c r="A271" s="45"/>
      <c r="B271" s="46" t="s">
        <v>308</v>
      </c>
      <c r="C271" s="46" t="s">
        <v>309</v>
      </c>
      <c r="D271" s="46" t="s">
        <v>29</v>
      </c>
      <c r="E271" s="46" t="s">
        <v>41</v>
      </c>
      <c r="F271" s="46" t="s">
        <v>41</v>
      </c>
      <c r="G271" s="46" t="s">
        <v>41</v>
      </c>
      <c r="H271" s="46" t="s">
        <v>41</v>
      </c>
      <c r="I271" s="46" t="s">
        <v>37</v>
      </c>
      <c r="J271" s="46" t="s">
        <v>41</v>
      </c>
      <c r="K271" s="46" t="s">
        <v>41</v>
      </c>
      <c r="L271" s="46" t="s">
        <v>41</v>
      </c>
      <c r="M271" s="46" t="s">
        <v>41</v>
      </c>
      <c r="N271" s="46" t="s">
        <v>41</v>
      </c>
      <c r="O271" s="46" t="s">
        <v>41</v>
      </c>
      <c r="P271" s="46" t="s">
        <v>37</v>
      </c>
      <c r="Q271" s="46" t="s">
        <v>41</v>
      </c>
      <c r="R271" s="46" t="s">
        <v>41</v>
      </c>
      <c r="S271" s="46" t="s">
        <v>41</v>
      </c>
      <c r="T271" s="46" t="s">
        <v>41</v>
      </c>
      <c r="U271" s="46" t="s">
        <v>42</v>
      </c>
      <c r="V271" s="46" t="s">
        <v>31</v>
      </c>
      <c r="W271" s="46" t="s">
        <v>37</v>
      </c>
      <c r="X271" s="46" t="s">
        <v>31</v>
      </c>
      <c r="Y271" s="46" t="s">
        <v>32</v>
      </c>
      <c r="Z271" s="46" t="s">
        <v>32</v>
      </c>
      <c r="AA271" s="46" t="s">
        <v>32</v>
      </c>
      <c r="AB271" s="46" t="s">
        <v>32</v>
      </c>
      <c r="AC271" s="46" t="s">
        <v>32</v>
      </c>
      <c r="AD271" s="46" t="s">
        <v>37</v>
      </c>
      <c r="AE271" s="46" t="s">
        <v>36</v>
      </c>
      <c r="AF271" s="46" t="s">
        <v>36</v>
      </c>
      <c r="AG271" s="46" t="s">
        <v>36</v>
      </c>
      <c r="AH271" s="46" t="s">
        <v>43</v>
      </c>
      <c r="AI271" s="46" t="s">
        <v>36</v>
      </c>
      <c r="AJ271" s="46">
        <f>=SUM(E272:AI272)</f>
      </c>
      <c r="AK271" s="46">
        <f>=+AY271</f>
      </c>
      <c r="AL271" s="46"/>
      <c r="AM271" s="1"/>
      <c r="AN271" s="1">
        <f>=COUNTIF(E271:AI271,"A")+COUNTIF(E271:AI271,"B")+COUNTIF(E271:AI271,"C")+COUNTIF(E271:AI271,"D")+COUNTIF(E271:AI271,"E")+COUNTIF(E271:AI271,"F")+COUNTIF(E271:AI271,"M")+COUNTIF(E271:AI271,"AB")+COUNTIF(E271:AI271,"UZ")+COUNTIF(E271:AI271,"G")+(COUNTIF(E271:AI271,"RT.")/2)+(COUNTIF(E271:AI271,"ÇRT.")/2)</f>
      </c>
      <c r="AO271" s="1">
        <f>=COUNTIF(E271:AI271,"O")</f>
      </c>
      <c r="AP271" s="1">
        <f>=COUNTIF(E271:AI271,"RT")+(COUNTIF(E271:AI271,"RT.")/2)</f>
      </c>
      <c r="AQ271" s="1">
        <f>=COUNTIF(E271:AI271,"ÇRT")+(COUNTIF(E271:AI271,"ÇRT.")/2)</f>
      </c>
      <c r="AR271" s="1">
        <f>=COUNTIF(E271:AI271,"ÇHT")</f>
      </c>
      <c r="AS271" s="1">
        <f>=COUNTIF(E271:AI271,"Ö")+COUNTIF(E271:AI271,"T")</f>
      </c>
      <c r="AT271" s="1">
        <f>=COUNTIF(E271:AI271,"Y")</f>
      </c>
      <c r="AU271" s="1">
        <f>=COUNTIF(E271:AI271,"R.")</f>
      </c>
      <c r="AV271" s="1">
        <f>=COUNTIF(E271:AI271,"Ü")</f>
      </c>
      <c r="AW271" s="1">
        <f>=COUNTIF(E271:AI271,"R")</f>
      </c>
      <c r="AX271" s="1">
        <f>=COUNTIF(E271:AI271,"DV")</f>
      </c>
      <c r="AY271" s="1">
        <f>=+AN271+AO271+AP271+AQ271+AR271+AS271+AT271+AU271</f>
      </c>
    </row>
    <row r="272" ht="16" customHeight="1" spans="1:51" x14ac:dyDescent="0.25">
      <c r="A272" s="45"/>
      <c r="B272" s="46"/>
      <c r="C272" s="46"/>
      <c r="D272" s="46" t="s">
        <v>33</v>
      </c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  <c r="AC272" s="46"/>
      <c r="AD272" s="46"/>
      <c r="AE272" s="46"/>
      <c r="AF272" s="46"/>
      <c r="AG272" s="46"/>
      <c r="AH272" s="46"/>
      <c r="AI272" s="46"/>
      <c r="AJ272" s="46"/>
      <c r="AK272" s="46"/>
      <c r="AL272" s="46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ht="16" customHeight="1" spans="1:51" x14ac:dyDescent="0.25">
      <c r="A273" s="45"/>
      <c r="B273" s="46" t="s">
        <v>310</v>
      </c>
      <c r="C273" s="46" t="s">
        <v>311</v>
      </c>
      <c r="D273" s="46" t="s">
        <v>29</v>
      </c>
      <c r="E273" s="46" t="s">
        <v>36</v>
      </c>
      <c r="F273" s="46" t="s">
        <v>37</v>
      </c>
      <c r="G273" s="46" t="s">
        <v>36</v>
      </c>
      <c r="H273" s="46" t="s">
        <v>36</v>
      </c>
      <c r="I273" s="46" t="s">
        <v>36</v>
      </c>
      <c r="J273" s="46" t="s">
        <v>36</v>
      </c>
      <c r="K273" s="46" t="s">
        <v>36</v>
      </c>
      <c r="L273" s="46" t="s">
        <v>36</v>
      </c>
      <c r="M273" s="46" t="s">
        <v>37</v>
      </c>
      <c r="N273" s="46" t="s">
        <v>41</v>
      </c>
      <c r="O273" s="46" t="s">
        <v>41</v>
      </c>
      <c r="P273" s="46" t="s">
        <v>41</v>
      </c>
      <c r="Q273" s="46" t="s">
        <v>41</v>
      </c>
      <c r="R273" s="46" t="s">
        <v>41</v>
      </c>
      <c r="S273" s="46" t="s">
        <v>41</v>
      </c>
      <c r="T273" s="46" t="s">
        <v>37</v>
      </c>
      <c r="U273" s="46" t="s">
        <v>41</v>
      </c>
      <c r="V273" s="46" t="s">
        <v>41</v>
      </c>
      <c r="W273" s="46" t="s">
        <v>41</v>
      </c>
      <c r="X273" s="46" t="s">
        <v>41</v>
      </c>
      <c r="Y273" s="46" t="s">
        <v>59</v>
      </c>
      <c r="Z273" s="46" t="s">
        <v>41</v>
      </c>
      <c r="AA273" s="46" t="s">
        <v>37</v>
      </c>
      <c r="AB273" s="46" t="s">
        <v>41</v>
      </c>
      <c r="AC273" s="46" t="s">
        <v>41</v>
      </c>
      <c r="AD273" s="46" t="s">
        <v>41</v>
      </c>
      <c r="AE273" s="46" t="s">
        <v>41</v>
      </c>
      <c r="AF273" s="46" t="s">
        <v>41</v>
      </c>
      <c r="AG273" s="46" t="s">
        <v>41</v>
      </c>
      <c r="AH273" s="46" t="s">
        <v>37</v>
      </c>
      <c r="AI273" s="46" t="s">
        <v>41</v>
      </c>
      <c r="AJ273" s="46">
        <f>=SUM(E274:AI274)</f>
      </c>
      <c r="AK273" s="46">
        <f>=+AY273</f>
      </c>
      <c r="AL273" s="46"/>
      <c r="AM273" s="1"/>
      <c r="AN273" s="1">
        <f>=COUNTIF(E273:AI273,"A")+COUNTIF(E273:AI273,"B")+COUNTIF(E273:AI273,"C")+COUNTIF(E273:AI273,"D")+COUNTIF(E273:AI273,"E")+COUNTIF(E273:AI273,"F")+COUNTIF(E273:AI273,"M")+COUNTIF(E273:AI273,"AB")+COUNTIF(E273:AI273,"UZ")+COUNTIF(E273:AI273,"G")+(COUNTIF(E273:AI273,"RT.")/2)+(COUNTIF(E273:AI273,"ÇRT.")/2)</f>
      </c>
      <c r="AO273" s="1">
        <f>=COUNTIF(E273:AI273,"O")</f>
      </c>
      <c r="AP273" s="1">
        <f>=COUNTIF(E273:AI273,"RT")+(COUNTIF(E273:AI273,"RT.")/2)</f>
      </c>
      <c r="AQ273" s="1">
        <f>=COUNTIF(E273:AI273,"ÇRT")+(COUNTIF(E273:AI273,"ÇRT.")/2)</f>
      </c>
      <c r="AR273" s="1">
        <f>=COUNTIF(E273:AI273,"ÇHT")</f>
      </c>
      <c r="AS273" s="1">
        <f>=COUNTIF(E273:AI273,"Ö")+COUNTIF(E273:AI273,"T")</f>
      </c>
      <c r="AT273" s="1">
        <f>=COUNTIF(E273:AI273,"Y")</f>
      </c>
      <c r="AU273" s="1">
        <f>=COUNTIF(E273:AI273,"R.")</f>
      </c>
      <c r="AV273" s="1">
        <f>=COUNTIF(E273:AI273,"Ü")</f>
      </c>
      <c r="AW273" s="1">
        <f>=COUNTIF(E273:AI273,"R")</f>
      </c>
      <c r="AX273" s="1">
        <f>=COUNTIF(E273:AI273,"DV")</f>
      </c>
      <c r="AY273" s="1">
        <f>=+AN273+AO273+AP273+AQ273+AR273+AS273+AT273+AU273</f>
      </c>
    </row>
    <row r="274" ht="16" customHeight="1" spans="1:51" x14ac:dyDescent="0.25">
      <c r="A274" s="45"/>
      <c r="B274" s="46"/>
      <c r="C274" s="46"/>
      <c r="D274" s="46" t="s">
        <v>33</v>
      </c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  <c r="AC274" s="46"/>
      <c r="AD274" s="46"/>
      <c r="AE274" s="46"/>
      <c r="AF274" s="46"/>
      <c r="AG274" s="46"/>
      <c r="AH274" s="46"/>
      <c r="AI274" s="46"/>
      <c r="AJ274" s="46"/>
      <c r="AK274" s="46"/>
      <c r="AL274" s="46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ht="16" customHeight="1" spans="1:51" x14ac:dyDescent="0.25">
      <c r="A275" s="45"/>
      <c r="B275" s="46" t="s">
        <v>312</v>
      </c>
      <c r="C275" s="46" t="s">
        <v>313</v>
      </c>
      <c r="D275" s="46" t="s">
        <v>29</v>
      </c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 t="s">
        <v>36</v>
      </c>
      <c r="W275" s="46" t="s">
        <v>36</v>
      </c>
      <c r="X275" s="46" t="s">
        <v>36</v>
      </c>
      <c r="Y275" s="46" t="s">
        <v>37</v>
      </c>
      <c r="Z275" s="46" t="s">
        <v>36</v>
      </c>
      <c r="AA275" s="46" t="s">
        <v>36</v>
      </c>
      <c r="AB275" s="46" t="s">
        <v>36</v>
      </c>
      <c r="AC275" s="46" t="s">
        <v>36</v>
      </c>
      <c r="AD275" s="46" t="s">
        <v>36</v>
      </c>
      <c r="AE275" s="46" t="s">
        <v>37</v>
      </c>
      <c r="AF275" s="46" t="s">
        <v>36</v>
      </c>
      <c r="AG275" s="46" t="s">
        <v>36</v>
      </c>
      <c r="AH275" s="46" t="s">
        <v>43</v>
      </c>
      <c r="AI275" s="46" t="s">
        <v>36</v>
      </c>
      <c r="AJ275" s="46">
        <f>=SUM(E276:AI276)</f>
      </c>
      <c r="AK275" s="46">
        <f>=+AY275</f>
      </c>
      <c r="AL275" s="46"/>
      <c r="AM275" s="1"/>
      <c r="AN275" s="1">
        <f>=COUNTIF(E275:AI275,"A")+COUNTIF(E275:AI275,"B")+COUNTIF(E275:AI275,"C")+COUNTIF(E275:AI275,"D")+COUNTIF(E275:AI275,"E")+COUNTIF(E275:AI275,"F")+COUNTIF(E275:AI275,"M")+COUNTIF(E275:AI275,"AB")+COUNTIF(E275:AI275,"UZ")+COUNTIF(E275:AI275,"G")+(COUNTIF(E275:AI275,"RT.")/2)+(COUNTIF(E275:AI275,"ÇRT.")/2)</f>
      </c>
      <c r="AO275" s="1">
        <f>=COUNTIF(E275:AI275,"O")</f>
      </c>
      <c r="AP275" s="1">
        <f>=COUNTIF(E275:AI275,"RT")+(COUNTIF(E275:AI275,"RT.")/2)</f>
      </c>
      <c r="AQ275" s="1">
        <f>=COUNTIF(E275:AI275,"ÇRT")+(COUNTIF(E275:AI275,"ÇRT.")/2)</f>
      </c>
      <c r="AR275" s="1">
        <f>=COUNTIF(E275:AI275,"ÇHT")</f>
      </c>
      <c r="AS275" s="1">
        <f>=COUNTIF(E275:AI275,"Ö")+COUNTIF(E275:AI275,"T")</f>
      </c>
      <c r="AT275" s="1">
        <f>=COUNTIF(E275:AI275,"Y")</f>
      </c>
      <c r="AU275" s="1">
        <f>=COUNTIF(E275:AI275,"R.")</f>
      </c>
      <c r="AV275" s="1">
        <f>=COUNTIF(E275:AI275,"Ü")</f>
      </c>
      <c r="AW275" s="1">
        <f>=COUNTIF(E275:AI275,"R")</f>
      </c>
      <c r="AX275" s="1">
        <f>=COUNTIF(E275:AI275,"DV")</f>
      </c>
      <c r="AY275" s="1">
        <f>=+AN275+AO275+AP275+AQ275+AR275+AS275+AT275+AU275</f>
      </c>
    </row>
    <row r="276" ht="16" customHeight="1" spans="1:51" x14ac:dyDescent="0.25">
      <c r="A276" s="45"/>
      <c r="B276" s="46"/>
      <c r="C276" s="46"/>
      <c r="D276" s="46" t="s">
        <v>33</v>
      </c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  <c r="AC276" s="46"/>
      <c r="AD276" s="46"/>
      <c r="AE276" s="46"/>
      <c r="AF276" s="46"/>
      <c r="AG276" s="46"/>
      <c r="AH276" s="46"/>
      <c r="AI276" s="46"/>
      <c r="AJ276" s="46"/>
      <c r="AK276" s="46"/>
      <c r="AL276" s="46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ht="16" customHeight="1" spans="1:51" x14ac:dyDescent="0.25">
      <c r="A277" s="45"/>
      <c r="B277" s="46" t="s">
        <v>314</v>
      </c>
      <c r="C277" s="46" t="s">
        <v>315</v>
      </c>
      <c r="D277" s="46" t="s">
        <v>29</v>
      </c>
      <c r="E277" s="46" t="s">
        <v>36</v>
      </c>
      <c r="F277" s="46" t="s">
        <v>36</v>
      </c>
      <c r="G277" s="46" t="s">
        <v>36</v>
      </c>
      <c r="H277" s="46" t="s">
        <v>36</v>
      </c>
      <c r="I277" s="46" t="s">
        <v>36</v>
      </c>
      <c r="J277" s="46" t="s">
        <v>36</v>
      </c>
      <c r="K277" s="46" t="s">
        <v>37</v>
      </c>
      <c r="L277" s="46" t="s">
        <v>36</v>
      </c>
      <c r="M277" s="46" t="s">
        <v>36</v>
      </c>
      <c r="N277" s="46" t="s">
        <v>36</v>
      </c>
      <c r="O277" s="46" t="s">
        <v>36</v>
      </c>
      <c r="P277" s="46" t="s">
        <v>36</v>
      </c>
      <c r="Q277" s="46" t="s">
        <v>36</v>
      </c>
      <c r="R277" s="46" t="s">
        <v>37</v>
      </c>
      <c r="S277" s="46" t="s">
        <v>36</v>
      </c>
      <c r="T277" s="46" t="s">
        <v>36</v>
      </c>
      <c r="U277" s="46" t="s">
        <v>36</v>
      </c>
      <c r="V277" s="46" t="s">
        <v>36</v>
      </c>
      <c r="W277" s="46" t="s">
        <v>36</v>
      </c>
      <c r="X277" s="46" t="s">
        <v>36</v>
      </c>
      <c r="Y277" s="46" t="s">
        <v>37</v>
      </c>
      <c r="Z277" s="46" t="s">
        <v>36</v>
      </c>
      <c r="AA277" s="46" t="s">
        <v>36</v>
      </c>
      <c r="AB277" s="46" t="s">
        <v>36</v>
      </c>
      <c r="AC277" s="46" t="s">
        <v>36</v>
      </c>
      <c r="AD277" s="46" t="s">
        <v>36</v>
      </c>
      <c r="AE277" s="46" t="s">
        <v>36</v>
      </c>
      <c r="AF277" s="46" t="s">
        <v>37</v>
      </c>
      <c r="AG277" s="46" t="s">
        <v>36</v>
      </c>
      <c r="AH277" s="46" t="s">
        <v>43</v>
      </c>
      <c r="AI277" s="46" t="s">
        <v>36</v>
      </c>
      <c r="AJ277" s="46">
        <f>=SUM(E278:AI278)</f>
      </c>
      <c r="AK277" s="46">
        <f>=+AY277</f>
      </c>
      <c r="AL277" s="46"/>
      <c r="AM277" s="1"/>
      <c r="AN277" s="1">
        <f>=COUNTIF(E277:AI277,"A")+COUNTIF(E277:AI277,"B")+COUNTIF(E277:AI277,"C")+COUNTIF(E277:AI277,"D")+COUNTIF(E277:AI277,"E")+COUNTIF(E277:AI277,"F")+COUNTIF(E277:AI277,"M")+COUNTIF(E277:AI277,"AB")+COUNTIF(E277:AI277,"UZ")+COUNTIF(E277:AI277,"G")+(COUNTIF(E277:AI277,"RT.")/2)+(COUNTIF(E277:AI277,"ÇRT.")/2)</f>
      </c>
      <c r="AO277" s="1">
        <f>=COUNTIF(E277:AI277,"O")</f>
      </c>
      <c r="AP277" s="1">
        <f>=COUNTIF(E277:AI277,"RT")+(COUNTIF(E277:AI277,"RT.")/2)</f>
      </c>
      <c r="AQ277" s="1">
        <f>=COUNTIF(E277:AI277,"ÇRT")+(COUNTIF(E277:AI277,"ÇRT.")/2)</f>
      </c>
      <c r="AR277" s="1">
        <f>=COUNTIF(E277:AI277,"ÇHT")</f>
      </c>
      <c r="AS277" s="1">
        <f>=COUNTIF(E277:AI277,"Ö")+COUNTIF(E277:AI277,"T")</f>
      </c>
      <c r="AT277" s="1">
        <f>=COUNTIF(E277:AI277,"Y")</f>
      </c>
      <c r="AU277" s="1">
        <f>=COUNTIF(E277:AI277,"R.")</f>
      </c>
      <c r="AV277" s="1">
        <f>=COUNTIF(E277:AI277,"Ü")</f>
      </c>
      <c r="AW277" s="1">
        <f>=COUNTIF(E277:AI277,"R")</f>
      </c>
      <c r="AX277" s="1">
        <f>=COUNTIF(E277:AI277,"DV")</f>
      </c>
      <c r="AY277" s="1">
        <f>=+AN277+AO277+AP277+AQ277+AR277+AS277+AT277+AU277</f>
      </c>
    </row>
    <row r="278" ht="16" customHeight="1" spans="1:51" x14ac:dyDescent="0.25">
      <c r="A278" s="45"/>
      <c r="B278" s="46"/>
      <c r="C278" s="46"/>
      <c r="D278" s="46" t="s">
        <v>33</v>
      </c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  <c r="AC278" s="46"/>
      <c r="AD278" s="46"/>
      <c r="AE278" s="46"/>
      <c r="AF278" s="46"/>
      <c r="AG278" s="46"/>
      <c r="AH278" s="46"/>
      <c r="AI278" s="46"/>
      <c r="AJ278" s="46"/>
      <c r="AK278" s="46"/>
      <c r="AL278" s="46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ht="16" customHeight="1" spans="1:51" x14ac:dyDescent="0.25">
      <c r="A279" s="45"/>
      <c r="B279" s="46" t="s">
        <v>316</v>
      </c>
      <c r="C279" s="46" t="s">
        <v>317</v>
      </c>
      <c r="D279" s="46" t="s">
        <v>29</v>
      </c>
      <c r="E279" s="46" t="s">
        <v>36</v>
      </c>
      <c r="F279" s="46" t="s">
        <v>37</v>
      </c>
      <c r="G279" s="46" t="s">
        <v>36</v>
      </c>
      <c r="H279" s="46" t="s">
        <v>36</v>
      </c>
      <c r="I279" s="46" t="s">
        <v>36</v>
      </c>
      <c r="J279" s="46" t="s">
        <v>36</v>
      </c>
      <c r="K279" s="46" t="s">
        <v>36</v>
      </c>
      <c r="L279" s="46" t="s">
        <v>36</v>
      </c>
      <c r="M279" s="46" t="s">
        <v>37</v>
      </c>
      <c r="N279" s="46" t="s">
        <v>36</v>
      </c>
      <c r="O279" s="46" t="s">
        <v>36</v>
      </c>
      <c r="P279" s="46" t="s">
        <v>36</v>
      </c>
      <c r="Q279" s="46" t="s">
        <v>36</v>
      </c>
      <c r="R279" s="46" t="s">
        <v>36</v>
      </c>
      <c r="S279" s="46" t="s">
        <v>36</v>
      </c>
      <c r="T279" s="46" t="s">
        <v>37</v>
      </c>
      <c r="U279" s="46" t="s">
        <v>36</v>
      </c>
      <c r="V279" s="46" t="s">
        <v>36</v>
      </c>
      <c r="W279" s="46" t="s">
        <v>36</v>
      </c>
      <c r="X279" s="46" t="s">
        <v>36</v>
      </c>
      <c r="Y279" s="46" t="s">
        <v>36</v>
      </c>
      <c r="Z279" s="46" t="s">
        <v>36</v>
      </c>
      <c r="AA279" s="46" t="s">
        <v>37</v>
      </c>
      <c r="AB279" s="46" t="s">
        <v>36</v>
      </c>
      <c r="AC279" s="46" t="s">
        <v>36</v>
      </c>
      <c r="AD279" s="46" t="s">
        <v>36</v>
      </c>
      <c r="AE279" s="46" t="s">
        <v>36</v>
      </c>
      <c r="AF279" s="46" t="s">
        <v>37</v>
      </c>
      <c r="AG279" s="46" t="s">
        <v>36</v>
      </c>
      <c r="AH279" s="46" t="s">
        <v>43</v>
      </c>
      <c r="AI279" s="46" t="s">
        <v>36</v>
      </c>
      <c r="AJ279" s="46">
        <f>=SUM(E280:AI280)</f>
      </c>
      <c r="AK279" s="46">
        <f>=+AY279</f>
      </c>
      <c r="AL279" s="46"/>
      <c r="AM279" s="1"/>
      <c r="AN279" s="1">
        <f>=COUNTIF(E279:AI279,"A")+COUNTIF(E279:AI279,"B")+COUNTIF(E279:AI279,"C")+COUNTIF(E279:AI279,"D")+COUNTIF(E279:AI279,"E")+COUNTIF(E279:AI279,"F")+COUNTIF(E279:AI279,"M")+COUNTIF(E279:AI279,"AB")+COUNTIF(E279:AI279,"UZ")+COUNTIF(E279:AI279,"G")+(COUNTIF(E279:AI279,"RT.")/2)+(COUNTIF(E279:AI279,"ÇRT.")/2)</f>
      </c>
      <c r="AO279" s="1">
        <f>=COUNTIF(E279:AI279,"O")</f>
      </c>
      <c r="AP279" s="1">
        <f>=COUNTIF(E279:AI279,"RT")+(COUNTIF(E279:AI279,"RT.")/2)</f>
      </c>
      <c r="AQ279" s="1">
        <f>=COUNTIF(E279:AI279,"ÇRT")+(COUNTIF(E279:AI279,"ÇRT.")/2)</f>
      </c>
      <c r="AR279" s="1">
        <f>=COUNTIF(E279:AI279,"ÇHT")</f>
      </c>
      <c r="AS279" s="1">
        <f>=COUNTIF(E279:AI279,"Ö")+COUNTIF(E279:AI279,"T")</f>
      </c>
      <c r="AT279" s="1">
        <f>=COUNTIF(E279:AI279,"Y")</f>
      </c>
      <c r="AU279" s="1">
        <f>=COUNTIF(E279:AI279,"R.")</f>
      </c>
      <c r="AV279" s="1">
        <f>=COUNTIF(E279:AI279,"Ü")</f>
      </c>
      <c r="AW279" s="1">
        <f>=COUNTIF(E279:AI279,"R")</f>
      </c>
      <c r="AX279" s="1">
        <f>=COUNTIF(E279:AI279,"DV")</f>
      </c>
      <c r="AY279" s="1">
        <f>=+AN279+AO279+AP279+AQ279+AR279+AS279+AT279+AU279</f>
      </c>
    </row>
    <row r="280" ht="16" customHeight="1" spans="1:51" x14ac:dyDescent="0.25">
      <c r="A280" s="45"/>
      <c r="B280" s="46"/>
      <c r="C280" s="46"/>
      <c r="D280" s="46" t="s">
        <v>33</v>
      </c>
      <c r="E280" s="46"/>
      <c r="F280" s="46"/>
      <c r="G280" s="46">
        <v>2</v>
      </c>
      <c r="H280" s="46"/>
      <c r="I280" s="46">
        <v>2</v>
      </c>
      <c r="J280" s="46"/>
      <c r="K280" s="46">
        <v>3</v>
      </c>
      <c r="L280" s="46"/>
      <c r="M280" s="46"/>
      <c r="N280" s="46">
        <v>3</v>
      </c>
      <c r="O280" s="46"/>
      <c r="P280" s="46">
        <v>2</v>
      </c>
      <c r="Q280" s="46"/>
      <c r="R280" s="46">
        <v>3</v>
      </c>
      <c r="S280" s="46"/>
      <c r="T280" s="46"/>
      <c r="U280" s="46">
        <v>3</v>
      </c>
      <c r="V280" s="46"/>
      <c r="W280" s="46">
        <v>3</v>
      </c>
      <c r="X280" s="46"/>
      <c r="Y280" s="46">
        <v>2</v>
      </c>
      <c r="Z280" s="46">
        <v>2</v>
      </c>
      <c r="AA280" s="46"/>
      <c r="AB280" s="46">
        <v>3</v>
      </c>
      <c r="AC280" s="46"/>
      <c r="AD280" s="46">
        <v>2</v>
      </c>
      <c r="AE280" s="46">
        <v>2</v>
      </c>
      <c r="AF280" s="46"/>
      <c r="AG280" s="46">
        <v>2</v>
      </c>
      <c r="AH280" s="46"/>
      <c r="AI280" s="46"/>
      <c r="AJ280" s="46"/>
      <c r="AK280" s="46"/>
      <c r="AL280" s="46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ht="16" customHeight="1" spans="1:51" x14ac:dyDescent="0.25">
      <c r="A281" s="45"/>
      <c r="B281" s="46" t="s">
        <v>318</v>
      </c>
      <c r="C281" s="46" t="s">
        <v>319</v>
      </c>
      <c r="D281" s="46" t="s">
        <v>29</v>
      </c>
      <c r="E281" s="46" t="s">
        <v>41</v>
      </c>
      <c r="F281" s="46" t="s">
        <v>41</v>
      </c>
      <c r="G281" s="46" t="s">
        <v>41</v>
      </c>
      <c r="H281" s="46" t="s">
        <v>41</v>
      </c>
      <c r="I281" s="46" t="s">
        <v>37</v>
      </c>
      <c r="J281" s="46" t="s">
        <v>41</v>
      </c>
      <c r="K281" s="46" t="s">
        <v>41</v>
      </c>
      <c r="L281" s="46" t="s">
        <v>41</v>
      </c>
      <c r="M281" s="46" t="s">
        <v>41</v>
      </c>
      <c r="N281" s="46" t="s">
        <v>41</v>
      </c>
      <c r="O281" s="46" t="s">
        <v>41</v>
      </c>
      <c r="P281" s="46" t="s">
        <v>37</v>
      </c>
      <c r="Q281" s="46" t="s">
        <v>41</v>
      </c>
      <c r="R281" s="46" t="s">
        <v>41</v>
      </c>
      <c r="S281" s="46" t="s">
        <v>41</v>
      </c>
      <c r="T281" s="46" t="s">
        <v>41</v>
      </c>
      <c r="U281" s="46" t="s">
        <v>41</v>
      </c>
      <c r="V281" s="46" t="s">
        <v>41</v>
      </c>
      <c r="W281" s="46" t="s">
        <v>37</v>
      </c>
      <c r="X281" s="46" t="s">
        <v>41</v>
      </c>
      <c r="Y281" s="46" t="s">
        <v>41</v>
      </c>
      <c r="Z281" s="46" t="s">
        <v>41</v>
      </c>
      <c r="AA281" s="46" t="s">
        <v>41</v>
      </c>
      <c r="AB281" s="46" t="s">
        <v>41</v>
      </c>
      <c r="AC281" s="46" t="s">
        <v>41</v>
      </c>
      <c r="AD281" s="46" t="s">
        <v>37</v>
      </c>
      <c r="AE281" s="46" t="s">
        <v>41</v>
      </c>
      <c r="AF281" s="46" t="s">
        <v>41</v>
      </c>
      <c r="AG281" s="46" t="s">
        <v>41</v>
      </c>
      <c r="AH281" s="46" t="s">
        <v>43</v>
      </c>
      <c r="AI281" s="46" t="s">
        <v>41</v>
      </c>
      <c r="AJ281" s="46">
        <f>=SUM(E282:AI282)</f>
      </c>
      <c r="AK281" s="46">
        <f>=+AY281</f>
      </c>
      <c r="AL281" s="46"/>
      <c r="AM281" s="1"/>
      <c r="AN281" s="1">
        <f>=COUNTIF(E281:AI281,"A")+COUNTIF(E281:AI281,"B")+COUNTIF(E281:AI281,"C")+COUNTIF(E281:AI281,"D")+COUNTIF(E281:AI281,"E")+COUNTIF(E281:AI281,"F")+COUNTIF(E281:AI281,"M")+COUNTIF(E281:AI281,"AB")+COUNTIF(E281:AI281,"UZ")+COUNTIF(E281:AI281,"G")+(COUNTIF(E281:AI281,"RT.")/2)+(COUNTIF(E281:AI281,"ÇRT.")/2)</f>
      </c>
      <c r="AO281" s="1">
        <f>=COUNTIF(E281:AI281,"O")</f>
      </c>
      <c r="AP281" s="1">
        <f>=COUNTIF(E281:AI281,"RT")+(COUNTIF(E281:AI281,"RT.")/2)</f>
      </c>
      <c r="AQ281" s="1">
        <f>=COUNTIF(E281:AI281,"ÇRT")+(COUNTIF(E281:AI281,"ÇRT.")/2)</f>
      </c>
      <c r="AR281" s="1">
        <f>=COUNTIF(E281:AI281,"ÇHT")</f>
      </c>
      <c r="AS281" s="1">
        <f>=COUNTIF(E281:AI281,"Ö")+COUNTIF(E281:AI281,"T")</f>
      </c>
      <c r="AT281" s="1">
        <f>=COUNTIF(E281:AI281,"Y")</f>
      </c>
      <c r="AU281" s="1">
        <f>=COUNTIF(E281:AI281,"R.")</f>
      </c>
      <c r="AV281" s="1">
        <f>=COUNTIF(E281:AI281,"Ü")</f>
      </c>
      <c r="AW281" s="1">
        <f>=COUNTIF(E281:AI281,"R")</f>
      </c>
      <c r="AX281" s="1">
        <f>=COUNTIF(E281:AI281,"DV")</f>
      </c>
      <c r="AY281" s="1">
        <f>=+AN281+AO281+AP281+AQ281+AR281+AS281+AT281+AU281</f>
      </c>
    </row>
    <row r="282" ht="16" customHeight="1" spans="1:51" x14ac:dyDescent="0.25">
      <c r="A282" s="45"/>
      <c r="B282" s="46"/>
      <c r="C282" s="46"/>
      <c r="D282" s="46" t="s">
        <v>33</v>
      </c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  <c r="AC282" s="46"/>
      <c r="AD282" s="46"/>
      <c r="AE282" s="46"/>
      <c r="AF282" s="46"/>
      <c r="AG282" s="46"/>
      <c r="AH282" s="46"/>
      <c r="AI282" s="46"/>
      <c r="AJ282" s="46"/>
      <c r="AK282" s="46"/>
      <c r="AL282" s="46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ht="16" customHeight="1" spans="1:51" x14ac:dyDescent="0.25">
      <c r="A283" s="45"/>
      <c r="B283" s="46" t="s">
        <v>320</v>
      </c>
      <c r="C283" s="46" t="s">
        <v>321</v>
      </c>
      <c r="D283" s="46" t="s">
        <v>29</v>
      </c>
      <c r="E283" s="46" t="s">
        <v>36</v>
      </c>
      <c r="F283" s="46" t="s">
        <v>36</v>
      </c>
      <c r="G283" s="46" t="s">
        <v>36</v>
      </c>
      <c r="H283" s="46" t="s">
        <v>36</v>
      </c>
      <c r="I283" s="46" t="s">
        <v>36</v>
      </c>
      <c r="J283" s="46" t="s">
        <v>36</v>
      </c>
      <c r="K283" s="46" t="s">
        <v>37</v>
      </c>
      <c r="L283" s="46" t="s">
        <v>36</v>
      </c>
      <c r="M283" s="46" t="s">
        <v>36</v>
      </c>
      <c r="N283" s="46" t="s">
        <v>36</v>
      </c>
      <c r="O283" s="46" t="s">
        <v>36</v>
      </c>
      <c r="P283" s="46" t="s">
        <v>36</v>
      </c>
      <c r="Q283" s="46" t="s">
        <v>36</v>
      </c>
      <c r="R283" s="46" t="s">
        <v>37</v>
      </c>
      <c r="S283" s="46" t="s">
        <v>36</v>
      </c>
      <c r="T283" s="46" t="s">
        <v>36</v>
      </c>
      <c r="U283" s="46" t="s">
        <v>36</v>
      </c>
      <c r="V283" s="46" t="s">
        <v>36</v>
      </c>
      <c r="W283" s="46" t="s">
        <v>36</v>
      </c>
      <c r="X283" s="46" t="s">
        <v>36</v>
      </c>
      <c r="Y283" s="46" t="s">
        <v>37</v>
      </c>
      <c r="Z283" s="46" t="s">
        <v>36</v>
      </c>
      <c r="AA283" s="46" t="s">
        <v>36</v>
      </c>
      <c r="AB283" s="46" t="s">
        <v>36</v>
      </c>
      <c r="AC283" s="46" t="s">
        <v>36</v>
      </c>
      <c r="AD283" s="46" t="s">
        <v>36</v>
      </c>
      <c r="AE283" s="46" t="s">
        <v>36</v>
      </c>
      <c r="AF283" s="46" t="s">
        <v>37</v>
      </c>
      <c r="AG283" s="46" t="s">
        <v>36</v>
      </c>
      <c r="AH283" s="46" t="s">
        <v>43</v>
      </c>
      <c r="AI283" s="46" t="s">
        <v>36</v>
      </c>
      <c r="AJ283" s="46">
        <f>=SUM(E284:AI284)</f>
      </c>
      <c r="AK283" s="46">
        <f>=+AY283</f>
      </c>
      <c r="AL283" s="46"/>
      <c r="AM283" s="1"/>
      <c r="AN283" s="1">
        <f>=COUNTIF(E283:AI283,"A")+COUNTIF(E283:AI283,"B")+COUNTIF(E283:AI283,"C")+COUNTIF(E283:AI283,"D")+COUNTIF(E283:AI283,"E")+COUNTIF(E283:AI283,"F")+COUNTIF(E283:AI283,"M")+COUNTIF(E283:AI283,"AB")+COUNTIF(E283:AI283,"UZ")+COUNTIF(E283:AI283,"G")+(COUNTIF(E283:AI283,"RT.")/2)+(COUNTIF(E283:AI283,"ÇRT.")/2)</f>
      </c>
      <c r="AO283" s="1">
        <f>=COUNTIF(E283:AI283,"O")</f>
      </c>
      <c r="AP283" s="1">
        <f>=COUNTIF(E283:AI283,"RT")+(COUNTIF(E283:AI283,"RT.")/2)</f>
      </c>
      <c r="AQ283" s="1">
        <f>=COUNTIF(E283:AI283,"ÇRT")+(COUNTIF(E283:AI283,"ÇRT.")/2)</f>
      </c>
      <c r="AR283" s="1">
        <f>=COUNTIF(E283:AI283,"ÇHT")</f>
      </c>
      <c r="AS283" s="1">
        <f>=COUNTIF(E283:AI283,"Ö")+COUNTIF(E283:AI283,"T")</f>
      </c>
      <c r="AT283" s="1">
        <f>=COUNTIF(E283:AI283,"Y")</f>
      </c>
      <c r="AU283" s="1">
        <f>=COUNTIF(E283:AI283,"R.")</f>
      </c>
      <c r="AV283" s="1">
        <f>=COUNTIF(E283:AI283,"Ü")</f>
      </c>
      <c r="AW283" s="1">
        <f>=COUNTIF(E283:AI283,"R")</f>
      </c>
      <c r="AX283" s="1">
        <f>=COUNTIF(E283:AI283,"DV")</f>
      </c>
      <c r="AY283" s="1">
        <f>=+AN283+AO283+AP283+AQ283+AR283+AS283+AT283+AU283</f>
      </c>
    </row>
    <row r="284" ht="16" customHeight="1" spans="1:51" x14ac:dyDescent="0.25">
      <c r="A284" s="45"/>
      <c r="B284" s="46"/>
      <c r="C284" s="46"/>
      <c r="D284" s="46" t="s">
        <v>33</v>
      </c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  <c r="AC284" s="46"/>
      <c r="AD284" s="46"/>
      <c r="AE284" s="46"/>
      <c r="AF284" s="46"/>
      <c r="AG284" s="46"/>
      <c r="AH284" s="46"/>
      <c r="AI284" s="46"/>
      <c r="AJ284" s="46"/>
      <c r="AK284" s="46"/>
      <c r="AL284" s="46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ht="16" customHeight="1" spans="1:51" x14ac:dyDescent="0.25">
      <c r="A285" s="45"/>
      <c r="B285" s="46" t="s">
        <v>322</v>
      </c>
      <c r="C285" s="46" t="s">
        <v>323</v>
      </c>
      <c r="D285" s="46" t="s">
        <v>29</v>
      </c>
      <c r="E285" s="46" t="s">
        <v>42</v>
      </c>
      <c r="F285" s="46" t="s">
        <v>41</v>
      </c>
      <c r="G285" s="46" t="s">
        <v>42</v>
      </c>
      <c r="H285" s="46" t="s">
        <v>37</v>
      </c>
      <c r="I285" s="46" t="s">
        <v>41</v>
      </c>
      <c r="J285" s="46" t="s">
        <v>42</v>
      </c>
      <c r="K285" s="46" t="s">
        <v>41</v>
      </c>
      <c r="L285" s="46" t="s">
        <v>42</v>
      </c>
      <c r="M285" s="46" t="s">
        <v>41</v>
      </c>
      <c r="N285" s="46" t="s">
        <v>42</v>
      </c>
      <c r="O285" s="46" t="s">
        <v>37</v>
      </c>
      <c r="P285" s="46" t="s">
        <v>41</v>
      </c>
      <c r="Q285" s="46" t="s">
        <v>42</v>
      </c>
      <c r="R285" s="46" t="s">
        <v>41</v>
      </c>
      <c r="S285" s="46" t="s">
        <v>42</v>
      </c>
      <c r="T285" s="46" t="s">
        <v>41</v>
      </c>
      <c r="U285" s="46" t="s">
        <v>42</v>
      </c>
      <c r="V285" s="46" t="s">
        <v>37</v>
      </c>
      <c r="W285" s="46" t="s">
        <v>41</v>
      </c>
      <c r="X285" s="46" t="s">
        <v>42</v>
      </c>
      <c r="Y285" s="46" t="s">
        <v>41</v>
      </c>
      <c r="Z285" s="46" t="s">
        <v>42</v>
      </c>
      <c r="AA285" s="46" t="s">
        <v>41</v>
      </c>
      <c r="AB285" s="46" t="s">
        <v>42</v>
      </c>
      <c r="AC285" s="46" t="s">
        <v>37</v>
      </c>
      <c r="AD285" s="46" t="s">
        <v>41</v>
      </c>
      <c r="AE285" s="46" t="s">
        <v>42</v>
      </c>
      <c r="AF285" s="46" t="s">
        <v>41</v>
      </c>
      <c r="AG285" s="46" t="s">
        <v>42</v>
      </c>
      <c r="AH285" s="46" t="s">
        <v>43</v>
      </c>
      <c r="AI285" s="46" t="s">
        <v>42</v>
      </c>
      <c r="AJ285" s="46">
        <f>=SUM(E286:AI286)</f>
      </c>
      <c r="AK285" s="46">
        <f>=+AY285</f>
      </c>
      <c r="AL285" s="46"/>
      <c r="AM285" s="1"/>
      <c r="AN285" s="1">
        <f>=COUNTIF(E285:AI285,"A")+COUNTIF(E285:AI285,"B")+COUNTIF(E285:AI285,"C")+COUNTIF(E285:AI285,"D")+COUNTIF(E285:AI285,"E")+COUNTIF(E285:AI285,"F")+COUNTIF(E285:AI285,"M")+COUNTIF(E285:AI285,"AB")+COUNTIF(E285:AI285,"UZ")+COUNTIF(E285:AI285,"G")+(COUNTIF(E285:AI285,"RT.")/2)+(COUNTIF(E285:AI285,"ÇRT.")/2)</f>
      </c>
      <c r="AO285" s="1">
        <f>=COUNTIF(E285:AI285,"O")</f>
      </c>
      <c r="AP285" s="1">
        <f>=COUNTIF(E285:AI285,"RT")+(COUNTIF(E285:AI285,"RT.")/2)</f>
      </c>
      <c r="AQ285" s="1">
        <f>=COUNTIF(E285:AI285,"ÇRT")+(COUNTIF(E285:AI285,"ÇRT.")/2)</f>
      </c>
      <c r="AR285" s="1">
        <f>=COUNTIF(E285:AI285,"ÇHT")</f>
      </c>
      <c r="AS285" s="1">
        <f>=COUNTIF(E285:AI285,"Ö")+COUNTIF(E285:AI285,"T")</f>
      </c>
      <c r="AT285" s="1">
        <f>=COUNTIF(E285:AI285,"Y")</f>
      </c>
      <c r="AU285" s="1">
        <f>=COUNTIF(E285:AI285,"R.")</f>
      </c>
      <c r="AV285" s="1">
        <f>=COUNTIF(E285:AI285,"Ü")</f>
      </c>
      <c r="AW285" s="1">
        <f>=COUNTIF(E285:AI285,"R")</f>
      </c>
      <c r="AX285" s="1">
        <f>=COUNTIF(E285:AI285,"DV")</f>
      </c>
      <c r="AY285" s="1">
        <f>=+AN285+AO285+AP285+AQ285+AR285+AS285+AT285+AU285</f>
      </c>
    </row>
    <row r="286" ht="16" customHeight="1" spans="1:51" x14ac:dyDescent="0.25">
      <c r="A286" s="45"/>
      <c r="B286" s="46"/>
      <c r="C286" s="46"/>
      <c r="D286" s="46" t="s">
        <v>33</v>
      </c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>
        <v>3</v>
      </c>
      <c r="R286" s="46"/>
      <c r="S286" s="46">
        <v>3</v>
      </c>
      <c r="T286" s="46"/>
      <c r="U286" s="46"/>
      <c r="V286" s="46"/>
      <c r="W286" s="46"/>
      <c r="X286" s="46">
        <v>3</v>
      </c>
      <c r="Y286" s="46"/>
      <c r="Z286" s="46">
        <v>3</v>
      </c>
      <c r="AA286" s="46"/>
      <c r="AB286" s="46"/>
      <c r="AC286" s="46"/>
      <c r="AD286" s="46"/>
      <c r="AE286" s="46"/>
      <c r="AF286" s="46"/>
      <c r="AG286" s="46"/>
      <c r="AH286" s="46"/>
      <c r="AI286" s="46"/>
      <c r="AJ286" s="46"/>
      <c r="AK286" s="46"/>
      <c r="AL286" s="46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ht="16" customHeight="1" spans="1:51" x14ac:dyDescent="0.25">
      <c r="A287" s="45"/>
      <c r="B287" s="46" t="s">
        <v>324</v>
      </c>
      <c r="C287" s="46" t="s">
        <v>325</v>
      </c>
      <c r="D287" s="46" t="s">
        <v>29</v>
      </c>
      <c r="E287" s="46" t="s">
        <v>36</v>
      </c>
      <c r="F287" s="46" t="s">
        <v>36</v>
      </c>
      <c r="G287" s="46" t="s">
        <v>37</v>
      </c>
      <c r="H287" s="46" t="s">
        <v>36</v>
      </c>
      <c r="I287" s="46" t="s">
        <v>36</v>
      </c>
      <c r="J287" s="46" t="s">
        <v>36</v>
      </c>
      <c r="K287" s="46" t="s">
        <v>36</v>
      </c>
      <c r="L287" s="46" t="s">
        <v>36</v>
      </c>
      <c r="M287" s="46" t="s">
        <v>36</v>
      </c>
      <c r="N287" s="46" t="s">
        <v>37</v>
      </c>
      <c r="O287" s="46" t="s">
        <v>36</v>
      </c>
      <c r="P287" s="46" t="s">
        <v>36</v>
      </c>
      <c r="Q287" s="46" t="s">
        <v>36</v>
      </c>
      <c r="R287" s="46" t="s">
        <v>36</v>
      </c>
      <c r="S287" s="46" t="s">
        <v>36</v>
      </c>
      <c r="T287" s="46" t="s">
        <v>36</v>
      </c>
      <c r="U287" s="46" t="s">
        <v>37</v>
      </c>
      <c r="V287" s="46" t="s">
        <v>36</v>
      </c>
      <c r="W287" s="46" t="s">
        <v>36</v>
      </c>
      <c r="X287" s="46" t="s">
        <v>36</v>
      </c>
      <c r="Y287" s="46" t="s">
        <v>36</v>
      </c>
      <c r="Z287" s="46" t="s">
        <v>36</v>
      </c>
      <c r="AA287" s="46" t="s">
        <v>36</v>
      </c>
      <c r="AB287" s="46" t="s">
        <v>37</v>
      </c>
      <c r="AC287" s="46" t="s">
        <v>36</v>
      </c>
      <c r="AD287" s="46" t="s">
        <v>36</v>
      </c>
      <c r="AE287" s="46" t="s">
        <v>36</v>
      </c>
      <c r="AF287" s="46" t="s">
        <v>36</v>
      </c>
      <c r="AG287" s="46" t="s">
        <v>36</v>
      </c>
      <c r="AH287" s="46" t="s">
        <v>43</v>
      </c>
      <c r="AI287" s="46" t="s">
        <v>37</v>
      </c>
      <c r="AJ287" s="46">
        <f>=SUM(E288:AI288)</f>
      </c>
      <c r="AK287" s="46">
        <f>=+AY287</f>
      </c>
      <c r="AL287" s="46"/>
      <c r="AM287" s="1"/>
      <c r="AN287" s="1">
        <f>=COUNTIF(E287:AI287,"A")+COUNTIF(E287:AI287,"B")+COUNTIF(E287:AI287,"C")+COUNTIF(E287:AI287,"D")+COUNTIF(E287:AI287,"E")+COUNTIF(E287:AI287,"F")+COUNTIF(E287:AI287,"M")+COUNTIF(E287:AI287,"AB")+COUNTIF(E287:AI287,"UZ")+COUNTIF(E287:AI287,"G")+(COUNTIF(E287:AI287,"RT.")/2)+(COUNTIF(E287:AI287,"ÇRT.")/2)</f>
      </c>
      <c r="AO287" s="1">
        <f>=COUNTIF(E287:AI287,"O")</f>
      </c>
      <c r="AP287" s="1">
        <f>=COUNTIF(E287:AI287,"RT")+(COUNTIF(E287:AI287,"RT.")/2)</f>
      </c>
      <c r="AQ287" s="1">
        <f>=COUNTIF(E287:AI287,"ÇRT")+(COUNTIF(E287:AI287,"ÇRT.")/2)</f>
      </c>
      <c r="AR287" s="1">
        <f>=COUNTIF(E287:AI287,"ÇHT")</f>
      </c>
      <c r="AS287" s="1">
        <f>=COUNTIF(E287:AI287,"Ö")+COUNTIF(E287:AI287,"T")</f>
      </c>
      <c r="AT287" s="1">
        <f>=COUNTIF(E287:AI287,"Y")</f>
      </c>
      <c r="AU287" s="1">
        <f>=COUNTIF(E287:AI287,"R.")</f>
      </c>
      <c r="AV287" s="1">
        <f>=COUNTIF(E287:AI287,"Ü")</f>
      </c>
      <c r="AW287" s="1">
        <f>=COUNTIF(E287:AI287,"R")</f>
      </c>
      <c r="AX287" s="1">
        <f>=COUNTIF(E287:AI287,"DV")</f>
      </c>
      <c r="AY287" s="1">
        <f>=+AN287+AO287+AP287+AQ287+AR287+AS287+AT287+AU287</f>
      </c>
    </row>
    <row r="288" ht="16" customHeight="1" spans="1:51" x14ac:dyDescent="0.25">
      <c r="A288" s="45"/>
      <c r="B288" s="46"/>
      <c r="C288" s="46"/>
      <c r="D288" s="46" t="s">
        <v>33</v>
      </c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6"/>
      <c r="AD288" s="46"/>
      <c r="AE288" s="46"/>
      <c r="AF288" s="46"/>
      <c r="AG288" s="46"/>
      <c r="AH288" s="46"/>
      <c r="AI288" s="46"/>
      <c r="AJ288" s="46"/>
      <c r="AK288" s="46"/>
      <c r="AL288" s="46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ht="16" customHeight="1" spans="1:51" x14ac:dyDescent="0.25">
      <c r="A289" s="45"/>
      <c r="B289" s="46" t="s">
        <v>326</v>
      </c>
      <c r="C289" s="46" t="s">
        <v>327</v>
      </c>
      <c r="D289" s="46" t="s">
        <v>29</v>
      </c>
      <c r="E289" s="46" t="s">
        <v>36</v>
      </c>
      <c r="F289" s="46" t="s">
        <v>36</v>
      </c>
      <c r="G289" s="46" t="s">
        <v>36</v>
      </c>
      <c r="H289" s="46" t="s">
        <v>36</v>
      </c>
      <c r="I289" s="46" t="s">
        <v>36</v>
      </c>
      <c r="J289" s="46" t="s">
        <v>36</v>
      </c>
      <c r="K289" s="46" t="s">
        <v>37</v>
      </c>
      <c r="L289" s="46" t="s">
        <v>36</v>
      </c>
      <c r="M289" s="46" t="s">
        <v>36</v>
      </c>
      <c r="N289" s="46" t="s">
        <v>36</v>
      </c>
      <c r="O289" s="46" t="s">
        <v>36</v>
      </c>
      <c r="P289" s="46" t="s">
        <v>36</v>
      </c>
      <c r="Q289" s="46" t="s">
        <v>36</v>
      </c>
      <c r="R289" s="46" t="s">
        <v>37</v>
      </c>
      <c r="S289" s="46" t="s">
        <v>36</v>
      </c>
      <c r="T289" s="46" t="s">
        <v>36</v>
      </c>
      <c r="U289" s="46" t="s">
        <v>36</v>
      </c>
      <c r="V289" s="46" t="s">
        <v>36</v>
      </c>
      <c r="W289" s="46" t="s">
        <v>36</v>
      </c>
      <c r="X289" s="46" t="s">
        <v>36</v>
      </c>
      <c r="Y289" s="46" t="s">
        <v>37</v>
      </c>
      <c r="Z289" s="46" t="s">
        <v>36</v>
      </c>
      <c r="AA289" s="46" t="s">
        <v>36</v>
      </c>
      <c r="AB289" s="46" t="s">
        <v>36</v>
      </c>
      <c r="AC289" s="46" t="s">
        <v>36</v>
      </c>
      <c r="AD289" s="46" t="s">
        <v>36</v>
      </c>
      <c r="AE289" s="46" t="s">
        <v>36</v>
      </c>
      <c r="AF289" s="46" t="s">
        <v>37</v>
      </c>
      <c r="AG289" s="46" t="s">
        <v>36</v>
      </c>
      <c r="AH289" s="46" t="s">
        <v>43</v>
      </c>
      <c r="AI289" s="46" t="s">
        <v>36</v>
      </c>
      <c r="AJ289" s="46">
        <f>=SUM(E290:AI290)</f>
      </c>
      <c r="AK289" s="46">
        <f>=+AY289</f>
      </c>
      <c r="AL289" s="46"/>
      <c r="AM289" s="1"/>
      <c r="AN289" s="1">
        <f>=COUNTIF(E289:AI289,"A")+COUNTIF(E289:AI289,"B")+COUNTIF(E289:AI289,"C")+COUNTIF(E289:AI289,"D")+COUNTIF(E289:AI289,"E")+COUNTIF(E289:AI289,"F")+COUNTIF(E289:AI289,"M")+COUNTIF(E289:AI289,"AB")+COUNTIF(E289:AI289,"UZ")+COUNTIF(E289:AI289,"G")+(COUNTIF(E289:AI289,"RT.")/2)+(COUNTIF(E289:AI289,"ÇRT.")/2)</f>
      </c>
      <c r="AO289" s="1">
        <f>=COUNTIF(E289:AI289,"O")</f>
      </c>
      <c r="AP289" s="1">
        <f>=COUNTIF(E289:AI289,"RT")+(COUNTIF(E289:AI289,"RT.")/2)</f>
      </c>
      <c r="AQ289" s="1">
        <f>=COUNTIF(E289:AI289,"ÇRT")+(COUNTIF(E289:AI289,"ÇRT.")/2)</f>
      </c>
      <c r="AR289" s="1">
        <f>=COUNTIF(E289:AI289,"ÇHT")</f>
      </c>
      <c r="AS289" s="1">
        <f>=COUNTIF(E289:AI289,"Ö")+COUNTIF(E289:AI289,"T")</f>
      </c>
      <c r="AT289" s="1">
        <f>=COUNTIF(E289:AI289,"Y")</f>
      </c>
      <c r="AU289" s="1">
        <f>=COUNTIF(E289:AI289,"R.")</f>
      </c>
      <c r="AV289" s="1">
        <f>=COUNTIF(E289:AI289,"Ü")</f>
      </c>
      <c r="AW289" s="1">
        <f>=COUNTIF(E289:AI289,"R")</f>
      </c>
      <c r="AX289" s="1">
        <f>=COUNTIF(E289:AI289,"DV")</f>
      </c>
      <c r="AY289" s="1">
        <f>=+AN289+AO289+AP289+AQ289+AR289+AS289+AT289+AU289</f>
      </c>
    </row>
    <row r="290" ht="16" customHeight="1" spans="1:51" x14ac:dyDescent="0.25">
      <c r="A290" s="45"/>
      <c r="B290" s="46"/>
      <c r="C290" s="46"/>
      <c r="D290" s="46" t="s">
        <v>33</v>
      </c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  <c r="AD290" s="46"/>
      <c r="AE290" s="46"/>
      <c r="AF290" s="46"/>
      <c r="AG290" s="46"/>
      <c r="AH290" s="46"/>
      <c r="AI290" s="46"/>
      <c r="AJ290" s="46"/>
      <c r="AK290" s="46"/>
      <c r="AL290" s="46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ht="16" customHeight="1" spans="1:51" x14ac:dyDescent="0.25">
      <c r="A291" s="45"/>
      <c r="B291" s="46" t="s">
        <v>328</v>
      </c>
      <c r="C291" s="46" t="s">
        <v>329</v>
      </c>
      <c r="D291" s="46" t="s">
        <v>29</v>
      </c>
      <c r="E291" s="46" t="s">
        <v>36</v>
      </c>
      <c r="F291" s="46" t="s">
        <v>36</v>
      </c>
      <c r="G291" s="46" t="s">
        <v>36</v>
      </c>
      <c r="H291" s="46" t="s">
        <v>36</v>
      </c>
      <c r="I291" s="46" t="s">
        <v>37</v>
      </c>
      <c r="J291" s="46" t="s">
        <v>36</v>
      </c>
      <c r="K291" s="46" t="s">
        <v>36</v>
      </c>
      <c r="L291" s="46" t="s">
        <v>36</v>
      </c>
      <c r="M291" s="46" t="s">
        <v>36</v>
      </c>
      <c r="N291" s="46" t="s">
        <v>37</v>
      </c>
      <c r="O291" s="46" t="s">
        <v>153</v>
      </c>
      <c r="P291" s="46" t="s">
        <v>36</v>
      </c>
      <c r="Q291" s="46" t="s">
        <v>36</v>
      </c>
      <c r="R291" s="46" t="s">
        <v>36</v>
      </c>
      <c r="S291" s="46" t="s">
        <v>36</v>
      </c>
      <c r="T291" s="46" t="s">
        <v>36</v>
      </c>
      <c r="U291" s="46" t="s">
        <v>37</v>
      </c>
      <c r="V291" s="46" t="s">
        <v>36</v>
      </c>
      <c r="W291" s="46" t="s">
        <v>36</v>
      </c>
      <c r="X291" s="46" t="s">
        <v>36</v>
      </c>
      <c r="Y291" s="46" t="s">
        <v>36</v>
      </c>
      <c r="Z291" s="46" t="s">
        <v>36</v>
      </c>
      <c r="AA291" s="46" t="s">
        <v>36</v>
      </c>
      <c r="AB291" s="46" t="s">
        <v>37</v>
      </c>
      <c r="AC291" s="46" t="s">
        <v>36</v>
      </c>
      <c r="AD291" s="46" t="s">
        <v>36</v>
      </c>
      <c r="AE291" s="46" t="s">
        <v>36</v>
      </c>
      <c r="AF291" s="46" t="s">
        <v>36</v>
      </c>
      <c r="AG291" s="46" t="s">
        <v>36</v>
      </c>
      <c r="AH291" s="46" t="s">
        <v>43</v>
      </c>
      <c r="AI291" s="46" t="s">
        <v>37</v>
      </c>
      <c r="AJ291" s="46">
        <f>=SUM(E292:AI292)</f>
      </c>
      <c r="AK291" s="46">
        <f>=+AY291</f>
      </c>
      <c r="AL291" s="46"/>
      <c r="AM291" s="1"/>
      <c r="AN291" s="1">
        <f>=COUNTIF(E291:AI291,"A")+COUNTIF(E291:AI291,"B")+COUNTIF(E291:AI291,"C")+COUNTIF(E291:AI291,"D")+COUNTIF(E291:AI291,"E")+COUNTIF(E291:AI291,"F")+COUNTIF(E291:AI291,"M")+COUNTIF(E291:AI291,"AB")+COUNTIF(E291:AI291,"UZ")+COUNTIF(E291:AI291,"G")+(COUNTIF(E291:AI291,"RT.")/2)+(COUNTIF(E291:AI291,"ÇRT.")/2)</f>
      </c>
      <c r="AO291" s="1">
        <f>=COUNTIF(E291:AI291,"O")</f>
      </c>
      <c r="AP291" s="1">
        <f>=COUNTIF(E291:AI291,"RT")+(COUNTIF(E291:AI291,"RT.")/2)</f>
      </c>
      <c r="AQ291" s="1">
        <f>=COUNTIF(E291:AI291,"ÇRT")+(COUNTIF(E291:AI291,"ÇRT.")/2)</f>
      </c>
      <c r="AR291" s="1">
        <f>=COUNTIF(E291:AI291,"ÇHT")</f>
      </c>
      <c r="AS291" s="1">
        <f>=COUNTIF(E291:AI291,"Ö")+COUNTIF(E291:AI291,"T")</f>
      </c>
      <c r="AT291" s="1">
        <f>=COUNTIF(E291:AI291,"Y")</f>
      </c>
      <c r="AU291" s="1">
        <f>=COUNTIF(E291:AI291,"R.")</f>
      </c>
      <c r="AV291" s="1">
        <f>=COUNTIF(E291:AI291,"Ü")</f>
      </c>
      <c r="AW291" s="1">
        <f>=COUNTIF(E291:AI291,"R")</f>
      </c>
      <c r="AX291" s="1">
        <f>=COUNTIF(E291:AI291,"DV")</f>
      </c>
      <c r="AY291" s="1">
        <f>=+AN291+AO291+AP291+AQ291+AR291+AS291+AT291+AU291</f>
      </c>
    </row>
    <row r="292" ht="16" customHeight="1" spans="1:51" x14ac:dyDescent="0.25">
      <c r="A292" s="45"/>
      <c r="B292" s="46"/>
      <c r="C292" s="46"/>
      <c r="D292" s="46" t="s">
        <v>33</v>
      </c>
      <c r="E292" s="46"/>
      <c r="F292" s="46"/>
      <c r="G292" s="46"/>
      <c r="H292" s="46">
        <v>2</v>
      </c>
      <c r="I292" s="46"/>
      <c r="J292" s="46"/>
      <c r="K292" s="46">
        <v>2</v>
      </c>
      <c r="L292" s="46"/>
      <c r="M292" s="46">
        <v>2</v>
      </c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  <c r="AD292" s="46"/>
      <c r="AE292" s="46"/>
      <c r="AF292" s="46"/>
      <c r="AG292" s="46"/>
      <c r="AH292" s="46"/>
      <c r="AI292" s="46"/>
      <c r="AJ292" s="46"/>
      <c r="AK292" s="46"/>
      <c r="AL292" s="46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ht="16" customHeight="1" spans="1:51" x14ac:dyDescent="0.25">
      <c r="A293" s="45"/>
      <c r="B293" s="46" t="s">
        <v>330</v>
      </c>
      <c r="C293" s="46" t="s">
        <v>331</v>
      </c>
      <c r="D293" s="46" t="s">
        <v>29</v>
      </c>
      <c r="E293" s="46" t="s">
        <v>37</v>
      </c>
      <c r="F293" s="46" t="s">
        <v>41</v>
      </c>
      <c r="G293" s="46" t="s">
        <v>41</v>
      </c>
      <c r="H293" s="46" t="s">
        <v>41</v>
      </c>
      <c r="I293" s="46" t="s">
        <v>41</v>
      </c>
      <c r="J293" s="46" t="s">
        <v>41</v>
      </c>
      <c r="K293" s="46" t="s">
        <v>41</v>
      </c>
      <c r="L293" s="46" t="s">
        <v>37</v>
      </c>
      <c r="M293" s="46" t="s">
        <v>41</v>
      </c>
      <c r="N293" s="46" t="s">
        <v>41</v>
      </c>
      <c r="O293" s="46" t="s">
        <v>41</v>
      </c>
      <c r="P293" s="46" t="s">
        <v>41</v>
      </c>
      <c r="Q293" s="46" t="s">
        <v>41</v>
      </c>
      <c r="R293" s="46" t="s">
        <v>41</v>
      </c>
      <c r="S293" s="46" t="s">
        <v>37</v>
      </c>
      <c r="T293" s="46" t="s">
        <v>41</v>
      </c>
      <c r="U293" s="46" t="s">
        <v>41</v>
      </c>
      <c r="V293" s="46" t="s">
        <v>41</v>
      </c>
      <c r="W293" s="46" t="s">
        <v>41</v>
      </c>
      <c r="X293" s="46" t="s">
        <v>41</v>
      </c>
      <c r="Y293" s="46" t="s">
        <v>41</v>
      </c>
      <c r="Z293" s="46" t="s">
        <v>37</v>
      </c>
      <c r="AA293" s="46" t="s">
        <v>41</v>
      </c>
      <c r="AB293" s="46" t="s">
        <v>41</v>
      </c>
      <c r="AC293" s="46" t="s">
        <v>41</v>
      </c>
      <c r="AD293" s="46" t="s">
        <v>41</v>
      </c>
      <c r="AE293" s="46" t="s">
        <v>41</v>
      </c>
      <c r="AF293" s="46" t="s">
        <v>41</v>
      </c>
      <c r="AG293" s="46" t="s">
        <v>37</v>
      </c>
      <c r="AH293" s="46" t="s">
        <v>43</v>
      </c>
      <c r="AI293" s="46" t="s">
        <v>41</v>
      </c>
      <c r="AJ293" s="46">
        <f>=SUM(E294:AI294)</f>
      </c>
      <c r="AK293" s="46">
        <f>=+AY293</f>
      </c>
      <c r="AL293" s="46"/>
      <c r="AM293" s="1"/>
      <c r="AN293" s="1">
        <f>=COUNTIF(E293:AI293,"A")+COUNTIF(E293:AI293,"B")+COUNTIF(E293:AI293,"C")+COUNTIF(E293:AI293,"D")+COUNTIF(E293:AI293,"E")+COUNTIF(E293:AI293,"F")+COUNTIF(E293:AI293,"M")+COUNTIF(E293:AI293,"AB")+COUNTIF(E293:AI293,"UZ")+COUNTIF(E293:AI293,"G")+(COUNTIF(E293:AI293,"RT.")/2)+(COUNTIF(E293:AI293,"ÇRT.")/2)</f>
      </c>
      <c r="AO293" s="1">
        <f>=COUNTIF(E293:AI293,"O")</f>
      </c>
      <c r="AP293" s="1">
        <f>=COUNTIF(E293:AI293,"RT")+(COUNTIF(E293:AI293,"RT.")/2)</f>
      </c>
      <c r="AQ293" s="1">
        <f>=COUNTIF(E293:AI293,"ÇRT")+(COUNTIF(E293:AI293,"ÇRT.")/2)</f>
      </c>
      <c r="AR293" s="1">
        <f>=COUNTIF(E293:AI293,"ÇHT")</f>
      </c>
      <c r="AS293" s="1">
        <f>=COUNTIF(E293:AI293,"Ö")+COUNTIF(E293:AI293,"T")</f>
      </c>
      <c r="AT293" s="1">
        <f>=COUNTIF(E293:AI293,"Y")</f>
      </c>
      <c r="AU293" s="1">
        <f>=COUNTIF(E293:AI293,"R.")</f>
      </c>
      <c r="AV293" s="1">
        <f>=COUNTIF(E293:AI293,"Ü")</f>
      </c>
      <c r="AW293" s="1">
        <f>=COUNTIF(E293:AI293,"R")</f>
      </c>
      <c r="AX293" s="1">
        <f>=COUNTIF(E293:AI293,"DV")</f>
      </c>
      <c r="AY293" s="1">
        <f>=+AN293+AO293+AP293+AQ293+AR293+AS293+AT293+AU293</f>
      </c>
    </row>
    <row r="294" ht="16" customHeight="1" spans="1:51" x14ac:dyDescent="0.25">
      <c r="A294" s="45"/>
      <c r="B294" s="46"/>
      <c r="C294" s="46"/>
      <c r="D294" s="46" t="s">
        <v>33</v>
      </c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  <c r="AG294" s="46"/>
      <c r="AH294" s="46"/>
      <c r="AI294" s="46"/>
      <c r="AJ294" s="46"/>
      <c r="AK294" s="46"/>
      <c r="AL294" s="46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ht="16" customHeight="1" spans="1:51" x14ac:dyDescent="0.25">
      <c r="A295" s="45"/>
      <c r="B295" s="46" t="s">
        <v>332</v>
      </c>
      <c r="C295" s="46" t="s">
        <v>333</v>
      </c>
      <c r="D295" s="46" t="s">
        <v>29</v>
      </c>
      <c r="E295" s="46" t="s">
        <v>36</v>
      </c>
      <c r="F295" s="46" t="s">
        <v>36</v>
      </c>
      <c r="G295" s="46" t="s">
        <v>36</v>
      </c>
      <c r="H295" s="46" t="s">
        <v>36</v>
      </c>
      <c r="I295" s="46" t="s">
        <v>37</v>
      </c>
      <c r="J295" s="46" t="s">
        <v>36</v>
      </c>
      <c r="K295" s="46" t="s">
        <v>36</v>
      </c>
      <c r="L295" s="46" t="s">
        <v>36</v>
      </c>
      <c r="M295" s="46" t="s">
        <v>36</v>
      </c>
      <c r="N295" s="46" t="s">
        <v>36</v>
      </c>
      <c r="O295" s="46" t="s">
        <v>36</v>
      </c>
      <c r="P295" s="46" t="s">
        <v>37</v>
      </c>
      <c r="Q295" s="46" t="s">
        <v>36</v>
      </c>
      <c r="R295" s="46" t="s">
        <v>36</v>
      </c>
      <c r="S295" s="46" t="s">
        <v>36</v>
      </c>
      <c r="T295" s="46" t="s">
        <v>36</v>
      </c>
      <c r="U295" s="46" t="s">
        <v>36</v>
      </c>
      <c r="V295" s="46" t="s">
        <v>36</v>
      </c>
      <c r="W295" s="46" t="s">
        <v>37</v>
      </c>
      <c r="X295" s="46" t="s">
        <v>36</v>
      </c>
      <c r="Y295" s="46" t="s">
        <v>36</v>
      </c>
      <c r="Z295" s="46" t="s">
        <v>36</v>
      </c>
      <c r="AA295" s="46" t="s">
        <v>31</v>
      </c>
      <c r="AB295" s="46" t="s">
        <v>36</v>
      </c>
      <c r="AC295" s="46" t="s">
        <v>36</v>
      </c>
      <c r="AD295" s="46" t="s">
        <v>37</v>
      </c>
      <c r="AE295" s="46" t="s">
        <v>36</v>
      </c>
      <c r="AF295" s="46" t="s">
        <v>36</v>
      </c>
      <c r="AG295" s="46" t="s">
        <v>36</v>
      </c>
      <c r="AH295" s="46" t="s">
        <v>43</v>
      </c>
      <c r="AI295" s="46" t="s">
        <v>36</v>
      </c>
      <c r="AJ295" s="46">
        <f>=SUM(E296:AI296)</f>
      </c>
      <c r="AK295" s="46">
        <f>=+AY295</f>
      </c>
      <c r="AL295" s="46"/>
      <c r="AM295" s="1"/>
      <c r="AN295" s="1">
        <f>=COUNTIF(E295:AI295,"A")+COUNTIF(E295:AI295,"B")+COUNTIF(E295:AI295,"C")+COUNTIF(E295:AI295,"D")+COUNTIF(E295:AI295,"E")+COUNTIF(E295:AI295,"F")+COUNTIF(E295:AI295,"M")+COUNTIF(E295:AI295,"AB")+COUNTIF(E295:AI295,"UZ")+COUNTIF(E295:AI295,"G")+(COUNTIF(E295:AI295,"RT.")/2)+(COUNTIF(E295:AI295,"ÇRT.")/2)</f>
      </c>
      <c r="AO295" s="1">
        <f>=COUNTIF(E295:AI295,"O")</f>
      </c>
      <c r="AP295" s="1">
        <f>=COUNTIF(E295:AI295,"RT")+(COUNTIF(E295:AI295,"RT.")/2)</f>
      </c>
      <c r="AQ295" s="1">
        <f>=COUNTIF(E295:AI295,"ÇRT")+(COUNTIF(E295:AI295,"ÇRT.")/2)</f>
      </c>
      <c r="AR295" s="1">
        <f>=COUNTIF(E295:AI295,"ÇHT")</f>
      </c>
      <c r="AS295" s="1">
        <f>=COUNTIF(E295:AI295,"Ö")+COUNTIF(E295:AI295,"T")</f>
      </c>
      <c r="AT295" s="1">
        <f>=COUNTIF(E295:AI295,"Y")</f>
      </c>
      <c r="AU295" s="1">
        <f>=COUNTIF(E295:AI295,"R.")</f>
      </c>
      <c r="AV295" s="1">
        <f>=COUNTIF(E295:AI295,"Ü")</f>
      </c>
      <c r="AW295" s="1">
        <f>=COUNTIF(E295:AI295,"R")</f>
      </c>
      <c r="AX295" s="1">
        <f>=COUNTIF(E295:AI295,"DV")</f>
      </c>
      <c r="AY295" s="1">
        <f>=+AN295+AO295+AP295+AQ295+AR295+AS295+AT295+AU295</f>
      </c>
    </row>
    <row r="296" ht="16" customHeight="1" spans="1:51" x14ac:dyDescent="0.25">
      <c r="A296" s="45"/>
      <c r="B296" s="46"/>
      <c r="C296" s="46"/>
      <c r="D296" s="46" t="s">
        <v>33</v>
      </c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  <c r="AD296" s="46"/>
      <c r="AE296" s="46"/>
      <c r="AF296" s="46"/>
      <c r="AG296" s="46"/>
      <c r="AH296" s="46"/>
      <c r="AI296" s="46"/>
      <c r="AJ296" s="46"/>
      <c r="AK296" s="46"/>
      <c r="AL296" s="46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ht="16" customHeight="1" spans="1:51" x14ac:dyDescent="0.25">
      <c r="A297" s="45" t="s">
        <v>334</v>
      </c>
      <c r="B297" s="46" t="s">
        <v>335</v>
      </c>
      <c r="C297" s="46" t="s">
        <v>336</v>
      </c>
      <c r="D297" s="46" t="s">
        <v>29</v>
      </c>
      <c r="E297" s="46" t="s">
        <v>37</v>
      </c>
      <c r="F297" s="46" t="s">
        <v>42</v>
      </c>
      <c r="G297" s="46" t="s">
        <v>42</v>
      </c>
      <c r="H297" s="46" t="s">
        <v>42</v>
      </c>
      <c r="I297" s="46" t="s">
        <v>42</v>
      </c>
      <c r="J297" s="46" t="s">
        <v>42</v>
      </c>
      <c r="K297" s="46" t="s">
        <v>42</v>
      </c>
      <c r="L297" s="46" t="s">
        <v>37</v>
      </c>
      <c r="M297" s="46" t="s">
        <v>42</v>
      </c>
      <c r="N297" s="46" t="s">
        <v>42</v>
      </c>
      <c r="O297" s="46" t="s">
        <v>42</v>
      </c>
      <c r="P297" s="46" t="s">
        <v>42</v>
      </c>
      <c r="Q297" s="46" t="s">
        <v>42</v>
      </c>
      <c r="R297" s="46" t="s">
        <v>59</v>
      </c>
      <c r="S297" s="46" t="s">
        <v>37</v>
      </c>
      <c r="T297" s="46" t="s">
        <v>59</v>
      </c>
      <c r="U297" s="46" t="s">
        <v>59</v>
      </c>
      <c r="V297" s="46" t="s">
        <v>59</v>
      </c>
      <c r="W297" s="46" t="s">
        <v>59</v>
      </c>
      <c r="X297" s="46" t="s">
        <v>42</v>
      </c>
      <c r="Y297" s="46" t="s">
        <v>337</v>
      </c>
      <c r="Z297" s="46" t="s">
        <v>37</v>
      </c>
      <c r="AA297" s="46" t="s">
        <v>42</v>
      </c>
      <c r="AB297" s="46" t="s">
        <v>42</v>
      </c>
      <c r="AC297" s="46" t="s">
        <v>42</v>
      </c>
      <c r="AD297" s="46" t="s">
        <v>42</v>
      </c>
      <c r="AE297" s="46" t="s">
        <v>42</v>
      </c>
      <c r="AF297" s="46" t="s">
        <v>42</v>
      </c>
      <c r="AG297" s="46" t="s">
        <v>37</v>
      </c>
      <c r="AH297" s="46" t="s">
        <v>43</v>
      </c>
      <c r="AI297" s="46" t="s">
        <v>42</v>
      </c>
      <c r="AJ297" s="46">
        <f>=SUM(E298:AI298)</f>
      </c>
      <c r="AK297" s="46">
        <f>=+AY297</f>
      </c>
      <c r="AL297" s="46"/>
      <c r="AM297" s="1"/>
      <c r="AN297" s="1">
        <f>=COUNTIF(E297:AI297,"A")+COUNTIF(E297:AI297,"B")+COUNTIF(E297:AI297,"C")+COUNTIF(E297:AI297,"D")+COUNTIF(E297:AI297,"E")+COUNTIF(E297:AI297,"F")+COUNTIF(E297:AI297,"M")+COUNTIF(E297:AI297,"AB")+COUNTIF(E297:AI297,"UZ")+COUNTIF(E297:AI297,"G")+(COUNTIF(E297:AI297,"RT.")/2)+(COUNTIF(E297:AI297,"ÇRT.")/2)</f>
      </c>
      <c r="AO297" s="1">
        <f>=COUNTIF(E297:AI297,"O")</f>
      </c>
      <c r="AP297" s="1">
        <f>=COUNTIF(E297:AI297,"RT")+(COUNTIF(E297:AI297,"RT.")/2)</f>
      </c>
      <c r="AQ297" s="1">
        <f>=COUNTIF(E297:AI297,"ÇRT")+(COUNTIF(E297:AI297,"ÇRT.")/2)</f>
      </c>
      <c r="AR297" s="1">
        <f>=COUNTIF(E297:AI297,"ÇHT")</f>
      </c>
      <c r="AS297" s="1">
        <f>=COUNTIF(E297:AI297,"Ö")+COUNTIF(E297:AI297,"T")</f>
      </c>
      <c r="AT297" s="1">
        <f>=COUNTIF(E297:AI297,"Y")</f>
      </c>
      <c r="AU297" s="1">
        <f>=COUNTIF(E297:AI297,"R.")</f>
      </c>
      <c r="AV297" s="1">
        <f>=COUNTIF(E297:AI297,"Ü")</f>
      </c>
      <c r="AW297" s="1">
        <f>=COUNTIF(E297:AI297,"R")</f>
      </c>
      <c r="AX297" s="1">
        <f>=COUNTIF(E297:AI297,"DV")</f>
      </c>
      <c r="AY297" s="1">
        <f>=+AN297+AO297+AP297+AQ297+AR297+AS297+AT297+AU297</f>
      </c>
    </row>
    <row r="298" ht="16" customHeight="1" spans="1:51" x14ac:dyDescent="0.25">
      <c r="A298" s="45"/>
      <c r="B298" s="46"/>
      <c r="C298" s="46"/>
      <c r="D298" s="46" t="s">
        <v>33</v>
      </c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  <c r="AD298" s="46"/>
      <c r="AE298" s="46"/>
      <c r="AF298" s="46"/>
      <c r="AG298" s="46"/>
      <c r="AH298" s="46"/>
      <c r="AI298" s="46"/>
      <c r="AJ298" s="46"/>
      <c r="AK298" s="46"/>
      <c r="AL298" s="46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ht="16" customHeight="1" spans="1:51" x14ac:dyDescent="0.25">
      <c r="A299" s="45"/>
      <c r="B299" s="46" t="s">
        <v>338</v>
      </c>
      <c r="C299" s="46" t="s">
        <v>339</v>
      </c>
      <c r="D299" s="46" t="s">
        <v>29</v>
      </c>
      <c r="E299" s="46" t="s">
        <v>299</v>
      </c>
      <c r="F299" s="46" t="s">
        <v>299</v>
      </c>
      <c r="G299" s="46" t="s">
        <v>299</v>
      </c>
      <c r="H299" s="46" t="s">
        <v>299</v>
      </c>
      <c r="I299" s="46" t="s">
        <v>299</v>
      </c>
      <c r="J299" s="46" t="s">
        <v>37</v>
      </c>
      <c r="K299" s="46" t="s">
        <v>299</v>
      </c>
      <c r="L299" s="46" t="s">
        <v>299</v>
      </c>
      <c r="M299" s="46" t="s">
        <v>299</v>
      </c>
      <c r="N299" s="46" t="s">
        <v>299</v>
      </c>
      <c r="O299" s="46" t="s">
        <v>299</v>
      </c>
      <c r="P299" s="46" t="s">
        <v>299</v>
      </c>
      <c r="Q299" s="46" t="s">
        <v>37</v>
      </c>
      <c r="R299" s="46" t="s">
        <v>299</v>
      </c>
      <c r="S299" s="46" t="s">
        <v>299</v>
      </c>
      <c r="T299" s="46" t="s">
        <v>299</v>
      </c>
      <c r="U299" s="46" t="s">
        <v>299</v>
      </c>
      <c r="V299" s="46" t="s">
        <v>299</v>
      </c>
      <c r="W299" s="46" t="s">
        <v>299</v>
      </c>
      <c r="X299" s="46" t="s">
        <v>37</v>
      </c>
      <c r="Y299" s="46" t="s">
        <v>299</v>
      </c>
      <c r="Z299" s="46" t="s">
        <v>299</v>
      </c>
      <c r="AA299" s="46" t="s">
        <v>299</v>
      </c>
      <c r="AB299" s="46" t="s">
        <v>299</v>
      </c>
      <c r="AC299" s="46" t="s">
        <v>299</v>
      </c>
      <c r="AD299" s="46" t="s">
        <v>299</v>
      </c>
      <c r="AE299" s="46" t="s">
        <v>37</v>
      </c>
      <c r="AF299" s="46" t="s">
        <v>299</v>
      </c>
      <c r="AG299" s="46" t="s">
        <v>299</v>
      </c>
      <c r="AH299" s="46" t="s">
        <v>43</v>
      </c>
      <c r="AI299" s="46" t="s">
        <v>299</v>
      </c>
      <c r="AJ299" s="46">
        <f>=SUM(E300:AI300)</f>
      </c>
      <c r="AK299" s="46">
        <f>=+AY299</f>
      </c>
      <c r="AL299" s="46"/>
      <c r="AM299" s="1"/>
      <c r="AN299" s="1">
        <f>=COUNTIF(E299:AI299,"A")+COUNTIF(E299:AI299,"B")+COUNTIF(E299:AI299,"C")+COUNTIF(E299:AI299,"D")+COUNTIF(E299:AI299,"E")+COUNTIF(E299:AI299,"F")+COUNTIF(E299:AI299,"M")+COUNTIF(E299:AI299,"AB")+COUNTIF(E299:AI299,"UZ")+COUNTIF(E299:AI299,"G")+(COUNTIF(E299:AI299,"RT.")/2)+(COUNTIF(E299:AI299,"ÇRT.")/2)</f>
      </c>
      <c r="AO299" s="1">
        <f>=COUNTIF(E299:AI299,"O")</f>
      </c>
      <c r="AP299" s="1">
        <f>=COUNTIF(E299:AI299,"RT")+(COUNTIF(E299:AI299,"RT.")/2)</f>
      </c>
      <c r="AQ299" s="1">
        <f>=COUNTIF(E299:AI299,"ÇRT")+(COUNTIF(E299:AI299,"ÇRT.")/2)</f>
      </c>
      <c r="AR299" s="1">
        <f>=COUNTIF(E299:AI299,"ÇHT")</f>
      </c>
      <c r="AS299" s="1">
        <f>=COUNTIF(E299:AI299,"Ö")+COUNTIF(E299:AI299,"T")</f>
      </c>
      <c r="AT299" s="1">
        <f>=COUNTIF(E299:AI299,"Y")</f>
      </c>
      <c r="AU299" s="1">
        <f>=COUNTIF(E299:AI299,"R.")</f>
      </c>
      <c r="AV299" s="1">
        <f>=COUNTIF(E299:AI299,"Ü")</f>
      </c>
      <c r="AW299" s="1">
        <f>=COUNTIF(E299:AI299,"R")</f>
      </c>
      <c r="AX299" s="1">
        <f>=COUNTIF(E299:AI299,"DV")</f>
      </c>
      <c r="AY299" s="1">
        <f>=+AN299+AO299+AP299+AQ299+AR299+AS299+AT299+AU299</f>
      </c>
    </row>
    <row r="300" ht="16" customHeight="1" spans="1:51" x14ac:dyDescent="0.25">
      <c r="A300" s="45"/>
      <c r="B300" s="46"/>
      <c r="C300" s="46"/>
      <c r="D300" s="46" t="s">
        <v>33</v>
      </c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  <c r="AC300" s="46"/>
      <c r="AD300" s="46"/>
      <c r="AE300" s="46"/>
      <c r="AF300" s="46"/>
      <c r="AG300" s="46"/>
      <c r="AH300" s="46"/>
      <c r="AI300" s="46"/>
      <c r="AJ300" s="46"/>
      <c r="AK300" s="46"/>
      <c r="AL300" s="46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ht="16" customHeight="1" spans="1:51" x14ac:dyDescent="0.25">
      <c r="A301" s="45"/>
      <c r="B301" s="46" t="s">
        <v>340</v>
      </c>
      <c r="C301" s="46" t="s">
        <v>341</v>
      </c>
      <c r="D301" s="46" t="s">
        <v>29</v>
      </c>
      <c r="E301" s="46" t="s">
        <v>299</v>
      </c>
      <c r="F301" s="46" t="s">
        <v>299</v>
      </c>
      <c r="G301" s="46" t="s">
        <v>37</v>
      </c>
      <c r="H301" s="46" t="s">
        <v>31</v>
      </c>
      <c r="I301" s="46" t="s">
        <v>299</v>
      </c>
      <c r="J301" s="46" t="s">
        <v>299</v>
      </c>
      <c r="K301" s="46" t="s">
        <v>299</v>
      </c>
      <c r="L301" s="46" t="s">
        <v>299</v>
      </c>
      <c r="M301" s="46" t="s">
        <v>299</v>
      </c>
      <c r="N301" s="46" t="s">
        <v>37</v>
      </c>
      <c r="O301" s="46" t="s">
        <v>299</v>
      </c>
      <c r="P301" s="46" t="s">
        <v>299</v>
      </c>
      <c r="Q301" s="46" t="s">
        <v>299</v>
      </c>
      <c r="R301" s="46" t="s">
        <v>299</v>
      </c>
      <c r="S301" s="46" t="s">
        <v>299</v>
      </c>
      <c r="T301" s="46" t="s">
        <v>299</v>
      </c>
      <c r="U301" s="46" t="s">
        <v>37</v>
      </c>
      <c r="V301" s="46" t="s">
        <v>299</v>
      </c>
      <c r="W301" s="46" t="s">
        <v>299</v>
      </c>
      <c r="X301" s="46" t="s">
        <v>299</v>
      </c>
      <c r="Y301" s="46" t="s">
        <v>299</v>
      </c>
      <c r="Z301" s="46" t="s">
        <v>299</v>
      </c>
      <c r="AA301" s="46" t="s">
        <v>299</v>
      </c>
      <c r="AB301" s="46" t="s">
        <v>37</v>
      </c>
      <c r="AC301" s="46" t="s">
        <v>299</v>
      </c>
      <c r="AD301" s="46" t="s">
        <v>299</v>
      </c>
      <c r="AE301" s="46" t="s">
        <v>299</v>
      </c>
      <c r="AF301" s="46" t="s">
        <v>299</v>
      </c>
      <c r="AG301" s="46" t="s">
        <v>299</v>
      </c>
      <c r="AH301" s="46" t="s">
        <v>43</v>
      </c>
      <c r="AI301" s="46" t="s">
        <v>299</v>
      </c>
      <c r="AJ301" s="46">
        <f>=SUM(E302:AI302)</f>
      </c>
      <c r="AK301" s="46">
        <f>=+AY301</f>
      </c>
      <c r="AL301" s="46"/>
      <c r="AM301" s="1"/>
      <c r="AN301" s="1">
        <f>=COUNTIF(E301:AI301,"A")+COUNTIF(E301:AI301,"B")+COUNTIF(E301:AI301,"C")+COUNTIF(E301:AI301,"D")+COUNTIF(E301:AI301,"E")+COUNTIF(E301:AI301,"F")+COUNTIF(E301:AI301,"M")+COUNTIF(E301:AI301,"AB")+COUNTIF(E301:AI301,"UZ")+COUNTIF(E301:AI301,"G")+(COUNTIF(E301:AI301,"RT.")/2)+(COUNTIF(E301:AI301,"ÇRT.")/2)</f>
      </c>
      <c r="AO301" s="1">
        <f>=COUNTIF(E301:AI301,"O")</f>
      </c>
      <c r="AP301" s="1">
        <f>=COUNTIF(E301:AI301,"RT")+(COUNTIF(E301:AI301,"RT.")/2)</f>
      </c>
      <c r="AQ301" s="1">
        <f>=COUNTIF(E301:AI301,"ÇRT")+(COUNTIF(E301:AI301,"ÇRT.")/2)</f>
      </c>
      <c r="AR301" s="1">
        <f>=COUNTIF(E301:AI301,"ÇHT")</f>
      </c>
      <c r="AS301" s="1">
        <f>=COUNTIF(E301:AI301,"Ö")+COUNTIF(E301:AI301,"T")</f>
      </c>
      <c r="AT301" s="1">
        <f>=COUNTIF(E301:AI301,"Y")</f>
      </c>
      <c r="AU301" s="1">
        <f>=COUNTIF(E301:AI301,"R.")</f>
      </c>
      <c r="AV301" s="1">
        <f>=COUNTIF(E301:AI301,"Ü")</f>
      </c>
      <c r="AW301" s="1">
        <f>=COUNTIF(E301:AI301,"R")</f>
      </c>
      <c r="AX301" s="1">
        <f>=COUNTIF(E301:AI301,"DV")</f>
      </c>
      <c r="AY301" s="1">
        <f>=+AN301+AO301+AP301+AQ301+AR301+AS301+AT301+AU301</f>
      </c>
    </row>
    <row r="302" ht="16" customHeight="1" spans="1:51" x14ac:dyDescent="0.25">
      <c r="A302" s="45"/>
      <c r="B302" s="46"/>
      <c r="C302" s="46"/>
      <c r="D302" s="46" t="s">
        <v>33</v>
      </c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  <c r="AC302" s="46"/>
      <c r="AD302" s="46"/>
      <c r="AE302" s="46"/>
      <c r="AF302" s="46"/>
      <c r="AG302" s="46"/>
      <c r="AH302" s="46"/>
      <c r="AI302" s="46"/>
      <c r="AJ302" s="46"/>
      <c r="AK302" s="46"/>
      <c r="AL302" s="46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ht="16" customHeight="1" spans="1:51" x14ac:dyDescent="0.25">
      <c r="A303" s="45"/>
      <c r="B303" s="46" t="s">
        <v>342</v>
      </c>
      <c r="C303" s="46" t="s">
        <v>343</v>
      </c>
      <c r="D303" s="46" t="s">
        <v>29</v>
      </c>
      <c r="E303" s="46" t="s">
        <v>299</v>
      </c>
      <c r="F303" s="46" t="s">
        <v>299</v>
      </c>
      <c r="G303" s="46" t="s">
        <v>299</v>
      </c>
      <c r="H303" s="46" t="s">
        <v>37</v>
      </c>
      <c r="I303" s="46" t="s">
        <v>299</v>
      </c>
      <c r="J303" s="46" t="s">
        <v>299</v>
      </c>
      <c r="K303" s="46" t="s">
        <v>299</v>
      </c>
      <c r="L303" s="46" t="s">
        <v>299</v>
      </c>
      <c r="M303" s="46" t="s">
        <v>299</v>
      </c>
      <c r="N303" s="46" t="s">
        <v>299</v>
      </c>
      <c r="O303" s="46" t="s">
        <v>37</v>
      </c>
      <c r="P303" s="46" t="s">
        <v>299</v>
      </c>
      <c r="Q303" s="46" t="s">
        <v>299</v>
      </c>
      <c r="R303" s="46" t="s">
        <v>299</v>
      </c>
      <c r="S303" s="46" t="s">
        <v>299</v>
      </c>
      <c r="T303" s="46" t="s">
        <v>299</v>
      </c>
      <c r="U303" s="46" t="s">
        <v>299</v>
      </c>
      <c r="V303" s="46" t="s">
        <v>37</v>
      </c>
      <c r="W303" s="46" t="s">
        <v>299</v>
      </c>
      <c r="X303" s="46" t="s">
        <v>299</v>
      </c>
      <c r="Y303" s="46" t="s">
        <v>299</v>
      </c>
      <c r="Z303" s="46" t="s">
        <v>299</v>
      </c>
      <c r="AA303" s="46" t="s">
        <v>299</v>
      </c>
      <c r="AB303" s="46" t="s">
        <v>299</v>
      </c>
      <c r="AC303" s="46" t="s">
        <v>37</v>
      </c>
      <c r="AD303" s="46" t="s">
        <v>299</v>
      </c>
      <c r="AE303" s="46" t="s">
        <v>299</v>
      </c>
      <c r="AF303" s="46" t="s">
        <v>299</v>
      </c>
      <c r="AG303" s="46" t="s">
        <v>153</v>
      </c>
      <c r="AH303" s="46" t="s">
        <v>43</v>
      </c>
      <c r="AI303" s="46" t="s">
        <v>37</v>
      </c>
      <c r="AJ303" s="46">
        <f>=SUM(E304:AI304)</f>
      </c>
      <c r="AK303" s="46">
        <f>=+AY303</f>
      </c>
      <c r="AL303" s="46"/>
      <c r="AM303" s="1"/>
      <c r="AN303" s="1">
        <f>=COUNTIF(E303:AI303,"A")+COUNTIF(E303:AI303,"B")+COUNTIF(E303:AI303,"C")+COUNTIF(E303:AI303,"D")+COUNTIF(E303:AI303,"E")+COUNTIF(E303:AI303,"F")+COUNTIF(E303:AI303,"M")+COUNTIF(E303:AI303,"AB")+COUNTIF(E303:AI303,"UZ")+COUNTIF(E303:AI303,"G")+(COUNTIF(E303:AI303,"RT.")/2)+(COUNTIF(E303:AI303,"ÇRT.")/2)</f>
      </c>
      <c r="AO303" s="1">
        <f>=COUNTIF(E303:AI303,"O")</f>
      </c>
      <c r="AP303" s="1">
        <f>=COUNTIF(E303:AI303,"RT")+(COUNTIF(E303:AI303,"RT.")/2)</f>
      </c>
      <c r="AQ303" s="1">
        <f>=COUNTIF(E303:AI303,"ÇRT")+(COUNTIF(E303:AI303,"ÇRT.")/2)</f>
      </c>
      <c r="AR303" s="1">
        <f>=COUNTIF(E303:AI303,"ÇHT")</f>
      </c>
      <c r="AS303" s="1">
        <f>=COUNTIF(E303:AI303,"Ö")+COUNTIF(E303:AI303,"T")</f>
      </c>
      <c r="AT303" s="1">
        <f>=COUNTIF(E303:AI303,"Y")</f>
      </c>
      <c r="AU303" s="1">
        <f>=COUNTIF(E303:AI303,"R.")</f>
      </c>
      <c r="AV303" s="1">
        <f>=COUNTIF(E303:AI303,"Ü")</f>
      </c>
      <c r="AW303" s="1">
        <f>=COUNTIF(E303:AI303,"R")</f>
      </c>
      <c r="AX303" s="1">
        <f>=COUNTIF(E303:AI303,"DV")</f>
      </c>
      <c r="AY303" s="1">
        <f>=+AN303+AO303+AP303+AQ303+AR303+AS303+AT303+AU303</f>
      </c>
    </row>
    <row r="304" ht="16" customHeight="1" spans="1:51" x14ac:dyDescent="0.25">
      <c r="A304" s="45"/>
      <c r="B304" s="46"/>
      <c r="C304" s="46"/>
      <c r="D304" s="46" t="s">
        <v>33</v>
      </c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>
        <v>0</v>
      </c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  <c r="AC304" s="46"/>
      <c r="AD304" s="46"/>
      <c r="AE304" s="46"/>
      <c r="AF304" s="46"/>
      <c r="AG304" s="46"/>
      <c r="AH304" s="46"/>
      <c r="AI304" s="46"/>
      <c r="AJ304" s="46"/>
      <c r="AK304" s="46"/>
      <c r="AL304" s="46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ht="16" customHeight="1" spans="1:51" x14ac:dyDescent="0.25">
      <c r="A305" s="45"/>
      <c r="B305" s="46" t="s">
        <v>344</v>
      </c>
      <c r="C305" s="46" t="s">
        <v>345</v>
      </c>
      <c r="D305" s="46" t="s">
        <v>29</v>
      </c>
      <c r="E305" s="46" t="s">
        <v>299</v>
      </c>
      <c r="F305" s="46" t="s">
        <v>37</v>
      </c>
      <c r="G305" s="46" t="s">
        <v>299</v>
      </c>
      <c r="H305" s="46" t="s">
        <v>299</v>
      </c>
      <c r="I305" s="46" t="s">
        <v>299</v>
      </c>
      <c r="J305" s="46" t="s">
        <v>299</v>
      </c>
      <c r="K305" s="46" t="s">
        <v>299</v>
      </c>
      <c r="L305" s="46" t="s">
        <v>299</v>
      </c>
      <c r="M305" s="46" t="s">
        <v>37</v>
      </c>
      <c r="N305" s="46" t="s">
        <v>299</v>
      </c>
      <c r="O305" s="46" t="s">
        <v>299</v>
      </c>
      <c r="P305" s="46" t="s">
        <v>299</v>
      </c>
      <c r="Q305" s="46" t="s">
        <v>299</v>
      </c>
      <c r="R305" s="46" t="s">
        <v>299</v>
      </c>
      <c r="S305" s="46" t="s">
        <v>299</v>
      </c>
      <c r="T305" s="46" t="s">
        <v>37</v>
      </c>
      <c r="U305" s="46" t="s">
        <v>299</v>
      </c>
      <c r="V305" s="46" t="s">
        <v>299</v>
      </c>
      <c r="W305" s="46" t="s">
        <v>299</v>
      </c>
      <c r="X305" s="46" t="s">
        <v>299</v>
      </c>
      <c r="Y305" s="46" t="s">
        <v>299</v>
      </c>
      <c r="Z305" s="46" t="s">
        <v>299</v>
      </c>
      <c r="AA305" s="46" t="s">
        <v>37</v>
      </c>
      <c r="AB305" s="46" t="s">
        <v>299</v>
      </c>
      <c r="AC305" s="46" t="s">
        <v>299</v>
      </c>
      <c r="AD305" s="46" t="s">
        <v>299</v>
      </c>
      <c r="AE305" s="46" t="s">
        <v>299</v>
      </c>
      <c r="AF305" s="46" t="s">
        <v>299</v>
      </c>
      <c r="AG305" s="46" t="s">
        <v>299</v>
      </c>
      <c r="AH305" s="46" t="s">
        <v>37</v>
      </c>
      <c r="AI305" s="46" t="s">
        <v>299</v>
      </c>
      <c r="AJ305" s="46">
        <f>=SUM(E306:AI306)</f>
      </c>
      <c r="AK305" s="46">
        <f>=+AY305</f>
      </c>
      <c r="AL305" s="46"/>
      <c r="AM305" s="1"/>
      <c r="AN305" s="1">
        <f>=COUNTIF(E305:AI305,"A")+COUNTIF(E305:AI305,"B")+COUNTIF(E305:AI305,"C")+COUNTIF(E305:AI305,"D")+COUNTIF(E305:AI305,"E")+COUNTIF(E305:AI305,"F")+COUNTIF(E305:AI305,"M")+COUNTIF(E305:AI305,"AB")+COUNTIF(E305:AI305,"UZ")+COUNTIF(E305:AI305,"G")+(COUNTIF(E305:AI305,"RT.")/2)+(COUNTIF(E305:AI305,"ÇRT.")/2)</f>
      </c>
      <c r="AO305" s="1">
        <f>=COUNTIF(E305:AI305,"O")</f>
      </c>
      <c r="AP305" s="1">
        <f>=COUNTIF(E305:AI305,"RT")+(COUNTIF(E305:AI305,"RT.")/2)</f>
      </c>
      <c r="AQ305" s="1">
        <f>=COUNTIF(E305:AI305,"ÇRT")+(COUNTIF(E305:AI305,"ÇRT.")/2)</f>
      </c>
      <c r="AR305" s="1">
        <f>=COUNTIF(E305:AI305,"ÇHT")</f>
      </c>
      <c r="AS305" s="1">
        <f>=COUNTIF(E305:AI305,"Ö")+COUNTIF(E305:AI305,"T")</f>
      </c>
      <c r="AT305" s="1">
        <f>=COUNTIF(E305:AI305,"Y")</f>
      </c>
      <c r="AU305" s="1">
        <f>=COUNTIF(E305:AI305,"R.")</f>
      </c>
      <c r="AV305" s="1">
        <f>=COUNTIF(E305:AI305,"Ü")</f>
      </c>
      <c r="AW305" s="1">
        <f>=COUNTIF(E305:AI305,"R")</f>
      </c>
      <c r="AX305" s="1">
        <f>=COUNTIF(E305:AI305,"DV")</f>
      </c>
      <c r="AY305" s="1">
        <f>=+AN305+AO305+AP305+AQ305+AR305+AS305+AT305+AU305</f>
      </c>
    </row>
    <row r="306" ht="16" customHeight="1" spans="1:51" x14ac:dyDescent="0.25">
      <c r="A306" s="45"/>
      <c r="B306" s="46"/>
      <c r="C306" s="46"/>
      <c r="D306" s="46" t="s">
        <v>33</v>
      </c>
      <c r="E306" s="46"/>
      <c r="F306" s="46"/>
      <c r="G306" s="46"/>
      <c r="H306" s="46"/>
      <c r="I306" s="46">
        <v>0</v>
      </c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  <c r="AC306" s="46"/>
      <c r="AD306" s="46"/>
      <c r="AE306" s="46"/>
      <c r="AF306" s="46"/>
      <c r="AG306" s="46"/>
      <c r="AH306" s="46">
        <v>0</v>
      </c>
      <c r="AI306" s="46"/>
      <c r="AJ306" s="46"/>
      <c r="AK306" s="46"/>
      <c r="AL306" s="46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ht="16" customHeight="1" spans="1:51" x14ac:dyDescent="0.25">
      <c r="A307" s="45"/>
      <c r="B307" s="46" t="s">
        <v>346</v>
      </c>
      <c r="C307" s="46" t="s">
        <v>347</v>
      </c>
      <c r="D307" s="46" t="s">
        <v>29</v>
      </c>
      <c r="E307" s="46" t="s">
        <v>299</v>
      </c>
      <c r="F307" s="46" t="s">
        <v>37</v>
      </c>
      <c r="G307" s="46" t="s">
        <v>299</v>
      </c>
      <c r="H307" s="46" t="s">
        <v>299</v>
      </c>
      <c r="I307" s="46" t="s">
        <v>299</v>
      </c>
      <c r="J307" s="46" t="s">
        <v>299</v>
      </c>
      <c r="K307" s="46" t="s">
        <v>299</v>
      </c>
      <c r="L307" s="46" t="s">
        <v>299</v>
      </c>
      <c r="M307" s="46" t="s">
        <v>37</v>
      </c>
      <c r="N307" s="46" t="s">
        <v>299</v>
      </c>
      <c r="O307" s="46" t="s">
        <v>299</v>
      </c>
      <c r="P307" s="46" t="s">
        <v>299</v>
      </c>
      <c r="Q307" s="46" t="s">
        <v>299</v>
      </c>
      <c r="R307" s="46" t="s">
        <v>299</v>
      </c>
      <c r="S307" s="46" t="s">
        <v>37</v>
      </c>
      <c r="T307" s="46" t="s">
        <v>299</v>
      </c>
      <c r="U307" s="46" t="s">
        <v>299</v>
      </c>
      <c r="V307" s="46" t="s">
        <v>299</v>
      </c>
      <c r="W307" s="46" t="s">
        <v>299</v>
      </c>
      <c r="X307" s="46" t="s">
        <v>299</v>
      </c>
      <c r="Y307" s="46" t="s">
        <v>299</v>
      </c>
      <c r="Z307" s="46" t="s">
        <v>37</v>
      </c>
      <c r="AA307" s="46" t="s">
        <v>299</v>
      </c>
      <c r="AB307" s="46" t="s">
        <v>299</v>
      </c>
      <c r="AC307" s="46" t="s">
        <v>299</v>
      </c>
      <c r="AD307" s="46" t="s">
        <v>299</v>
      </c>
      <c r="AE307" s="46" t="s">
        <v>299</v>
      </c>
      <c r="AF307" s="46" t="s">
        <v>299</v>
      </c>
      <c r="AG307" s="46" t="s">
        <v>37</v>
      </c>
      <c r="AH307" s="46" t="s">
        <v>43</v>
      </c>
      <c r="AI307" s="46" t="s">
        <v>299</v>
      </c>
      <c r="AJ307" s="46">
        <f>=SUM(E308:AI308)</f>
      </c>
      <c r="AK307" s="46">
        <f>=+AY307</f>
      </c>
      <c r="AL307" s="46"/>
      <c r="AM307" s="1"/>
      <c r="AN307" s="1">
        <f>=COUNTIF(E307:AI307,"A")+COUNTIF(E307:AI307,"B")+COUNTIF(E307:AI307,"C")+COUNTIF(E307:AI307,"D")+COUNTIF(E307:AI307,"E")+COUNTIF(E307:AI307,"F")+COUNTIF(E307:AI307,"M")+COUNTIF(E307:AI307,"AB")+COUNTIF(E307:AI307,"UZ")+COUNTIF(E307:AI307,"G")+(COUNTIF(E307:AI307,"RT.")/2)+(COUNTIF(E307:AI307,"ÇRT.")/2)</f>
      </c>
      <c r="AO307" s="1">
        <f>=COUNTIF(E307:AI307,"O")</f>
      </c>
      <c r="AP307" s="1">
        <f>=COUNTIF(E307:AI307,"RT")+(COUNTIF(E307:AI307,"RT.")/2)</f>
      </c>
      <c r="AQ307" s="1">
        <f>=COUNTIF(E307:AI307,"ÇRT")+(COUNTIF(E307:AI307,"ÇRT.")/2)</f>
      </c>
      <c r="AR307" s="1">
        <f>=COUNTIF(E307:AI307,"ÇHT")</f>
      </c>
      <c r="AS307" s="1">
        <f>=COUNTIF(E307:AI307,"Ö")+COUNTIF(E307:AI307,"T")</f>
      </c>
      <c r="AT307" s="1">
        <f>=COUNTIF(E307:AI307,"Y")</f>
      </c>
      <c r="AU307" s="1">
        <f>=COUNTIF(E307:AI307,"R.")</f>
      </c>
      <c r="AV307" s="1">
        <f>=COUNTIF(E307:AI307,"Ü")</f>
      </c>
      <c r="AW307" s="1">
        <f>=COUNTIF(E307:AI307,"R")</f>
      </c>
      <c r="AX307" s="1">
        <f>=COUNTIF(E307:AI307,"DV")</f>
      </c>
      <c r="AY307" s="1">
        <f>=+AN307+AO307+AP307+AQ307+AR307+AS307+AT307+AU307</f>
      </c>
    </row>
    <row r="308" ht="16" customHeight="1" spans="1:51" x14ac:dyDescent="0.25">
      <c r="A308" s="45"/>
      <c r="B308" s="46"/>
      <c r="C308" s="46"/>
      <c r="D308" s="46" t="s">
        <v>33</v>
      </c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  <c r="AC308" s="46"/>
      <c r="AD308" s="46"/>
      <c r="AE308" s="46"/>
      <c r="AF308" s="46"/>
      <c r="AG308" s="46"/>
      <c r="AH308" s="46"/>
      <c r="AI308" s="46"/>
      <c r="AJ308" s="46"/>
      <c r="AK308" s="46"/>
      <c r="AL308" s="46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ht="16" customHeight="1" spans="1:51" x14ac:dyDescent="0.25">
      <c r="A309" s="45"/>
      <c r="B309" s="46" t="s">
        <v>348</v>
      </c>
      <c r="C309" s="46" t="s">
        <v>349</v>
      </c>
      <c r="D309" s="46" t="s">
        <v>29</v>
      </c>
      <c r="E309" s="46" t="s">
        <v>299</v>
      </c>
      <c r="F309" s="46" t="s">
        <v>299</v>
      </c>
      <c r="G309" s="46" t="s">
        <v>299</v>
      </c>
      <c r="H309" s="46" t="s">
        <v>37</v>
      </c>
      <c r="I309" s="46" t="s">
        <v>299</v>
      </c>
      <c r="J309" s="46" t="s">
        <v>299</v>
      </c>
      <c r="K309" s="46" t="s">
        <v>299</v>
      </c>
      <c r="L309" s="46" t="s">
        <v>299</v>
      </c>
      <c r="M309" s="46" t="s">
        <v>299</v>
      </c>
      <c r="N309" s="46" t="s">
        <v>299</v>
      </c>
      <c r="O309" s="46" t="s">
        <v>37</v>
      </c>
      <c r="P309" s="46" t="s">
        <v>299</v>
      </c>
      <c r="Q309" s="46" t="s">
        <v>299</v>
      </c>
      <c r="R309" s="46" t="s">
        <v>299</v>
      </c>
      <c r="S309" s="46" t="s">
        <v>299</v>
      </c>
      <c r="T309" s="46" t="s">
        <v>299</v>
      </c>
      <c r="U309" s="46" t="s">
        <v>299</v>
      </c>
      <c r="V309" s="46" t="s">
        <v>37</v>
      </c>
      <c r="W309" s="46" t="s">
        <v>299</v>
      </c>
      <c r="X309" s="46" t="s">
        <v>299</v>
      </c>
      <c r="Y309" s="46" t="s">
        <v>299</v>
      </c>
      <c r="Z309" s="46" t="s">
        <v>299</v>
      </c>
      <c r="AA309" s="46" t="s">
        <v>299</v>
      </c>
      <c r="AB309" s="46" t="s">
        <v>299</v>
      </c>
      <c r="AC309" s="46" t="s">
        <v>37</v>
      </c>
      <c r="AD309" s="46" t="s">
        <v>299</v>
      </c>
      <c r="AE309" s="46" t="s">
        <v>299</v>
      </c>
      <c r="AF309" s="46" t="s">
        <v>299</v>
      </c>
      <c r="AG309" s="46" t="s">
        <v>299</v>
      </c>
      <c r="AH309" s="46" t="s">
        <v>43</v>
      </c>
      <c r="AI309" s="46" t="s">
        <v>299</v>
      </c>
      <c r="AJ309" s="46">
        <f>=SUM(E310:AI310)</f>
      </c>
      <c r="AK309" s="46">
        <f>=+AY309</f>
      </c>
      <c r="AL309" s="46"/>
      <c r="AM309" s="1"/>
      <c r="AN309" s="1">
        <f>=COUNTIF(E309:AI309,"A")+COUNTIF(E309:AI309,"B")+COUNTIF(E309:AI309,"C")+COUNTIF(E309:AI309,"D")+COUNTIF(E309:AI309,"E")+COUNTIF(E309:AI309,"F")+COUNTIF(E309:AI309,"M")+COUNTIF(E309:AI309,"AB")+COUNTIF(E309:AI309,"UZ")+COUNTIF(E309:AI309,"G")+(COUNTIF(E309:AI309,"RT.")/2)+(COUNTIF(E309:AI309,"ÇRT.")/2)</f>
      </c>
      <c r="AO309" s="1">
        <f>=COUNTIF(E309:AI309,"O")</f>
      </c>
      <c r="AP309" s="1">
        <f>=COUNTIF(E309:AI309,"RT")+(COUNTIF(E309:AI309,"RT.")/2)</f>
      </c>
      <c r="AQ309" s="1">
        <f>=COUNTIF(E309:AI309,"ÇRT")+(COUNTIF(E309:AI309,"ÇRT.")/2)</f>
      </c>
      <c r="AR309" s="1">
        <f>=COUNTIF(E309:AI309,"ÇHT")</f>
      </c>
      <c r="AS309" s="1">
        <f>=COUNTIF(E309:AI309,"Ö")+COUNTIF(E309:AI309,"T")</f>
      </c>
      <c r="AT309" s="1">
        <f>=COUNTIF(E309:AI309,"Y")</f>
      </c>
      <c r="AU309" s="1">
        <f>=COUNTIF(E309:AI309,"R.")</f>
      </c>
      <c r="AV309" s="1">
        <f>=COUNTIF(E309:AI309,"Ü")</f>
      </c>
      <c r="AW309" s="1">
        <f>=COUNTIF(E309:AI309,"R")</f>
      </c>
      <c r="AX309" s="1">
        <f>=COUNTIF(E309:AI309,"DV")</f>
      </c>
      <c r="AY309" s="1">
        <f>=+AN309+AO309+AP309+AQ309+AR309+AS309+AT309+AU309</f>
      </c>
    </row>
    <row r="310" ht="16" customHeight="1" spans="1:51" x14ac:dyDescent="0.25">
      <c r="A310" s="45"/>
      <c r="B310" s="46"/>
      <c r="C310" s="46"/>
      <c r="D310" s="46" t="s">
        <v>33</v>
      </c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  <c r="AC310" s="46"/>
      <c r="AD310" s="46"/>
      <c r="AE310" s="46"/>
      <c r="AF310" s="46"/>
      <c r="AG310" s="46"/>
      <c r="AH310" s="46"/>
      <c r="AI310" s="46"/>
      <c r="AJ310" s="46"/>
      <c r="AK310" s="46"/>
      <c r="AL310" s="46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ht="16" customHeight="1" spans="1:51" x14ac:dyDescent="0.25">
      <c r="A311" s="45"/>
      <c r="B311" s="46" t="s">
        <v>350</v>
      </c>
      <c r="C311" s="46" t="s">
        <v>351</v>
      </c>
      <c r="D311" s="46" t="s">
        <v>29</v>
      </c>
      <c r="E311" s="46" t="s">
        <v>299</v>
      </c>
      <c r="F311" s="46" t="s">
        <v>299</v>
      </c>
      <c r="G311" s="46" t="s">
        <v>299</v>
      </c>
      <c r="H311" s="46" t="s">
        <v>299</v>
      </c>
      <c r="I311" s="46" t="s">
        <v>299</v>
      </c>
      <c r="J311" s="46" t="s">
        <v>299</v>
      </c>
      <c r="K311" s="46" t="s">
        <v>37</v>
      </c>
      <c r="L311" s="46" t="s">
        <v>299</v>
      </c>
      <c r="M311" s="46" t="s">
        <v>299</v>
      </c>
      <c r="N311" s="46" t="s">
        <v>299</v>
      </c>
      <c r="O311" s="46" t="s">
        <v>299</v>
      </c>
      <c r="P311" s="46" t="s">
        <v>299</v>
      </c>
      <c r="Q311" s="46" t="s">
        <v>299</v>
      </c>
      <c r="R311" s="46" t="s">
        <v>37</v>
      </c>
      <c r="S311" s="46" t="s">
        <v>299</v>
      </c>
      <c r="T311" s="46" t="s">
        <v>299</v>
      </c>
      <c r="U311" s="46" t="s">
        <v>299</v>
      </c>
      <c r="V311" s="46" t="s">
        <v>299</v>
      </c>
      <c r="W311" s="46" t="s">
        <v>299</v>
      </c>
      <c r="X311" s="46" t="s">
        <v>299</v>
      </c>
      <c r="Y311" s="46" t="s">
        <v>37</v>
      </c>
      <c r="Z311" s="46" t="s">
        <v>299</v>
      </c>
      <c r="AA311" s="46" t="s">
        <v>299</v>
      </c>
      <c r="AB311" s="46" t="s">
        <v>299</v>
      </c>
      <c r="AC311" s="46" t="s">
        <v>299</v>
      </c>
      <c r="AD311" s="46" t="s">
        <v>299</v>
      </c>
      <c r="AE311" s="46" t="s">
        <v>299</v>
      </c>
      <c r="AF311" s="46" t="s">
        <v>37</v>
      </c>
      <c r="AG311" s="46" t="s">
        <v>299</v>
      </c>
      <c r="AH311" s="46" t="s">
        <v>43</v>
      </c>
      <c r="AI311" s="46" t="s">
        <v>299</v>
      </c>
      <c r="AJ311" s="46">
        <f>=SUM(E312:AI312)</f>
      </c>
      <c r="AK311" s="46">
        <f>=+AY311</f>
      </c>
      <c r="AL311" s="46"/>
      <c r="AM311" s="1"/>
      <c r="AN311" s="1">
        <f>=COUNTIF(E311:AI311,"A")+COUNTIF(E311:AI311,"B")+COUNTIF(E311:AI311,"C")+COUNTIF(E311:AI311,"D")+COUNTIF(E311:AI311,"E")+COUNTIF(E311:AI311,"F")+COUNTIF(E311:AI311,"M")+COUNTIF(E311:AI311,"AB")+COUNTIF(E311:AI311,"UZ")+COUNTIF(E311:AI311,"G")+(COUNTIF(E311:AI311,"RT.")/2)+(COUNTIF(E311:AI311,"ÇRT.")/2)</f>
      </c>
      <c r="AO311" s="1">
        <f>=COUNTIF(E311:AI311,"O")</f>
      </c>
      <c r="AP311" s="1">
        <f>=COUNTIF(E311:AI311,"RT")+(COUNTIF(E311:AI311,"RT.")/2)</f>
      </c>
      <c r="AQ311" s="1">
        <f>=COUNTIF(E311:AI311,"ÇRT")+(COUNTIF(E311:AI311,"ÇRT.")/2)</f>
      </c>
      <c r="AR311" s="1">
        <f>=COUNTIF(E311:AI311,"ÇHT")</f>
      </c>
      <c r="AS311" s="1">
        <f>=COUNTIF(E311:AI311,"Ö")+COUNTIF(E311:AI311,"T")</f>
      </c>
      <c r="AT311" s="1">
        <f>=COUNTIF(E311:AI311,"Y")</f>
      </c>
      <c r="AU311" s="1">
        <f>=COUNTIF(E311:AI311,"R.")</f>
      </c>
      <c r="AV311" s="1">
        <f>=COUNTIF(E311:AI311,"Ü")</f>
      </c>
      <c r="AW311" s="1">
        <f>=COUNTIF(E311:AI311,"R")</f>
      </c>
      <c r="AX311" s="1">
        <f>=COUNTIF(E311:AI311,"DV")</f>
      </c>
      <c r="AY311" s="1">
        <f>=+AN311+AO311+AP311+AQ311+AR311+AS311+AT311+AU311</f>
      </c>
    </row>
    <row r="312" ht="16" customHeight="1" spans="1:51" x14ac:dyDescent="0.25">
      <c r="A312" s="45"/>
      <c r="B312" s="46"/>
      <c r="C312" s="46"/>
      <c r="D312" s="46" t="s">
        <v>33</v>
      </c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  <c r="AC312" s="46"/>
      <c r="AD312" s="46"/>
      <c r="AE312" s="46"/>
      <c r="AF312" s="46"/>
      <c r="AG312" s="46"/>
      <c r="AH312" s="46"/>
      <c r="AI312" s="46"/>
      <c r="AJ312" s="46"/>
      <c r="AK312" s="46"/>
      <c r="AL312" s="46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ht="16" customHeight="1" spans="1:51" x14ac:dyDescent="0.25">
      <c r="A313" s="45"/>
      <c r="B313" s="46" t="s">
        <v>352</v>
      </c>
      <c r="C313" s="46" t="s">
        <v>353</v>
      </c>
      <c r="D313" s="46" t="s">
        <v>29</v>
      </c>
      <c r="E313" s="46" t="s">
        <v>299</v>
      </c>
      <c r="F313" s="46" t="s">
        <v>37</v>
      </c>
      <c r="G313" s="46" t="s">
        <v>299</v>
      </c>
      <c r="H313" s="46" t="s">
        <v>299</v>
      </c>
      <c r="I313" s="46" t="s">
        <v>299</v>
      </c>
      <c r="J313" s="46" t="s">
        <v>299</v>
      </c>
      <c r="K313" s="46" t="s">
        <v>299</v>
      </c>
      <c r="L313" s="46" t="s">
        <v>299</v>
      </c>
      <c r="M313" s="46" t="s">
        <v>37</v>
      </c>
      <c r="N313" s="46" t="s">
        <v>299</v>
      </c>
      <c r="O313" s="46" t="s">
        <v>299</v>
      </c>
      <c r="P313" s="46" t="s">
        <v>299</v>
      </c>
      <c r="Q313" s="46" t="s">
        <v>299</v>
      </c>
      <c r="R313" s="46" t="s">
        <v>299</v>
      </c>
      <c r="S313" s="46" t="s">
        <v>299</v>
      </c>
      <c r="T313" s="46" t="s">
        <v>37</v>
      </c>
      <c r="U313" s="46" t="s">
        <v>299</v>
      </c>
      <c r="V313" s="46" t="s">
        <v>299</v>
      </c>
      <c r="W313" s="46" t="s">
        <v>299</v>
      </c>
      <c r="X313" s="46" t="s">
        <v>299</v>
      </c>
      <c r="Y313" s="46" t="s">
        <v>299</v>
      </c>
      <c r="Z313" s="46" t="s">
        <v>299</v>
      </c>
      <c r="AA313" s="46" t="s">
        <v>37</v>
      </c>
      <c r="AB313" s="46" t="s">
        <v>299</v>
      </c>
      <c r="AC313" s="46" t="s">
        <v>299</v>
      </c>
      <c r="AD313" s="46" t="s">
        <v>299</v>
      </c>
      <c r="AE313" s="46" t="s">
        <v>299</v>
      </c>
      <c r="AF313" s="46" t="s">
        <v>299</v>
      </c>
      <c r="AG313" s="46" t="s">
        <v>299</v>
      </c>
      <c r="AH313" s="46" t="s">
        <v>43</v>
      </c>
      <c r="AI313" s="46" t="s">
        <v>299</v>
      </c>
      <c r="AJ313" s="46">
        <f>=SUM(E314:AI314)</f>
      </c>
      <c r="AK313" s="46">
        <f>=+AY313</f>
      </c>
      <c r="AL313" s="46"/>
      <c r="AM313" s="1"/>
      <c r="AN313" s="1">
        <f>=COUNTIF(E313:AI313,"A")+COUNTIF(E313:AI313,"B")+COUNTIF(E313:AI313,"C")+COUNTIF(E313:AI313,"D")+COUNTIF(E313:AI313,"E")+COUNTIF(E313:AI313,"F")+COUNTIF(E313:AI313,"M")+COUNTIF(E313:AI313,"AB")+COUNTIF(E313:AI313,"UZ")+COUNTIF(E313:AI313,"G")+(COUNTIF(E313:AI313,"RT.")/2)+(COUNTIF(E313:AI313,"ÇRT.")/2)</f>
      </c>
      <c r="AO313" s="1">
        <f>=COUNTIF(E313:AI313,"O")</f>
      </c>
      <c r="AP313" s="1">
        <f>=COUNTIF(E313:AI313,"RT")+(COUNTIF(E313:AI313,"RT.")/2)</f>
      </c>
      <c r="AQ313" s="1">
        <f>=COUNTIF(E313:AI313,"ÇRT")+(COUNTIF(E313:AI313,"ÇRT.")/2)</f>
      </c>
      <c r="AR313" s="1">
        <f>=COUNTIF(E313:AI313,"ÇHT")</f>
      </c>
      <c r="AS313" s="1">
        <f>=COUNTIF(E313:AI313,"Ö")+COUNTIF(E313:AI313,"T")</f>
      </c>
      <c r="AT313" s="1">
        <f>=COUNTIF(E313:AI313,"Y")</f>
      </c>
      <c r="AU313" s="1">
        <f>=COUNTIF(E313:AI313,"R.")</f>
      </c>
      <c r="AV313" s="1">
        <f>=COUNTIF(E313:AI313,"Ü")</f>
      </c>
      <c r="AW313" s="1">
        <f>=COUNTIF(E313:AI313,"R")</f>
      </c>
      <c r="AX313" s="1">
        <f>=COUNTIF(E313:AI313,"DV")</f>
      </c>
      <c r="AY313" s="1">
        <f>=+AN313+AO313+AP313+AQ313+AR313+AS313+AT313+AU313</f>
      </c>
    </row>
    <row r="314" ht="16" customHeight="1" spans="1:51" x14ac:dyDescent="0.25">
      <c r="A314" s="45"/>
      <c r="B314" s="46"/>
      <c r="C314" s="46"/>
      <c r="D314" s="46" t="s">
        <v>33</v>
      </c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>
        <v>0</v>
      </c>
      <c r="Z314" s="46"/>
      <c r="AA314" s="46"/>
      <c r="AB314" s="46"/>
      <c r="AC314" s="46"/>
      <c r="AD314" s="46"/>
      <c r="AE314" s="46"/>
      <c r="AF314" s="46"/>
      <c r="AG314" s="46"/>
      <c r="AH314" s="46"/>
      <c r="AI314" s="46"/>
      <c r="AJ314" s="46"/>
      <c r="AK314" s="46"/>
      <c r="AL314" s="46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ht="16" customHeight="1" spans="1:51" x14ac:dyDescent="0.25">
      <c r="A315" s="45"/>
      <c r="B315" s="46" t="s">
        <v>354</v>
      </c>
      <c r="C315" s="46" t="s">
        <v>355</v>
      </c>
      <c r="D315" s="46" t="s">
        <v>29</v>
      </c>
      <c r="E315" s="46" t="s">
        <v>37</v>
      </c>
      <c r="F315" s="46" t="s">
        <v>299</v>
      </c>
      <c r="G315" s="46" t="s">
        <v>299</v>
      </c>
      <c r="H315" s="46" t="s">
        <v>299</v>
      </c>
      <c r="I315" s="46" t="s">
        <v>37</v>
      </c>
      <c r="J315" s="46" t="s">
        <v>299</v>
      </c>
      <c r="K315" s="46" t="s">
        <v>299</v>
      </c>
      <c r="L315" s="46" t="s">
        <v>299</v>
      </c>
      <c r="M315" s="46" t="s">
        <v>299</v>
      </c>
      <c r="N315" s="46" t="s">
        <v>299</v>
      </c>
      <c r="O315" s="46" t="s">
        <v>299</v>
      </c>
      <c r="P315" s="46" t="s">
        <v>37</v>
      </c>
      <c r="Q315" s="46" t="s">
        <v>299</v>
      </c>
      <c r="R315" s="46" t="s">
        <v>299</v>
      </c>
      <c r="S315" s="46" t="s">
        <v>299</v>
      </c>
      <c r="T315" s="46" t="s">
        <v>299</v>
      </c>
      <c r="U315" s="46" t="s">
        <v>299</v>
      </c>
      <c r="V315" s="46" t="s">
        <v>299</v>
      </c>
      <c r="W315" s="46" t="s">
        <v>37</v>
      </c>
      <c r="X315" s="46" t="s">
        <v>299</v>
      </c>
      <c r="Y315" s="46" t="s">
        <v>299</v>
      </c>
      <c r="Z315" s="46" t="s">
        <v>299</v>
      </c>
      <c r="AA315" s="46" t="s">
        <v>299</v>
      </c>
      <c r="AB315" s="46" t="s">
        <v>299</v>
      </c>
      <c r="AC315" s="46" t="s">
        <v>299</v>
      </c>
      <c r="AD315" s="46" t="s">
        <v>37</v>
      </c>
      <c r="AE315" s="46" t="s">
        <v>299</v>
      </c>
      <c r="AF315" s="46" t="s">
        <v>299</v>
      </c>
      <c r="AG315" s="46" t="s">
        <v>299</v>
      </c>
      <c r="AH315" s="46" t="s">
        <v>43</v>
      </c>
      <c r="AI315" s="46" t="s">
        <v>299</v>
      </c>
      <c r="AJ315" s="46">
        <f>=SUM(E316:AI316)</f>
      </c>
      <c r="AK315" s="46">
        <f>=+AY315</f>
      </c>
      <c r="AL315" s="46"/>
      <c r="AM315" s="1"/>
      <c r="AN315" s="1">
        <f>=COUNTIF(E315:AI315,"A")+COUNTIF(E315:AI315,"B")+COUNTIF(E315:AI315,"C")+COUNTIF(E315:AI315,"D")+COUNTIF(E315:AI315,"E")+COUNTIF(E315:AI315,"F")+COUNTIF(E315:AI315,"M")+COUNTIF(E315:AI315,"AB")+COUNTIF(E315:AI315,"UZ")+COUNTIF(E315:AI315,"G")+(COUNTIF(E315:AI315,"RT.")/2)+(COUNTIF(E315:AI315,"ÇRT.")/2)</f>
      </c>
      <c r="AO315" s="1">
        <f>=COUNTIF(E315:AI315,"O")</f>
      </c>
      <c r="AP315" s="1">
        <f>=COUNTIF(E315:AI315,"RT")+(COUNTIF(E315:AI315,"RT.")/2)</f>
      </c>
      <c r="AQ315" s="1">
        <f>=COUNTIF(E315:AI315,"ÇRT")+(COUNTIF(E315:AI315,"ÇRT.")/2)</f>
      </c>
      <c r="AR315" s="1">
        <f>=COUNTIF(E315:AI315,"ÇHT")</f>
      </c>
      <c r="AS315" s="1">
        <f>=COUNTIF(E315:AI315,"Ö")+COUNTIF(E315:AI315,"T")</f>
      </c>
      <c r="AT315" s="1">
        <f>=COUNTIF(E315:AI315,"Y")</f>
      </c>
      <c r="AU315" s="1">
        <f>=COUNTIF(E315:AI315,"R.")</f>
      </c>
      <c r="AV315" s="1">
        <f>=COUNTIF(E315:AI315,"Ü")</f>
      </c>
      <c r="AW315" s="1">
        <f>=COUNTIF(E315:AI315,"R")</f>
      </c>
      <c r="AX315" s="1">
        <f>=COUNTIF(E315:AI315,"DV")</f>
      </c>
      <c r="AY315" s="1">
        <f>=+AN315+AO315+AP315+AQ315+AR315+AS315+AT315+AU315</f>
      </c>
    </row>
    <row r="316" ht="16" customHeight="1" spans="1:51" x14ac:dyDescent="0.25">
      <c r="A316" s="45"/>
      <c r="B316" s="46"/>
      <c r="C316" s="46"/>
      <c r="D316" s="46" t="s">
        <v>33</v>
      </c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>
        <v>0</v>
      </c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  <c r="AC316" s="46"/>
      <c r="AD316" s="46"/>
      <c r="AE316" s="46"/>
      <c r="AF316" s="46"/>
      <c r="AG316" s="46"/>
      <c r="AH316" s="46"/>
      <c r="AI316" s="46"/>
      <c r="AJ316" s="46"/>
      <c r="AK316" s="46"/>
      <c r="AL316" s="46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ht="16" customHeight="1" spans="1:51" x14ac:dyDescent="0.25">
      <c r="A317" s="45"/>
      <c r="B317" s="46" t="s">
        <v>356</v>
      </c>
      <c r="C317" s="46" t="s">
        <v>357</v>
      </c>
      <c r="D317" s="46" t="s">
        <v>29</v>
      </c>
      <c r="E317" s="46" t="s">
        <v>299</v>
      </c>
      <c r="F317" s="46" t="s">
        <v>299</v>
      </c>
      <c r="G317" s="46" t="s">
        <v>37</v>
      </c>
      <c r="H317" s="46" t="s">
        <v>299</v>
      </c>
      <c r="I317" s="46" t="s">
        <v>299</v>
      </c>
      <c r="J317" s="46" t="s">
        <v>299</v>
      </c>
      <c r="K317" s="46" t="s">
        <v>299</v>
      </c>
      <c r="L317" s="46" t="s">
        <v>299</v>
      </c>
      <c r="M317" s="46" t="s">
        <v>299</v>
      </c>
      <c r="N317" s="46" t="s">
        <v>37</v>
      </c>
      <c r="O317" s="46" t="s">
        <v>299</v>
      </c>
      <c r="P317" s="46" t="s">
        <v>299</v>
      </c>
      <c r="Q317" s="46" t="s">
        <v>299</v>
      </c>
      <c r="R317" s="46" t="s">
        <v>299</v>
      </c>
      <c r="S317" s="46" t="s">
        <v>299</v>
      </c>
      <c r="T317" s="46"/>
      <c r="U317" s="46" t="s">
        <v>173</v>
      </c>
      <c r="V317" s="46"/>
      <c r="W317" s="46"/>
      <c r="X317" s="46"/>
      <c r="Y317" s="46"/>
      <c r="Z317" s="46"/>
      <c r="AA317" s="46"/>
      <c r="AB317" s="46"/>
      <c r="AC317" s="46"/>
      <c r="AD317" s="46"/>
      <c r="AE317" s="46"/>
      <c r="AF317" s="46"/>
      <c r="AG317" s="46"/>
      <c r="AH317" s="46"/>
      <c r="AI317" s="46"/>
      <c r="AJ317" s="46">
        <f>=SUM(E318:AI318)</f>
      </c>
      <c r="AK317" s="46">
        <f>=+AY317</f>
      </c>
      <c r="AL317" s="46"/>
      <c r="AM317" s="1"/>
      <c r="AN317" s="1">
        <f>=COUNTIF(E317:AI317,"A")+COUNTIF(E317:AI317,"B")+COUNTIF(E317:AI317,"C")+COUNTIF(E317:AI317,"D")+COUNTIF(E317:AI317,"E")+COUNTIF(E317:AI317,"F")+COUNTIF(E317:AI317,"M")+COUNTIF(E317:AI317,"AB")+COUNTIF(E317:AI317,"UZ")+COUNTIF(E317:AI317,"G")+(COUNTIF(E317:AI317,"RT.")/2)+(COUNTIF(E317:AI317,"ÇRT.")/2)</f>
      </c>
      <c r="AO317" s="1">
        <f>=COUNTIF(E317:AI317,"O")</f>
      </c>
      <c r="AP317" s="1">
        <f>=COUNTIF(E317:AI317,"RT")+(COUNTIF(E317:AI317,"RT.")/2)</f>
      </c>
      <c r="AQ317" s="1">
        <f>=COUNTIF(E317:AI317,"ÇRT")+(COUNTIF(E317:AI317,"ÇRT.")/2)</f>
      </c>
      <c r="AR317" s="1">
        <f>=COUNTIF(E317:AI317,"ÇHT")</f>
      </c>
      <c r="AS317" s="1">
        <f>=COUNTIF(E317:AI317,"Ö")+COUNTIF(E317:AI317,"T")</f>
      </c>
      <c r="AT317" s="1">
        <f>=COUNTIF(E317:AI317,"Y")</f>
      </c>
      <c r="AU317" s="1">
        <f>=COUNTIF(E317:AI317,"R.")</f>
      </c>
      <c r="AV317" s="1">
        <f>=COUNTIF(E317:AI317,"Ü")</f>
      </c>
      <c r="AW317" s="1">
        <f>=COUNTIF(E317:AI317,"R")</f>
      </c>
      <c r="AX317" s="1">
        <f>=COUNTIF(E317:AI317,"DV")</f>
      </c>
      <c r="AY317" s="1">
        <f>=+AN317+AO317+AP317+AQ317+AR317+AS317+AT317+AU317</f>
      </c>
    </row>
    <row r="318" ht="16" customHeight="1" spans="1:51" x14ac:dyDescent="0.25">
      <c r="A318" s="45"/>
      <c r="B318" s="46"/>
      <c r="C318" s="46"/>
      <c r="D318" s="46" t="s">
        <v>33</v>
      </c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  <c r="AC318" s="46"/>
      <c r="AD318" s="46"/>
      <c r="AE318" s="46"/>
      <c r="AF318" s="46"/>
      <c r="AG318" s="46"/>
      <c r="AH318" s="46"/>
      <c r="AI318" s="46"/>
      <c r="AJ318" s="46"/>
      <c r="AK318" s="46"/>
      <c r="AL318" s="46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ht="16" customHeight="1" spans="1:51" x14ac:dyDescent="0.25">
      <c r="A319" s="45"/>
      <c r="B319" s="46" t="s">
        <v>358</v>
      </c>
      <c r="C319" s="46" t="s">
        <v>359</v>
      </c>
      <c r="D319" s="46" t="s">
        <v>29</v>
      </c>
      <c r="E319" s="46" t="s">
        <v>299</v>
      </c>
      <c r="F319" s="46" t="s">
        <v>299</v>
      </c>
      <c r="G319" s="46" t="s">
        <v>299</v>
      </c>
      <c r="H319" s="46" t="s">
        <v>37</v>
      </c>
      <c r="I319" s="46" t="s">
        <v>153</v>
      </c>
      <c r="J319" s="46" t="s">
        <v>153</v>
      </c>
      <c r="K319" s="46" t="s">
        <v>299</v>
      </c>
      <c r="L319" s="46" t="s">
        <v>299</v>
      </c>
      <c r="M319" s="46" t="s">
        <v>299</v>
      </c>
      <c r="N319" s="46" t="s">
        <v>299</v>
      </c>
      <c r="O319" s="46" t="s">
        <v>299</v>
      </c>
      <c r="P319" s="46" t="s">
        <v>37</v>
      </c>
      <c r="Q319" s="46" t="s">
        <v>299</v>
      </c>
      <c r="R319" s="46" t="s">
        <v>299</v>
      </c>
      <c r="S319" s="46" t="s">
        <v>299</v>
      </c>
      <c r="T319" s="46" t="s">
        <v>299</v>
      </c>
      <c r="U319" s="46" t="s">
        <v>299</v>
      </c>
      <c r="V319" s="46" t="s">
        <v>299</v>
      </c>
      <c r="W319" s="46" t="s">
        <v>37</v>
      </c>
      <c r="X319" s="46" t="s">
        <v>299</v>
      </c>
      <c r="Y319" s="46" t="s">
        <v>299</v>
      </c>
      <c r="Z319" s="46" t="s">
        <v>299</v>
      </c>
      <c r="AA319" s="46" t="s">
        <v>299</v>
      </c>
      <c r="AB319" s="46" t="s">
        <v>299</v>
      </c>
      <c r="AC319" s="46" t="s">
        <v>299</v>
      </c>
      <c r="AD319" s="46" t="s">
        <v>37</v>
      </c>
      <c r="AE319" s="46" t="s">
        <v>299</v>
      </c>
      <c r="AF319" s="46" t="s">
        <v>299</v>
      </c>
      <c r="AG319" s="46" t="s">
        <v>299</v>
      </c>
      <c r="AH319" s="46" t="s">
        <v>43</v>
      </c>
      <c r="AI319" s="46" t="s">
        <v>299</v>
      </c>
      <c r="AJ319" s="46">
        <f>=SUM(E320:AI320)</f>
      </c>
      <c r="AK319" s="46">
        <f>=+AY319</f>
      </c>
      <c r="AL319" s="46"/>
      <c r="AM319" s="1"/>
      <c r="AN319" s="1">
        <f>=COUNTIF(E319:AI319,"A")+COUNTIF(E319:AI319,"B")+COUNTIF(E319:AI319,"C")+COUNTIF(E319:AI319,"D")+COUNTIF(E319:AI319,"E")+COUNTIF(E319:AI319,"F")+COUNTIF(E319:AI319,"M")+COUNTIF(E319:AI319,"AB")+COUNTIF(E319:AI319,"UZ")+COUNTIF(E319:AI319,"G")+(COUNTIF(E319:AI319,"RT.")/2)+(COUNTIF(E319:AI319,"ÇRT.")/2)</f>
      </c>
      <c r="AO319" s="1">
        <f>=COUNTIF(E319:AI319,"O")</f>
      </c>
      <c r="AP319" s="1">
        <f>=COUNTIF(E319:AI319,"RT")+(COUNTIF(E319:AI319,"RT.")/2)</f>
      </c>
      <c r="AQ319" s="1">
        <f>=COUNTIF(E319:AI319,"ÇRT")+(COUNTIF(E319:AI319,"ÇRT.")/2)</f>
      </c>
      <c r="AR319" s="1">
        <f>=COUNTIF(E319:AI319,"ÇHT")</f>
      </c>
      <c r="AS319" s="1">
        <f>=COUNTIF(E319:AI319,"Ö")+COUNTIF(E319:AI319,"T")</f>
      </c>
      <c r="AT319" s="1">
        <f>=COUNTIF(E319:AI319,"Y")</f>
      </c>
      <c r="AU319" s="1">
        <f>=COUNTIF(E319:AI319,"R.")</f>
      </c>
      <c r="AV319" s="1">
        <f>=COUNTIF(E319:AI319,"Ü")</f>
      </c>
      <c r="AW319" s="1">
        <f>=COUNTIF(E319:AI319,"R")</f>
      </c>
      <c r="AX319" s="1">
        <f>=COUNTIF(E319:AI319,"DV")</f>
      </c>
      <c r="AY319" s="1">
        <f>=+AN319+AO319+AP319+AQ319+AR319+AS319+AT319+AU319</f>
      </c>
    </row>
    <row r="320" ht="16" customHeight="1" spans="1:51" x14ac:dyDescent="0.25">
      <c r="A320" s="45"/>
      <c r="B320" s="46"/>
      <c r="C320" s="46"/>
      <c r="D320" s="46" t="s">
        <v>33</v>
      </c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  <c r="AC320" s="46"/>
      <c r="AD320" s="46"/>
      <c r="AE320" s="46"/>
      <c r="AF320" s="46"/>
      <c r="AG320" s="46"/>
      <c r="AH320" s="46"/>
      <c r="AI320" s="46"/>
      <c r="AJ320" s="46"/>
      <c r="AK320" s="46"/>
      <c r="AL320" s="46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ht="16" customHeight="1" spans="1:51" x14ac:dyDescent="0.25">
      <c r="A321" s="45"/>
      <c r="B321" s="46" t="s">
        <v>360</v>
      </c>
      <c r="C321" s="46" t="s">
        <v>361</v>
      </c>
      <c r="D321" s="46" t="s">
        <v>29</v>
      </c>
      <c r="E321" s="46" t="s">
        <v>299</v>
      </c>
      <c r="F321" s="46" t="s">
        <v>299</v>
      </c>
      <c r="G321" s="46" t="s">
        <v>37</v>
      </c>
      <c r="H321" s="46" t="s">
        <v>299</v>
      </c>
      <c r="I321" s="46" t="s">
        <v>299</v>
      </c>
      <c r="J321" s="46" t="s">
        <v>299</v>
      </c>
      <c r="K321" s="46" t="s">
        <v>299</v>
      </c>
      <c r="L321" s="46" t="s">
        <v>299</v>
      </c>
      <c r="M321" s="46" t="s">
        <v>299</v>
      </c>
      <c r="N321" s="46" t="s">
        <v>37</v>
      </c>
      <c r="O321" s="46" t="s">
        <v>299</v>
      </c>
      <c r="P321" s="46" t="s">
        <v>299</v>
      </c>
      <c r="Q321" s="46" t="s">
        <v>299</v>
      </c>
      <c r="R321" s="46" t="s">
        <v>299</v>
      </c>
      <c r="S321" s="46" t="s">
        <v>299</v>
      </c>
      <c r="T321" s="46" t="s">
        <v>299</v>
      </c>
      <c r="U321" s="46" t="s">
        <v>37</v>
      </c>
      <c r="V321" s="46" t="s">
        <v>299</v>
      </c>
      <c r="W321" s="46" t="s">
        <v>299</v>
      </c>
      <c r="X321" s="46" t="s">
        <v>299</v>
      </c>
      <c r="Y321" s="46" t="s">
        <v>299</v>
      </c>
      <c r="Z321" s="46" t="s">
        <v>299</v>
      </c>
      <c r="AA321" s="46" t="s">
        <v>299</v>
      </c>
      <c r="AB321" s="46" t="s">
        <v>37</v>
      </c>
      <c r="AC321" s="46" t="s">
        <v>299</v>
      </c>
      <c r="AD321" s="46" t="s">
        <v>299</v>
      </c>
      <c r="AE321" s="46" t="s">
        <v>299</v>
      </c>
      <c r="AF321" s="46" t="s">
        <v>299</v>
      </c>
      <c r="AG321" s="46" t="s">
        <v>299</v>
      </c>
      <c r="AH321" s="46" t="s">
        <v>43</v>
      </c>
      <c r="AI321" s="46" t="s">
        <v>299</v>
      </c>
      <c r="AJ321" s="46">
        <f>=SUM(E322:AI322)</f>
      </c>
      <c r="AK321" s="46">
        <f>=+AY321</f>
      </c>
      <c r="AL321" s="46"/>
      <c r="AM321" s="1"/>
      <c r="AN321" s="1">
        <f>=COUNTIF(E321:AI321,"A")+COUNTIF(E321:AI321,"B")+COUNTIF(E321:AI321,"C")+COUNTIF(E321:AI321,"D")+COUNTIF(E321:AI321,"E")+COUNTIF(E321:AI321,"F")+COUNTIF(E321:AI321,"M")+COUNTIF(E321:AI321,"AB")+COUNTIF(E321:AI321,"UZ")+COUNTIF(E321:AI321,"G")+(COUNTIF(E321:AI321,"RT.")/2)+(COUNTIF(E321:AI321,"ÇRT.")/2)</f>
      </c>
      <c r="AO321" s="1">
        <f>=COUNTIF(E321:AI321,"O")</f>
      </c>
      <c r="AP321" s="1">
        <f>=COUNTIF(E321:AI321,"RT")+(COUNTIF(E321:AI321,"RT.")/2)</f>
      </c>
      <c r="AQ321" s="1">
        <f>=COUNTIF(E321:AI321,"ÇRT")+(COUNTIF(E321:AI321,"ÇRT.")/2)</f>
      </c>
      <c r="AR321" s="1">
        <f>=COUNTIF(E321:AI321,"ÇHT")</f>
      </c>
      <c r="AS321" s="1">
        <f>=COUNTIF(E321:AI321,"Ö")+COUNTIF(E321:AI321,"T")</f>
      </c>
      <c r="AT321" s="1">
        <f>=COUNTIF(E321:AI321,"Y")</f>
      </c>
      <c r="AU321" s="1">
        <f>=COUNTIF(E321:AI321,"R.")</f>
      </c>
      <c r="AV321" s="1">
        <f>=COUNTIF(E321:AI321,"Ü")</f>
      </c>
      <c r="AW321" s="1">
        <f>=COUNTIF(E321:AI321,"R")</f>
      </c>
      <c r="AX321" s="1">
        <f>=COUNTIF(E321:AI321,"DV")</f>
      </c>
      <c r="AY321" s="1">
        <f>=+AN321+AO321+AP321+AQ321+AR321+AS321+AT321+AU321</f>
      </c>
    </row>
    <row r="322" ht="16" customHeight="1" spans="1:51" x14ac:dyDescent="0.25">
      <c r="A322" s="45"/>
      <c r="B322" s="46"/>
      <c r="C322" s="46"/>
      <c r="D322" s="46" t="s">
        <v>33</v>
      </c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>
        <v>0</v>
      </c>
      <c r="AA322" s="46"/>
      <c r="AB322" s="46"/>
      <c r="AC322" s="46"/>
      <c r="AD322" s="46"/>
      <c r="AE322" s="46"/>
      <c r="AF322" s="46"/>
      <c r="AG322" s="46"/>
      <c r="AH322" s="46"/>
      <c r="AI322" s="46"/>
      <c r="AJ322" s="46"/>
      <c r="AK322" s="46"/>
      <c r="AL322" s="46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ht="16" customHeight="1" spans="1:51" x14ac:dyDescent="0.25">
      <c r="A323" s="45"/>
      <c r="B323" s="46" t="s">
        <v>362</v>
      </c>
      <c r="C323" s="46" t="s">
        <v>363</v>
      </c>
      <c r="D323" s="46" t="s">
        <v>29</v>
      </c>
      <c r="E323" s="46" t="s">
        <v>42</v>
      </c>
      <c r="F323" s="46" t="s">
        <v>37</v>
      </c>
      <c r="G323" s="46" t="s">
        <v>42</v>
      </c>
      <c r="H323" s="46" t="s">
        <v>37</v>
      </c>
      <c r="I323" s="46" t="s">
        <v>42</v>
      </c>
      <c r="J323" s="46" t="s">
        <v>42</v>
      </c>
      <c r="K323" s="46" t="s">
        <v>42</v>
      </c>
      <c r="L323" s="46" t="s">
        <v>42</v>
      </c>
      <c r="M323" s="46" t="s">
        <v>42</v>
      </c>
      <c r="N323" s="46" t="s">
        <v>42</v>
      </c>
      <c r="O323" s="46" t="s">
        <v>42</v>
      </c>
      <c r="P323" s="46" t="s">
        <v>42</v>
      </c>
      <c r="Q323" s="46" t="s">
        <v>42</v>
      </c>
      <c r="R323" s="46" t="s">
        <v>42</v>
      </c>
      <c r="S323" s="46" t="s">
        <v>42</v>
      </c>
      <c r="T323" s="46" t="s">
        <v>37</v>
      </c>
      <c r="U323" s="46" t="s">
        <v>42</v>
      </c>
      <c r="V323" s="46" t="s">
        <v>42</v>
      </c>
      <c r="W323" s="46" t="s">
        <v>37</v>
      </c>
      <c r="X323" s="46" t="s">
        <v>42</v>
      </c>
      <c r="Y323" s="46" t="s">
        <v>42</v>
      </c>
      <c r="Z323" s="46" t="s">
        <v>42</v>
      </c>
      <c r="AA323" s="46" t="s">
        <v>42</v>
      </c>
      <c r="AB323" s="46" t="s">
        <v>42</v>
      </c>
      <c r="AC323" s="46" t="s">
        <v>42</v>
      </c>
      <c r="AD323" s="46" t="s">
        <v>42</v>
      </c>
      <c r="AE323" s="46" t="s">
        <v>37</v>
      </c>
      <c r="AF323" s="46" t="s">
        <v>42</v>
      </c>
      <c r="AG323" s="46" t="s">
        <v>42</v>
      </c>
      <c r="AH323" s="46" t="s">
        <v>43</v>
      </c>
      <c r="AI323" s="46" t="s">
        <v>42</v>
      </c>
      <c r="AJ323" s="46">
        <f>=SUM(E324:AI324)</f>
      </c>
      <c r="AK323" s="46">
        <f>=+AY323</f>
      </c>
      <c r="AL323" s="46"/>
      <c r="AM323" s="1"/>
      <c r="AN323" s="1">
        <f>=COUNTIF(E323:AI323,"A")+COUNTIF(E323:AI323,"B")+COUNTIF(E323:AI323,"C")+COUNTIF(E323:AI323,"D")+COUNTIF(E323:AI323,"E")+COUNTIF(E323:AI323,"F")+COUNTIF(E323:AI323,"M")+COUNTIF(E323:AI323,"AB")+COUNTIF(E323:AI323,"UZ")+COUNTIF(E323:AI323,"G")+(COUNTIF(E323:AI323,"RT.")/2)+(COUNTIF(E323:AI323,"ÇRT.")/2)</f>
      </c>
      <c r="AO323" s="1">
        <f>=COUNTIF(E323:AI323,"O")</f>
      </c>
      <c r="AP323" s="1">
        <f>=COUNTIF(E323:AI323,"RT")+(COUNTIF(E323:AI323,"RT.")/2)</f>
      </c>
      <c r="AQ323" s="1">
        <f>=COUNTIF(E323:AI323,"ÇRT")+(COUNTIF(E323:AI323,"ÇRT.")/2)</f>
      </c>
      <c r="AR323" s="1">
        <f>=COUNTIF(E323:AI323,"ÇHT")</f>
      </c>
      <c r="AS323" s="1">
        <f>=COUNTIF(E323:AI323,"Ö")+COUNTIF(E323:AI323,"T")</f>
      </c>
      <c r="AT323" s="1">
        <f>=COUNTIF(E323:AI323,"Y")</f>
      </c>
      <c r="AU323" s="1">
        <f>=COUNTIF(E323:AI323,"R.")</f>
      </c>
      <c r="AV323" s="1">
        <f>=COUNTIF(E323:AI323,"Ü")</f>
      </c>
      <c r="AW323" s="1">
        <f>=COUNTIF(E323:AI323,"R")</f>
      </c>
      <c r="AX323" s="1">
        <f>=COUNTIF(E323:AI323,"DV")</f>
      </c>
      <c r="AY323" s="1">
        <f>=+AN323+AO323+AP323+AQ323+AR323+AS323+AT323+AU323</f>
      </c>
    </row>
    <row r="324" ht="16" customHeight="1" spans="1:51" x14ac:dyDescent="0.25">
      <c r="A324" s="45"/>
      <c r="B324" s="46"/>
      <c r="C324" s="46"/>
      <c r="D324" s="46" t="s">
        <v>33</v>
      </c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>
        <v>0</v>
      </c>
      <c r="AA324" s="46"/>
      <c r="AB324" s="46"/>
      <c r="AC324" s="46"/>
      <c r="AD324" s="46"/>
      <c r="AE324" s="46"/>
      <c r="AF324" s="46"/>
      <c r="AG324" s="46"/>
      <c r="AH324" s="46"/>
      <c r="AI324" s="46"/>
      <c r="AJ324" s="46"/>
      <c r="AK324" s="46"/>
      <c r="AL324" s="46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ht="16" customHeight="1" spans="1:51" x14ac:dyDescent="0.25">
      <c r="A325" s="45"/>
      <c r="B325" s="46" t="s">
        <v>364</v>
      </c>
      <c r="C325" s="46" t="s">
        <v>365</v>
      </c>
      <c r="D325" s="46" t="s">
        <v>29</v>
      </c>
      <c r="E325" s="46" t="s">
        <v>37</v>
      </c>
      <c r="F325" s="46" t="s">
        <v>42</v>
      </c>
      <c r="G325" s="46" t="s">
        <v>42</v>
      </c>
      <c r="H325" s="46" t="s">
        <v>42</v>
      </c>
      <c r="I325" s="46" t="s">
        <v>42</v>
      </c>
      <c r="J325" s="46" t="s">
        <v>42</v>
      </c>
      <c r="K325" s="46" t="s">
        <v>42</v>
      </c>
      <c r="L325" s="46" t="s">
        <v>37</v>
      </c>
      <c r="M325" s="46" t="s">
        <v>42</v>
      </c>
      <c r="N325" s="46" t="s">
        <v>42</v>
      </c>
      <c r="O325" s="46" t="s">
        <v>299</v>
      </c>
      <c r="P325" s="46" t="s">
        <v>42</v>
      </c>
      <c r="Q325" s="46" t="s">
        <v>42</v>
      </c>
      <c r="R325" s="46" t="s">
        <v>42</v>
      </c>
      <c r="S325" s="46" t="s">
        <v>37</v>
      </c>
      <c r="T325" s="46" t="s">
        <v>42</v>
      </c>
      <c r="U325" s="46" t="s">
        <v>42</v>
      </c>
      <c r="V325" s="46" t="s">
        <v>42</v>
      </c>
      <c r="W325" s="46" t="s">
        <v>42</v>
      </c>
      <c r="X325" s="46" t="s">
        <v>42</v>
      </c>
      <c r="Y325" s="46" t="s">
        <v>42</v>
      </c>
      <c r="Z325" s="46" t="s">
        <v>42</v>
      </c>
      <c r="AA325" s="46" t="s">
        <v>37</v>
      </c>
      <c r="AB325" s="46" t="s">
        <v>42</v>
      </c>
      <c r="AC325" s="46" t="s">
        <v>42</v>
      </c>
      <c r="AD325" s="46" t="s">
        <v>42</v>
      </c>
      <c r="AE325" s="46" t="s">
        <v>42</v>
      </c>
      <c r="AF325" s="46" t="s">
        <v>42</v>
      </c>
      <c r="AG325" s="46" t="s">
        <v>42</v>
      </c>
      <c r="AH325" s="46" t="s">
        <v>37</v>
      </c>
      <c r="AI325" s="46" t="s">
        <v>42</v>
      </c>
      <c r="AJ325" s="46">
        <f>=SUM(E326:AI326)</f>
      </c>
      <c r="AK325" s="46">
        <f>=+AY325</f>
      </c>
      <c r="AL325" s="46"/>
      <c r="AM325" s="1"/>
      <c r="AN325" s="1">
        <f>=COUNTIF(E325:AI325,"A")+COUNTIF(E325:AI325,"B")+COUNTIF(E325:AI325,"C")+COUNTIF(E325:AI325,"D")+COUNTIF(E325:AI325,"E")+COUNTIF(E325:AI325,"F")+COUNTIF(E325:AI325,"M")+COUNTIF(E325:AI325,"AB")+COUNTIF(E325:AI325,"UZ")+COUNTIF(E325:AI325,"G")+(COUNTIF(E325:AI325,"RT.")/2)+(COUNTIF(E325:AI325,"ÇRT.")/2)</f>
      </c>
      <c r="AO325" s="1">
        <f>=COUNTIF(E325:AI325,"O")</f>
      </c>
      <c r="AP325" s="1">
        <f>=COUNTIF(E325:AI325,"RT")+(COUNTIF(E325:AI325,"RT.")/2)</f>
      </c>
      <c r="AQ325" s="1">
        <f>=COUNTIF(E325:AI325,"ÇRT")+(COUNTIF(E325:AI325,"ÇRT.")/2)</f>
      </c>
      <c r="AR325" s="1">
        <f>=COUNTIF(E325:AI325,"ÇHT")</f>
      </c>
      <c r="AS325" s="1">
        <f>=COUNTIF(E325:AI325,"Ö")+COUNTIF(E325:AI325,"T")</f>
      </c>
      <c r="AT325" s="1">
        <f>=COUNTIF(E325:AI325,"Y")</f>
      </c>
      <c r="AU325" s="1">
        <f>=COUNTIF(E325:AI325,"R.")</f>
      </c>
      <c r="AV325" s="1">
        <f>=COUNTIF(E325:AI325,"Ü")</f>
      </c>
      <c r="AW325" s="1">
        <f>=COUNTIF(E325:AI325,"R")</f>
      </c>
      <c r="AX325" s="1">
        <f>=COUNTIF(E325:AI325,"DV")</f>
      </c>
      <c r="AY325" s="1">
        <f>=+AN325+AO325+AP325+AQ325+AR325+AS325+AT325+AU325</f>
      </c>
    </row>
    <row r="326" ht="16" customHeight="1" spans="1:51" x14ac:dyDescent="0.25">
      <c r="A326" s="45"/>
      <c r="B326" s="46"/>
      <c r="C326" s="46"/>
      <c r="D326" s="46" t="s">
        <v>33</v>
      </c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  <c r="AD326" s="46"/>
      <c r="AE326" s="46"/>
      <c r="AF326" s="46"/>
      <c r="AG326" s="46"/>
      <c r="AH326" s="46"/>
      <c r="AI326" s="46"/>
      <c r="AJ326" s="46"/>
      <c r="AK326" s="46"/>
      <c r="AL326" s="46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ht="16" customHeight="1" spans="1:51" x14ac:dyDescent="0.25">
      <c r="A327" s="45"/>
      <c r="B327" s="46" t="s">
        <v>366</v>
      </c>
      <c r="C327" s="46" t="s">
        <v>367</v>
      </c>
      <c r="D327" s="46" t="s">
        <v>29</v>
      </c>
      <c r="E327" s="46" t="s">
        <v>299</v>
      </c>
      <c r="F327" s="46" t="s">
        <v>299</v>
      </c>
      <c r="G327" s="46" t="s">
        <v>299</v>
      </c>
      <c r="H327" s="46" t="s">
        <v>299</v>
      </c>
      <c r="I327" s="46" t="s">
        <v>299</v>
      </c>
      <c r="J327" s="46" t="s">
        <v>299</v>
      </c>
      <c r="K327" s="46" t="s">
        <v>37</v>
      </c>
      <c r="L327" s="46" t="s">
        <v>299</v>
      </c>
      <c r="M327" s="46" t="s">
        <v>299</v>
      </c>
      <c r="N327" s="46" t="s">
        <v>299</v>
      </c>
      <c r="O327" s="46" t="s">
        <v>299</v>
      </c>
      <c r="P327" s="46" t="s">
        <v>299</v>
      </c>
      <c r="Q327" s="46" t="s">
        <v>299</v>
      </c>
      <c r="R327" s="46" t="s">
        <v>37</v>
      </c>
      <c r="S327" s="46" t="s">
        <v>299</v>
      </c>
      <c r="T327" s="46" t="s">
        <v>299</v>
      </c>
      <c r="U327" s="46" t="s">
        <v>299</v>
      </c>
      <c r="V327" s="46" t="s">
        <v>299</v>
      </c>
      <c r="W327" s="46" t="s">
        <v>299</v>
      </c>
      <c r="X327" s="46" t="s">
        <v>299</v>
      </c>
      <c r="Y327" s="46" t="s">
        <v>299</v>
      </c>
      <c r="Z327" s="46" t="s">
        <v>37</v>
      </c>
      <c r="AA327" s="46" t="s">
        <v>153</v>
      </c>
      <c r="AB327" s="46" t="s">
        <v>299</v>
      </c>
      <c r="AC327" s="46" t="s">
        <v>299</v>
      </c>
      <c r="AD327" s="46" t="s">
        <v>299</v>
      </c>
      <c r="AE327" s="46" t="s">
        <v>299</v>
      </c>
      <c r="AF327" s="46" t="s">
        <v>37</v>
      </c>
      <c r="AG327" s="46" t="s">
        <v>299</v>
      </c>
      <c r="AH327" s="46" t="s">
        <v>43</v>
      </c>
      <c r="AI327" s="46" t="s">
        <v>299</v>
      </c>
      <c r="AJ327" s="46">
        <f>=SUM(E328:AI328)</f>
      </c>
      <c r="AK327" s="46">
        <f>=+AY327</f>
      </c>
      <c r="AL327" s="46"/>
      <c r="AM327" s="1"/>
      <c r="AN327" s="1">
        <f>=COUNTIF(E327:AI327,"A")+COUNTIF(E327:AI327,"B")+COUNTIF(E327:AI327,"C")+COUNTIF(E327:AI327,"D")+COUNTIF(E327:AI327,"E")+COUNTIF(E327:AI327,"F")+COUNTIF(E327:AI327,"M")+COUNTIF(E327:AI327,"AB")+COUNTIF(E327:AI327,"UZ")+COUNTIF(E327:AI327,"G")+(COUNTIF(E327:AI327,"RT.")/2)+(COUNTIF(E327:AI327,"ÇRT.")/2)</f>
      </c>
      <c r="AO327" s="1">
        <f>=COUNTIF(E327:AI327,"O")</f>
      </c>
      <c r="AP327" s="1">
        <f>=COUNTIF(E327:AI327,"RT")+(COUNTIF(E327:AI327,"RT.")/2)</f>
      </c>
      <c r="AQ327" s="1">
        <f>=COUNTIF(E327:AI327,"ÇRT")+(COUNTIF(E327:AI327,"ÇRT.")/2)</f>
      </c>
      <c r="AR327" s="1">
        <f>=COUNTIF(E327:AI327,"ÇHT")</f>
      </c>
      <c r="AS327" s="1">
        <f>=COUNTIF(E327:AI327,"Ö")+COUNTIF(E327:AI327,"T")</f>
      </c>
      <c r="AT327" s="1">
        <f>=COUNTIF(E327:AI327,"Y")</f>
      </c>
      <c r="AU327" s="1">
        <f>=COUNTIF(E327:AI327,"R.")</f>
      </c>
      <c r="AV327" s="1">
        <f>=COUNTIF(E327:AI327,"Ü")</f>
      </c>
      <c r="AW327" s="1">
        <f>=COUNTIF(E327:AI327,"R")</f>
      </c>
      <c r="AX327" s="1">
        <f>=COUNTIF(E327:AI327,"DV")</f>
      </c>
      <c r="AY327" s="1">
        <f>=+AN327+AO327+AP327+AQ327+AR327+AS327+AT327+AU327</f>
      </c>
    </row>
    <row r="328" ht="16" customHeight="1" spans="1:51" x14ac:dyDescent="0.25">
      <c r="A328" s="45"/>
      <c r="B328" s="46"/>
      <c r="C328" s="46"/>
      <c r="D328" s="46" t="s">
        <v>33</v>
      </c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  <c r="AC328" s="46"/>
      <c r="AD328" s="46"/>
      <c r="AE328" s="46"/>
      <c r="AF328" s="46"/>
      <c r="AG328" s="46"/>
      <c r="AH328" s="46"/>
      <c r="AI328" s="46"/>
      <c r="AJ328" s="46"/>
      <c r="AK328" s="46"/>
      <c r="AL328" s="46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ht="16" customHeight="1" spans="1:51" x14ac:dyDescent="0.25">
      <c r="A329" s="45"/>
      <c r="B329" s="46" t="s">
        <v>368</v>
      </c>
      <c r="C329" s="46" t="s">
        <v>369</v>
      </c>
      <c r="D329" s="46" t="s">
        <v>29</v>
      </c>
      <c r="E329" s="46" t="s">
        <v>299</v>
      </c>
      <c r="F329" s="46" t="s">
        <v>299</v>
      </c>
      <c r="G329" s="46" t="s">
        <v>299</v>
      </c>
      <c r="H329" s="46" t="s">
        <v>299</v>
      </c>
      <c r="I329" s="46" t="s">
        <v>299</v>
      </c>
      <c r="J329" s="46" t="s">
        <v>299</v>
      </c>
      <c r="K329" s="46" t="s">
        <v>37</v>
      </c>
      <c r="L329" s="46" t="s">
        <v>299</v>
      </c>
      <c r="M329" s="46" t="s">
        <v>299</v>
      </c>
      <c r="N329" s="46" t="s">
        <v>299</v>
      </c>
      <c r="O329" s="46" t="s">
        <v>299</v>
      </c>
      <c r="P329" s="46" t="s">
        <v>299</v>
      </c>
      <c r="Q329" s="46" t="s">
        <v>299</v>
      </c>
      <c r="R329" s="46" t="s">
        <v>37</v>
      </c>
      <c r="S329" s="46" t="s">
        <v>299</v>
      </c>
      <c r="T329" s="46" t="s">
        <v>299</v>
      </c>
      <c r="U329" s="46" t="s">
        <v>299</v>
      </c>
      <c r="V329" s="46" t="s">
        <v>299</v>
      </c>
      <c r="W329" s="46" t="s">
        <v>299</v>
      </c>
      <c r="X329" s="46" t="s">
        <v>299</v>
      </c>
      <c r="Y329" s="46" t="s">
        <v>37</v>
      </c>
      <c r="Z329" s="46" t="s">
        <v>299</v>
      </c>
      <c r="AA329" s="46" t="s">
        <v>299</v>
      </c>
      <c r="AB329" s="46" t="s">
        <v>299</v>
      </c>
      <c r="AC329" s="46" t="s">
        <v>299</v>
      </c>
      <c r="AD329" s="46" t="s">
        <v>299</v>
      </c>
      <c r="AE329" s="46" t="s">
        <v>299</v>
      </c>
      <c r="AF329" s="46" t="s">
        <v>37</v>
      </c>
      <c r="AG329" s="46" t="s">
        <v>299</v>
      </c>
      <c r="AH329" s="46" t="s">
        <v>43</v>
      </c>
      <c r="AI329" s="46" t="s">
        <v>299</v>
      </c>
      <c r="AJ329" s="46">
        <f>=SUM(E330:AI330)</f>
      </c>
      <c r="AK329" s="46">
        <f>=+AY329</f>
      </c>
      <c r="AL329" s="46"/>
      <c r="AM329" s="1"/>
      <c r="AN329" s="1">
        <f>=COUNTIF(E329:AI329,"A")+COUNTIF(E329:AI329,"B")+COUNTIF(E329:AI329,"C")+COUNTIF(E329:AI329,"D")+COUNTIF(E329:AI329,"E")+COUNTIF(E329:AI329,"F")+COUNTIF(E329:AI329,"M")+COUNTIF(E329:AI329,"AB")+COUNTIF(E329:AI329,"UZ")+COUNTIF(E329:AI329,"G")+(COUNTIF(E329:AI329,"RT.")/2)+(COUNTIF(E329:AI329,"ÇRT.")/2)</f>
      </c>
      <c r="AO329" s="1">
        <f>=COUNTIF(E329:AI329,"O")</f>
      </c>
      <c r="AP329" s="1">
        <f>=COUNTIF(E329:AI329,"RT")+(COUNTIF(E329:AI329,"RT.")/2)</f>
      </c>
      <c r="AQ329" s="1">
        <f>=COUNTIF(E329:AI329,"ÇRT")+(COUNTIF(E329:AI329,"ÇRT.")/2)</f>
      </c>
      <c r="AR329" s="1">
        <f>=COUNTIF(E329:AI329,"ÇHT")</f>
      </c>
      <c r="AS329" s="1">
        <f>=COUNTIF(E329:AI329,"Ö")+COUNTIF(E329:AI329,"T")</f>
      </c>
      <c r="AT329" s="1">
        <f>=COUNTIF(E329:AI329,"Y")</f>
      </c>
      <c r="AU329" s="1">
        <f>=COUNTIF(E329:AI329,"R.")</f>
      </c>
      <c r="AV329" s="1">
        <f>=COUNTIF(E329:AI329,"Ü")</f>
      </c>
      <c r="AW329" s="1">
        <f>=COUNTIF(E329:AI329,"R")</f>
      </c>
      <c r="AX329" s="1">
        <f>=COUNTIF(E329:AI329,"DV")</f>
      </c>
      <c r="AY329" s="1">
        <f>=+AN329+AO329+AP329+AQ329+AR329+AS329+AT329+AU329</f>
      </c>
    </row>
    <row r="330" ht="16" customHeight="1" spans="1:51" x14ac:dyDescent="0.25">
      <c r="A330" s="45"/>
      <c r="B330" s="46"/>
      <c r="C330" s="46"/>
      <c r="D330" s="46" t="s">
        <v>33</v>
      </c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  <c r="AD330" s="46"/>
      <c r="AE330" s="46"/>
      <c r="AF330" s="46"/>
      <c r="AG330" s="46"/>
      <c r="AH330" s="46"/>
      <c r="AI330" s="46"/>
      <c r="AJ330" s="46"/>
      <c r="AK330" s="46"/>
      <c r="AL330" s="46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ht="16" customHeight="1" spans="1:51" x14ac:dyDescent="0.25">
      <c r="A331" s="45"/>
      <c r="B331" s="46" t="s">
        <v>370</v>
      </c>
      <c r="C331" s="46" t="s">
        <v>371</v>
      </c>
      <c r="D331" s="46" t="s">
        <v>29</v>
      </c>
      <c r="E331" s="46" t="s">
        <v>299</v>
      </c>
      <c r="F331" s="46" t="s">
        <v>299</v>
      </c>
      <c r="G331" s="46" t="s">
        <v>299</v>
      </c>
      <c r="H331" s="46" t="s">
        <v>299</v>
      </c>
      <c r="I331" s="46" t="s">
        <v>299</v>
      </c>
      <c r="J331" s="46" t="s">
        <v>299</v>
      </c>
      <c r="K331" s="46" t="s">
        <v>37</v>
      </c>
      <c r="L331" s="46" t="s">
        <v>299</v>
      </c>
      <c r="M331" s="46" t="s">
        <v>299</v>
      </c>
      <c r="N331" s="46" t="s">
        <v>299</v>
      </c>
      <c r="O331" s="46" t="s">
        <v>299</v>
      </c>
      <c r="P331" s="46" t="s">
        <v>299</v>
      </c>
      <c r="Q331" s="46" t="s">
        <v>299</v>
      </c>
      <c r="R331" s="46" t="s">
        <v>37</v>
      </c>
      <c r="S331" s="46" t="s">
        <v>299</v>
      </c>
      <c r="T331" s="46" t="s">
        <v>299</v>
      </c>
      <c r="U331" s="46" t="s">
        <v>299</v>
      </c>
      <c r="V331" s="46" t="s">
        <v>299</v>
      </c>
      <c r="W331" s="46" t="s">
        <v>299</v>
      </c>
      <c r="X331" s="46" t="s">
        <v>299</v>
      </c>
      <c r="Y331" s="46" t="s">
        <v>37</v>
      </c>
      <c r="Z331" s="46" t="s">
        <v>299</v>
      </c>
      <c r="AA331" s="46" t="s">
        <v>299</v>
      </c>
      <c r="AB331" s="46" t="s">
        <v>299</v>
      </c>
      <c r="AC331" s="46" t="s">
        <v>299</v>
      </c>
      <c r="AD331" s="46" t="s">
        <v>299</v>
      </c>
      <c r="AE331" s="46" t="s">
        <v>299</v>
      </c>
      <c r="AF331" s="46" t="s">
        <v>37</v>
      </c>
      <c r="AG331" s="46" t="s">
        <v>299</v>
      </c>
      <c r="AH331" s="46" t="s">
        <v>43</v>
      </c>
      <c r="AI331" s="46" t="s">
        <v>299</v>
      </c>
      <c r="AJ331" s="46">
        <f>=SUM(E332:AI332)</f>
      </c>
      <c r="AK331" s="46">
        <f>=+AY331</f>
      </c>
      <c r="AL331" s="46"/>
      <c r="AM331" s="1"/>
      <c r="AN331" s="1">
        <f>=COUNTIF(E331:AI331,"A")+COUNTIF(E331:AI331,"B")+COUNTIF(E331:AI331,"C")+COUNTIF(E331:AI331,"D")+COUNTIF(E331:AI331,"E")+COUNTIF(E331:AI331,"F")+COUNTIF(E331:AI331,"M")+COUNTIF(E331:AI331,"AB")+COUNTIF(E331:AI331,"UZ")+COUNTIF(E331:AI331,"G")+(COUNTIF(E331:AI331,"RT.")/2)+(COUNTIF(E331:AI331,"ÇRT.")/2)</f>
      </c>
      <c r="AO331" s="1">
        <f>=COUNTIF(E331:AI331,"O")</f>
      </c>
      <c r="AP331" s="1">
        <f>=COUNTIF(E331:AI331,"RT")+(COUNTIF(E331:AI331,"RT.")/2)</f>
      </c>
      <c r="AQ331" s="1">
        <f>=COUNTIF(E331:AI331,"ÇRT")+(COUNTIF(E331:AI331,"ÇRT.")/2)</f>
      </c>
      <c r="AR331" s="1">
        <f>=COUNTIF(E331:AI331,"ÇHT")</f>
      </c>
      <c r="AS331" s="1">
        <f>=COUNTIF(E331:AI331,"Ö")+COUNTIF(E331:AI331,"T")</f>
      </c>
      <c r="AT331" s="1">
        <f>=COUNTIF(E331:AI331,"Y")</f>
      </c>
      <c r="AU331" s="1">
        <f>=COUNTIF(E331:AI331,"R.")</f>
      </c>
      <c r="AV331" s="1">
        <f>=COUNTIF(E331:AI331,"Ü")</f>
      </c>
      <c r="AW331" s="1">
        <f>=COUNTIF(E331:AI331,"R")</f>
      </c>
      <c r="AX331" s="1">
        <f>=COUNTIF(E331:AI331,"DV")</f>
      </c>
      <c r="AY331" s="1">
        <f>=+AN331+AO331+AP331+AQ331+AR331+AS331+AT331+AU331</f>
      </c>
    </row>
    <row r="332" ht="16" customHeight="1" spans="1:51" x14ac:dyDescent="0.25">
      <c r="A332" s="45"/>
      <c r="B332" s="46"/>
      <c r="C332" s="46"/>
      <c r="D332" s="46" t="s">
        <v>33</v>
      </c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  <c r="AG332" s="46"/>
      <c r="AH332" s="46"/>
      <c r="AI332" s="46"/>
      <c r="AJ332" s="46"/>
      <c r="AK332" s="46"/>
      <c r="AL332" s="46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ht="16" customHeight="1" spans="1:51" x14ac:dyDescent="0.25">
      <c r="A333" s="45" t="s">
        <v>372</v>
      </c>
      <c r="B333" s="46" t="s">
        <v>373</v>
      </c>
      <c r="C333" s="46" t="s">
        <v>374</v>
      </c>
      <c r="D333" s="46" t="s">
        <v>29</v>
      </c>
      <c r="E333" s="46" t="s">
        <v>37</v>
      </c>
      <c r="F333" s="46" t="s">
        <v>36</v>
      </c>
      <c r="G333" s="46" t="s">
        <v>36</v>
      </c>
      <c r="H333" s="46" t="s">
        <v>36</v>
      </c>
      <c r="I333" s="46" t="s">
        <v>36</v>
      </c>
      <c r="J333" s="46" t="s">
        <v>36</v>
      </c>
      <c r="K333" s="46" t="s">
        <v>36</v>
      </c>
      <c r="L333" s="46" t="s">
        <v>37</v>
      </c>
      <c r="M333" s="46" t="s">
        <v>36</v>
      </c>
      <c r="N333" s="46" t="s">
        <v>36</v>
      </c>
      <c r="O333" s="46" t="s">
        <v>36</v>
      </c>
      <c r="P333" s="46" t="s">
        <v>36</v>
      </c>
      <c r="Q333" s="46" t="s">
        <v>36</v>
      </c>
      <c r="R333" s="46" t="s">
        <v>36</v>
      </c>
      <c r="S333" s="46" t="s">
        <v>37</v>
      </c>
      <c r="T333" s="46" t="s">
        <v>36</v>
      </c>
      <c r="U333" s="46" t="s">
        <v>36</v>
      </c>
      <c r="V333" s="46" t="s">
        <v>36</v>
      </c>
      <c r="W333" s="46" t="s">
        <v>36</v>
      </c>
      <c r="X333" s="46" t="s">
        <v>36</v>
      </c>
      <c r="Y333" s="46" t="s">
        <v>36</v>
      </c>
      <c r="Z333" s="46" t="s">
        <v>37</v>
      </c>
      <c r="AA333" s="46" t="s">
        <v>36</v>
      </c>
      <c r="AB333" s="46" t="s">
        <v>36</v>
      </c>
      <c r="AC333" s="46" t="s">
        <v>36</v>
      </c>
      <c r="AD333" s="46" t="s">
        <v>36</v>
      </c>
      <c r="AE333" s="46" t="s">
        <v>36</v>
      </c>
      <c r="AF333" s="46" t="s">
        <v>36</v>
      </c>
      <c r="AG333" s="46" t="s">
        <v>37</v>
      </c>
      <c r="AH333" s="46" t="s">
        <v>43</v>
      </c>
      <c r="AI333" s="46" t="s">
        <v>153</v>
      </c>
      <c r="AJ333" s="46">
        <f>=SUM(E334:AI334)</f>
      </c>
      <c r="AK333" s="46">
        <f>=+AY333</f>
      </c>
      <c r="AL333" s="46"/>
      <c r="AM333" s="1"/>
      <c r="AN333" s="1">
        <f>=COUNTIF(E333:AI333,"A")+COUNTIF(E333:AI333,"B")+COUNTIF(E333:AI333,"C")+COUNTIF(E333:AI333,"D")+COUNTIF(E333:AI333,"E")+COUNTIF(E333:AI333,"F")+COUNTIF(E333:AI333,"M")+COUNTIF(E333:AI333,"AB")+COUNTIF(E333:AI333,"UZ")+COUNTIF(E333:AI333,"G")+(COUNTIF(E333:AI333,"RT.")/2)+(COUNTIF(E333:AI333,"ÇRT.")/2)</f>
      </c>
      <c r="AO333" s="1">
        <f>=COUNTIF(E333:AI333,"O")</f>
      </c>
      <c r="AP333" s="1">
        <f>=COUNTIF(E333:AI333,"RT")+(COUNTIF(E333:AI333,"RT.")/2)</f>
      </c>
      <c r="AQ333" s="1">
        <f>=COUNTIF(E333:AI333,"ÇRT")+(COUNTIF(E333:AI333,"ÇRT.")/2)</f>
      </c>
      <c r="AR333" s="1">
        <f>=COUNTIF(E333:AI333,"ÇHT")</f>
      </c>
      <c r="AS333" s="1">
        <f>=COUNTIF(E333:AI333,"Ö")+COUNTIF(E333:AI333,"T")</f>
      </c>
      <c r="AT333" s="1">
        <f>=COUNTIF(E333:AI333,"Y")</f>
      </c>
      <c r="AU333" s="1">
        <f>=COUNTIF(E333:AI333,"R.")</f>
      </c>
      <c r="AV333" s="1">
        <f>=COUNTIF(E333:AI333,"Ü")</f>
      </c>
      <c r="AW333" s="1">
        <f>=COUNTIF(E333:AI333,"R")</f>
      </c>
      <c r="AX333" s="1">
        <f>=COUNTIF(E333:AI333,"DV")</f>
      </c>
      <c r="AY333" s="1">
        <f>=+AN333+AO333+AP333+AQ333+AR333+AS333+AT333+AU333</f>
      </c>
    </row>
    <row r="334" ht="16" customHeight="1" spans="1:51" x14ac:dyDescent="0.25">
      <c r="A334" s="45"/>
      <c r="B334" s="46"/>
      <c r="C334" s="46"/>
      <c r="D334" s="46" t="s">
        <v>33</v>
      </c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  <c r="AE334" s="46"/>
      <c r="AF334" s="46"/>
      <c r="AG334" s="46"/>
      <c r="AH334" s="46"/>
      <c r="AI334" s="46"/>
      <c r="AJ334" s="46"/>
      <c r="AK334" s="46"/>
      <c r="AL334" s="46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ht="16" customHeight="1" spans="1:51" x14ac:dyDescent="0.25">
      <c r="A335" s="45"/>
      <c r="B335" s="46" t="s">
        <v>375</v>
      </c>
      <c r="C335" s="46" t="s">
        <v>376</v>
      </c>
      <c r="D335" s="46" t="s">
        <v>29</v>
      </c>
      <c r="E335" s="46" t="s">
        <v>37</v>
      </c>
      <c r="F335" s="46" t="s">
        <v>46</v>
      </c>
      <c r="G335" s="46" t="s">
        <v>46</v>
      </c>
      <c r="H335" s="46" t="s">
        <v>46</v>
      </c>
      <c r="I335" s="46" t="s">
        <v>46</v>
      </c>
      <c r="J335" s="46" t="s">
        <v>46</v>
      </c>
      <c r="K335" s="46" t="s">
        <v>46</v>
      </c>
      <c r="L335" s="46" t="s">
        <v>37</v>
      </c>
      <c r="M335" s="46" t="s">
        <v>98</v>
      </c>
      <c r="N335" s="46" t="s">
        <v>98</v>
      </c>
      <c r="O335" s="46" t="s">
        <v>98</v>
      </c>
      <c r="P335" s="46" t="s">
        <v>98</v>
      </c>
      <c r="Q335" s="46" t="s">
        <v>31</v>
      </c>
      <c r="R335" s="46" t="s">
        <v>31</v>
      </c>
      <c r="S335" s="46" t="s">
        <v>37</v>
      </c>
      <c r="T335" s="46" t="s">
        <v>153</v>
      </c>
      <c r="U335" s="46" t="s">
        <v>31</v>
      </c>
      <c r="V335" s="46" t="s">
        <v>31</v>
      </c>
      <c r="W335" s="46" t="s">
        <v>32</v>
      </c>
      <c r="X335" s="46" t="s">
        <v>32</v>
      </c>
      <c r="Y335" s="46" t="s">
        <v>32</v>
      </c>
      <c r="Z335" s="46" t="s">
        <v>32</v>
      </c>
      <c r="AA335" s="46" t="s">
        <v>37</v>
      </c>
      <c r="AB335" s="46" t="s">
        <v>46</v>
      </c>
      <c r="AC335" s="46" t="s">
        <v>37</v>
      </c>
      <c r="AD335" s="46" t="s">
        <v>46</v>
      </c>
      <c r="AE335" s="46" t="s">
        <v>46</v>
      </c>
      <c r="AF335" s="46" t="s">
        <v>46</v>
      </c>
      <c r="AG335" s="46" t="s">
        <v>46</v>
      </c>
      <c r="AH335" s="46" t="s">
        <v>43</v>
      </c>
      <c r="AI335" s="46" t="s">
        <v>46</v>
      </c>
      <c r="AJ335" s="46">
        <f>=SUM(E336:AI336)</f>
      </c>
      <c r="AK335" s="46">
        <f>=+AY335</f>
      </c>
      <c r="AL335" s="46"/>
      <c r="AM335" s="1"/>
      <c r="AN335" s="1">
        <f>=COUNTIF(E335:AI335,"A")+COUNTIF(E335:AI335,"B")+COUNTIF(E335:AI335,"C")+COUNTIF(E335:AI335,"D")+COUNTIF(E335:AI335,"E")+COUNTIF(E335:AI335,"F")+COUNTIF(E335:AI335,"M")+COUNTIF(E335:AI335,"AB")+COUNTIF(E335:AI335,"UZ")+COUNTIF(E335:AI335,"G")+(COUNTIF(E335:AI335,"RT.")/2)+(COUNTIF(E335:AI335,"ÇRT.")/2)</f>
      </c>
      <c r="AO335" s="1">
        <f>=COUNTIF(E335:AI335,"O")</f>
      </c>
      <c r="AP335" s="1">
        <f>=COUNTIF(E335:AI335,"RT")+(COUNTIF(E335:AI335,"RT.")/2)</f>
      </c>
      <c r="AQ335" s="1">
        <f>=COUNTIF(E335:AI335,"ÇRT")+(COUNTIF(E335:AI335,"ÇRT.")/2)</f>
      </c>
      <c r="AR335" s="1">
        <f>=COUNTIF(E335:AI335,"ÇHT")</f>
      </c>
      <c r="AS335" s="1">
        <f>=COUNTIF(E335:AI335,"Ö")+COUNTIF(E335:AI335,"T")</f>
      </c>
      <c r="AT335" s="1">
        <f>=COUNTIF(E335:AI335,"Y")</f>
      </c>
      <c r="AU335" s="1">
        <f>=COUNTIF(E335:AI335,"R.")</f>
      </c>
      <c r="AV335" s="1">
        <f>=COUNTIF(E335:AI335,"Ü")</f>
      </c>
      <c r="AW335" s="1">
        <f>=COUNTIF(E335:AI335,"R")</f>
      </c>
      <c r="AX335" s="1">
        <f>=COUNTIF(E335:AI335,"DV")</f>
      </c>
      <c r="AY335" s="1">
        <f>=+AN335+AO335+AP335+AQ335+AR335+AS335+AT335+AU335</f>
      </c>
    </row>
    <row r="336" ht="16" customHeight="1" spans="1:51" x14ac:dyDescent="0.25">
      <c r="A336" s="45"/>
      <c r="B336" s="46"/>
      <c r="C336" s="46"/>
      <c r="D336" s="46" t="s">
        <v>33</v>
      </c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  <c r="AE336" s="46"/>
      <c r="AF336" s="46"/>
      <c r="AG336" s="46"/>
      <c r="AH336" s="46"/>
      <c r="AI336" s="46"/>
      <c r="AJ336" s="46"/>
      <c r="AK336" s="46"/>
      <c r="AL336" s="46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ht="16" customHeight="1" spans="1:51" x14ac:dyDescent="0.25">
      <c r="A337" s="45"/>
      <c r="B337" s="46" t="s">
        <v>377</v>
      </c>
      <c r="C337" s="46" t="s">
        <v>378</v>
      </c>
      <c r="D337" s="46" t="s">
        <v>29</v>
      </c>
      <c r="E337" s="46" t="s">
        <v>36</v>
      </c>
      <c r="F337" s="46" t="s">
        <v>36</v>
      </c>
      <c r="G337" s="46" t="s">
        <v>37</v>
      </c>
      <c r="H337" s="46" t="s">
        <v>36</v>
      </c>
      <c r="I337" s="46" t="s">
        <v>36</v>
      </c>
      <c r="J337" s="46" t="s">
        <v>36</v>
      </c>
      <c r="K337" s="46" t="s">
        <v>31</v>
      </c>
      <c r="L337" s="46" t="s">
        <v>36</v>
      </c>
      <c r="M337" s="46" t="s">
        <v>36</v>
      </c>
      <c r="N337" s="46" t="s">
        <v>37</v>
      </c>
      <c r="O337" s="46" t="s">
        <v>36</v>
      </c>
      <c r="P337" s="46" t="s">
        <v>36</v>
      </c>
      <c r="Q337" s="46" t="s">
        <v>36</v>
      </c>
      <c r="R337" s="46" t="s">
        <v>36</v>
      </c>
      <c r="S337" s="46" t="s">
        <v>36</v>
      </c>
      <c r="T337" s="46" t="s">
        <v>36</v>
      </c>
      <c r="U337" s="46" t="s">
        <v>37</v>
      </c>
      <c r="V337" s="46" t="s">
        <v>36</v>
      </c>
      <c r="W337" s="46" t="s">
        <v>36</v>
      </c>
      <c r="X337" s="46" t="s">
        <v>36</v>
      </c>
      <c r="Y337" s="46" t="s">
        <v>36</v>
      </c>
      <c r="Z337" s="46" t="s">
        <v>36</v>
      </c>
      <c r="AA337" s="46" t="s">
        <v>36</v>
      </c>
      <c r="AB337" s="46" t="s">
        <v>37</v>
      </c>
      <c r="AC337" s="46" t="s">
        <v>36</v>
      </c>
      <c r="AD337" s="46" t="s">
        <v>36</v>
      </c>
      <c r="AE337" s="46" t="s">
        <v>36</v>
      </c>
      <c r="AF337" s="46" t="s">
        <v>36</v>
      </c>
      <c r="AG337" s="46" t="s">
        <v>36</v>
      </c>
      <c r="AH337" s="46" t="s">
        <v>43</v>
      </c>
      <c r="AI337" s="46" t="s">
        <v>37</v>
      </c>
      <c r="AJ337" s="46">
        <f>=SUM(E338:AI338)</f>
      </c>
      <c r="AK337" s="46">
        <f>=+AY337</f>
      </c>
      <c r="AL337" s="46"/>
      <c r="AM337" s="1"/>
      <c r="AN337" s="1">
        <f>=COUNTIF(E337:AI337,"A")+COUNTIF(E337:AI337,"B")+COUNTIF(E337:AI337,"C")+COUNTIF(E337:AI337,"D")+COUNTIF(E337:AI337,"E")+COUNTIF(E337:AI337,"F")+COUNTIF(E337:AI337,"M")+COUNTIF(E337:AI337,"AB")+COUNTIF(E337:AI337,"UZ")+COUNTIF(E337:AI337,"G")+(COUNTIF(E337:AI337,"RT.")/2)+(COUNTIF(E337:AI337,"ÇRT.")/2)</f>
      </c>
      <c r="AO337" s="1">
        <f>=COUNTIF(E337:AI337,"O")</f>
      </c>
      <c r="AP337" s="1">
        <f>=COUNTIF(E337:AI337,"RT")+(COUNTIF(E337:AI337,"RT.")/2)</f>
      </c>
      <c r="AQ337" s="1">
        <f>=COUNTIF(E337:AI337,"ÇRT")+(COUNTIF(E337:AI337,"ÇRT.")/2)</f>
      </c>
      <c r="AR337" s="1">
        <f>=COUNTIF(E337:AI337,"ÇHT")</f>
      </c>
      <c r="AS337" s="1">
        <f>=COUNTIF(E337:AI337,"Ö")+COUNTIF(E337:AI337,"T")</f>
      </c>
      <c r="AT337" s="1">
        <f>=COUNTIF(E337:AI337,"Y")</f>
      </c>
      <c r="AU337" s="1">
        <f>=COUNTIF(E337:AI337,"R.")</f>
      </c>
      <c r="AV337" s="1">
        <f>=COUNTIF(E337:AI337,"Ü")</f>
      </c>
      <c r="AW337" s="1">
        <f>=COUNTIF(E337:AI337,"R")</f>
      </c>
      <c r="AX337" s="1">
        <f>=COUNTIF(E337:AI337,"DV")</f>
      </c>
      <c r="AY337" s="1">
        <f>=+AN337+AO337+AP337+AQ337+AR337+AS337+AT337+AU337</f>
      </c>
    </row>
    <row r="338" ht="16" customHeight="1" spans="1:51" x14ac:dyDescent="0.25">
      <c r="A338" s="45"/>
      <c r="B338" s="46"/>
      <c r="C338" s="46"/>
      <c r="D338" s="46" t="s">
        <v>33</v>
      </c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  <c r="AD338" s="46"/>
      <c r="AE338" s="46"/>
      <c r="AF338" s="46"/>
      <c r="AG338" s="46"/>
      <c r="AH338" s="46"/>
      <c r="AI338" s="46"/>
      <c r="AJ338" s="46"/>
      <c r="AK338" s="46"/>
      <c r="AL338" s="46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ht="16" customHeight="1" spans="1:51" x14ac:dyDescent="0.25">
      <c r="A339" s="45"/>
      <c r="B339" s="46" t="s">
        <v>379</v>
      </c>
      <c r="C339" s="46" t="s">
        <v>380</v>
      </c>
      <c r="D339" s="46" t="s">
        <v>29</v>
      </c>
      <c r="E339" s="46" t="s">
        <v>36</v>
      </c>
      <c r="F339" s="46" t="s">
        <v>36</v>
      </c>
      <c r="G339" s="46" t="s">
        <v>31</v>
      </c>
      <c r="H339" s="46" t="s">
        <v>37</v>
      </c>
      <c r="I339" s="46" t="s">
        <v>36</v>
      </c>
      <c r="J339" s="46" t="s">
        <v>36</v>
      </c>
      <c r="K339" s="46" t="s">
        <v>36</v>
      </c>
      <c r="L339" s="46" t="s">
        <v>36</v>
      </c>
      <c r="M339" s="46" t="s">
        <v>36</v>
      </c>
      <c r="N339" s="46" t="s">
        <v>36</v>
      </c>
      <c r="O339" s="46" t="s">
        <v>37</v>
      </c>
      <c r="P339" s="46" t="s">
        <v>36</v>
      </c>
      <c r="Q339" s="46" t="s">
        <v>36</v>
      </c>
      <c r="R339" s="46" t="s">
        <v>36</v>
      </c>
      <c r="S339" s="46" t="s">
        <v>36</v>
      </c>
      <c r="T339" s="46" t="s">
        <v>36</v>
      </c>
      <c r="U339" s="46" t="s">
        <v>36</v>
      </c>
      <c r="V339" s="46" t="s">
        <v>37</v>
      </c>
      <c r="W339" s="46" t="s">
        <v>36</v>
      </c>
      <c r="X339" s="46" t="s">
        <v>36</v>
      </c>
      <c r="Y339" s="46" t="s">
        <v>36</v>
      </c>
      <c r="Z339" s="46" t="s">
        <v>36</v>
      </c>
      <c r="AA339" s="46" t="s">
        <v>36</v>
      </c>
      <c r="AB339" s="46" t="s">
        <v>36</v>
      </c>
      <c r="AC339" s="46" t="s">
        <v>36</v>
      </c>
      <c r="AD339" s="46" t="s">
        <v>37</v>
      </c>
      <c r="AE339" s="46" t="s">
        <v>36</v>
      </c>
      <c r="AF339" s="46" t="s">
        <v>36</v>
      </c>
      <c r="AG339" s="46" t="s">
        <v>36</v>
      </c>
      <c r="AH339" s="46" t="s">
        <v>43</v>
      </c>
      <c r="AI339" s="46" t="s">
        <v>36</v>
      </c>
      <c r="AJ339" s="46">
        <f>=SUM(E340:AI340)</f>
      </c>
      <c r="AK339" s="46">
        <f>=+AY339</f>
      </c>
      <c r="AL339" s="46"/>
      <c r="AM339" s="1"/>
      <c r="AN339" s="1">
        <f>=COUNTIF(E339:AI339,"A")+COUNTIF(E339:AI339,"B")+COUNTIF(E339:AI339,"C")+COUNTIF(E339:AI339,"D")+COUNTIF(E339:AI339,"E")+COUNTIF(E339:AI339,"F")+COUNTIF(E339:AI339,"M")+COUNTIF(E339:AI339,"AB")+COUNTIF(E339:AI339,"UZ")+COUNTIF(E339:AI339,"G")+(COUNTIF(E339:AI339,"RT.")/2)+(COUNTIF(E339:AI339,"ÇRT.")/2)</f>
      </c>
      <c r="AO339" s="1">
        <f>=COUNTIF(E339:AI339,"O")</f>
      </c>
      <c r="AP339" s="1">
        <f>=COUNTIF(E339:AI339,"RT")+(COUNTIF(E339:AI339,"RT.")/2)</f>
      </c>
      <c r="AQ339" s="1">
        <f>=COUNTIF(E339:AI339,"ÇRT")+(COUNTIF(E339:AI339,"ÇRT.")/2)</f>
      </c>
      <c r="AR339" s="1">
        <f>=COUNTIF(E339:AI339,"ÇHT")</f>
      </c>
      <c r="AS339" s="1">
        <f>=COUNTIF(E339:AI339,"Ö")+COUNTIF(E339:AI339,"T")</f>
      </c>
      <c r="AT339" s="1">
        <f>=COUNTIF(E339:AI339,"Y")</f>
      </c>
      <c r="AU339" s="1">
        <f>=COUNTIF(E339:AI339,"R.")</f>
      </c>
      <c r="AV339" s="1">
        <f>=COUNTIF(E339:AI339,"Ü")</f>
      </c>
      <c r="AW339" s="1">
        <f>=COUNTIF(E339:AI339,"R")</f>
      </c>
      <c r="AX339" s="1">
        <f>=COUNTIF(E339:AI339,"DV")</f>
      </c>
      <c r="AY339" s="1">
        <f>=+AN339+AO339+AP339+AQ339+AR339+AS339+AT339+AU339</f>
      </c>
    </row>
    <row r="340" ht="16" customHeight="1" spans="1:51" x14ac:dyDescent="0.25">
      <c r="A340" s="45"/>
      <c r="B340" s="46"/>
      <c r="C340" s="46"/>
      <c r="D340" s="46" t="s">
        <v>33</v>
      </c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  <c r="AC340" s="46"/>
      <c r="AD340" s="46"/>
      <c r="AE340" s="46"/>
      <c r="AF340" s="46"/>
      <c r="AG340" s="46"/>
      <c r="AH340" s="46"/>
      <c r="AI340" s="46"/>
      <c r="AJ340" s="46"/>
      <c r="AK340" s="46"/>
      <c r="AL340" s="46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ht="16" customHeight="1" spans="1:51" x14ac:dyDescent="0.25">
      <c r="A341" s="45"/>
      <c r="B341" s="46" t="s">
        <v>381</v>
      </c>
      <c r="C341" s="46" t="s">
        <v>382</v>
      </c>
      <c r="D341" s="46" t="s">
        <v>29</v>
      </c>
      <c r="E341" s="46" t="s">
        <v>36</v>
      </c>
      <c r="F341" s="46" t="s">
        <v>36</v>
      </c>
      <c r="G341" s="46" t="s">
        <v>36</v>
      </c>
      <c r="H341" s="46" t="s">
        <v>36</v>
      </c>
      <c r="I341" s="46" t="s">
        <v>36</v>
      </c>
      <c r="J341" s="46" t="s">
        <v>37</v>
      </c>
      <c r="K341" s="46" t="s">
        <v>36</v>
      </c>
      <c r="L341" s="46" t="s">
        <v>36</v>
      </c>
      <c r="M341" s="46" t="s">
        <v>36</v>
      </c>
      <c r="N341" s="46" t="s">
        <v>36</v>
      </c>
      <c r="O341" s="46" t="s">
        <v>36</v>
      </c>
      <c r="P341" s="46" t="s">
        <v>36</v>
      </c>
      <c r="Q341" s="46" t="s">
        <v>37</v>
      </c>
      <c r="R341" s="46" t="s">
        <v>36</v>
      </c>
      <c r="S341" s="46" t="s">
        <v>36</v>
      </c>
      <c r="T341" s="46" t="s">
        <v>36</v>
      </c>
      <c r="U341" s="46" t="s">
        <v>36</v>
      </c>
      <c r="V341" s="46" t="s">
        <v>36</v>
      </c>
      <c r="W341" s="46" t="s">
        <v>36</v>
      </c>
      <c r="X341" s="46" t="s">
        <v>37</v>
      </c>
      <c r="Y341" s="46" t="s">
        <v>36</v>
      </c>
      <c r="Z341" s="46" t="s">
        <v>36</v>
      </c>
      <c r="AA341" s="46" t="s">
        <v>36</v>
      </c>
      <c r="AB341" s="46" t="s">
        <v>36</v>
      </c>
      <c r="AC341" s="46" t="s">
        <v>36</v>
      </c>
      <c r="AD341" s="46" t="s">
        <v>36</v>
      </c>
      <c r="AE341" s="46" t="s">
        <v>37</v>
      </c>
      <c r="AF341" s="46" t="s">
        <v>36</v>
      </c>
      <c r="AG341" s="46" t="s">
        <v>36</v>
      </c>
      <c r="AH341" s="46" t="s">
        <v>43</v>
      </c>
      <c r="AI341" s="46" t="s">
        <v>36</v>
      </c>
      <c r="AJ341" s="46">
        <f>=SUM(E342:AI342)</f>
      </c>
      <c r="AK341" s="46">
        <f>=+AY341</f>
      </c>
      <c r="AL341" s="46"/>
      <c r="AM341" s="1"/>
      <c r="AN341" s="1">
        <f>=COUNTIF(E341:AI341,"A")+COUNTIF(E341:AI341,"B")+COUNTIF(E341:AI341,"C")+COUNTIF(E341:AI341,"D")+COUNTIF(E341:AI341,"E")+COUNTIF(E341:AI341,"F")+COUNTIF(E341:AI341,"M")+COUNTIF(E341:AI341,"AB")+COUNTIF(E341:AI341,"UZ")+COUNTIF(E341:AI341,"G")+(COUNTIF(E341:AI341,"RT.")/2)+(COUNTIF(E341:AI341,"ÇRT.")/2)</f>
      </c>
      <c r="AO341" s="1">
        <f>=COUNTIF(E341:AI341,"O")</f>
      </c>
      <c r="AP341" s="1">
        <f>=COUNTIF(E341:AI341,"RT")+(COUNTIF(E341:AI341,"RT.")/2)</f>
      </c>
      <c r="AQ341" s="1">
        <f>=COUNTIF(E341:AI341,"ÇRT")+(COUNTIF(E341:AI341,"ÇRT.")/2)</f>
      </c>
      <c r="AR341" s="1">
        <f>=COUNTIF(E341:AI341,"ÇHT")</f>
      </c>
      <c r="AS341" s="1">
        <f>=COUNTIF(E341:AI341,"Ö")+COUNTIF(E341:AI341,"T")</f>
      </c>
      <c r="AT341" s="1">
        <f>=COUNTIF(E341:AI341,"Y")</f>
      </c>
      <c r="AU341" s="1">
        <f>=COUNTIF(E341:AI341,"R.")</f>
      </c>
      <c r="AV341" s="1">
        <f>=COUNTIF(E341:AI341,"Ü")</f>
      </c>
      <c r="AW341" s="1">
        <f>=COUNTIF(E341:AI341,"R")</f>
      </c>
      <c r="AX341" s="1">
        <f>=COUNTIF(E341:AI341,"DV")</f>
      </c>
      <c r="AY341" s="1">
        <f>=+AN341+AO341+AP341+AQ341+AR341+AS341+AT341+AU341</f>
      </c>
    </row>
    <row r="342" ht="16" customHeight="1" spans="1:51" x14ac:dyDescent="0.25">
      <c r="A342" s="45"/>
      <c r="B342" s="46"/>
      <c r="C342" s="46"/>
      <c r="D342" s="46" t="s">
        <v>33</v>
      </c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  <c r="AC342" s="46"/>
      <c r="AD342" s="46"/>
      <c r="AE342" s="46"/>
      <c r="AF342" s="46"/>
      <c r="AG342" s="46"/>
      <c r="AH342" s="46"/>
      <c r="AI342" s="46"/>
      <c r="AJ342" s="46"/>
      <c r="AK342" s="46"/>
      <c r="AL342" s="46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ht="16" customHeight="1" spans="1:51" x14ac:dyDescent="0.25">
      <c r="A343" s="45"/>
      <c r="B343" s="46" t="s">
        <v>383</v>
      </c>
      <c r="C343" s="46" t="s">
        <v>384</v>
      </c>
      <c r="D343" s="46" t="s">
        <v>29</v>
      </c>
      <c r="E343" s="46" t="s">
        <v>59</v>
      </c>
      <c r="F343" s="46" t="s">
        <v>37</v>
      </c>
      <c r="G343" s="46" t="s">
        <v>59</v>
      </c>
      <c r="H343" s="46" t="s">
        <v>59</v>
      </c>
      <c r="I343" s="46" t="s">
        <v>59</v>
      </c>
      <c r="J343" s="46" t="s">
        <v>59</v>
      </c>
      <c r="K343" s="46" t="s">
        <v>59</v>
      </c>
      <c r="L343" s="46" t="s">
        <v>59</v>
      </c>
      <c r="M343" s="46" t="s">
        <v>37</v>
      </c>
      <c r="N343" s="46" t="s">
        <v>59</v>
      </c>
      <c r="O343" s="46" t="s">
        <v>59</v>
      </c>
      <c r="P343" s="46" t="s">
        <v>59</v>
      </c>
      <c r="Q343" s="46" t="s">
        <v>59</v>
      </c>
      <c r="R343" s="46" t="s">
        <v>59</v>
      </c>
      <c r="S343" s="46" t="s">
        <v>59</v>
      </c>
      <c r="T343" s="46" t="s">
        <v>37</v>
      </c>
      <c r="U343" s="46" t="s">
        <v>59</v>
      </c>
      <c r="V343" s="46" t="s">
        <v>59</v>
      </c>
      <c r="W343" s="46" t="s">
        <v>59</v>
      </c>
      <c r="X343" s="46" t="s">
        <v>59</v>
      </c>
      <c r="Y343" s="46" t="s">
        <v>59</v>
      </c>
      <c r="Z343" s="46" t="s">
        <v>59</v>
      </c>
      <c r="AA343" s="46" t="s">
        <v>37</v>
      </c>
      <c r="AB343" s="46" t="s">
        <v>153</v>
      </c>
      <c r="AC343" s="46" t="s">
        <v>59</v>
      </c>
      <c r="AD343" s="46" t="s">
        <v>59</v>
      </c>
      <c r="AE343" s="46" t="s">
        <v>59</v>
      </c>
      <c r="AF343" s="46" t="s">
        <v>59</v>
      </c>
      <c r="AG343" s="46" t="s">
        <v>59</v>
      </c>
      <c r="AH343" s="46" t="s">
        <v>43</v>
      </c>
      <c r="AI343" s="46" t="s">
        <v>59</v>
      </c>
      <c r="AJ343" s="46">
        <f>=SUM(E344:AI344)</f>
      </c>
      <c r="AK343" s="46">
        <f>=+AY343</f>
      </c>
      <c r="AL343" s="46"/>
      <c r="AM343" s="1"/>
      <c r="AN343" s="1">
        <f>=COUNTIF(E343:AI343,"A")+COUNTIF(E343:AI343,"B")+COUNTIF(E343:AI343,"C")+COUNTIF(E343:AI343,"D")+COUNTIF(E343:AI343,"E")+COUNTIF(E343:AI343,"F")+COUNTIF(E343:AI343,"M")+COUNTIF(E343:AI343,"AB")+COUNTIF(E343:AI343,"UZ")+COUNTIF(E343:AI343,"G")+(COUNTIF(E343:AI343,"RT.")/2)+(COUNTIF(E343:AI343,"ÇRT.")/2)</f>
      </c>
      <c r="AO343" s="1">
        <f>=COUNTIF(E343:AI343,"O")</f>
      </c>
      <c r="AP343" s="1">
        <f>=COUNTIF(E343:AI343,"RT")+(COUNTIF(E343:AI343,"RT.")/2)</f>
      </c>
      <c r="AQ343" s="1">
        <f>=COUNTIF(E343:AI343,"ÇRT")+(COUNTIF(E343:AI343,"ÇRT.")/2)</f>
      </c>
      <c r="AR343" s="1">
        <f>=COUNTIF(E343:AI343,"ÇHT")</f>
      </c>
      <c r="AS343" s="1">
        <f>=COUNTIF(E343:AI343,"Ö")+COUNTIF(E343:AI343,"T")</f>
      </c>
      <c r="AT343" s="1">
        <f>=COUNTIF(E343:AI343,"Y")</f>
      </c>
      <c r="AU343" s="1">
        <f>=COUNTIF(E343:AI343,"R.")</f>
      </c>
      <c r="AV343" s="1">
        <f>=COUNTIF(E343:AI343,"Ü")</f>
      </c>
      <c r="AW343" s="1">
        <f>=COUNTIF(E343:AI343,"R")</f>
      </c>
      <c r="AX343" s="1">
        <f>=COUNTIF(E343:AI343,"DV")</f>
      </c>
      <c r="AY343" s="1">
        <f>=+AN343+AO343+AP343+AQ343+AR343+AS343+AT343+AU343</f>
      </c>
    </row>
    <row r="344" ht="16" customHeight="1" spans="1:51" x14ac:dyDescent="0.25">
      <c r="A344" s="45"/>
      <c r="B344" s="46"/>
      <c r="C344" s="46"/>
      <c r="D344" s="46" t="s">
        <v>33</v>
      </c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  <c r="AC344" s="46"/>
      <c r="AD344" s="46"/>
      <c r="AE344" s="46"/>
      <c r="AF344" s="46"/>
      <c r="AG344" s="46"/>
      <c r="AH344" s="46"/>
      <c r="AI344" s="46"/>
      <c r="AJ344" s="46"/>
      <c r="AK344" s="46"/>
      <c r="AL344" s="46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ht="16" customHeight="1" spans="1:51" x14ac:dyDescent="0.25">
      <c r="A345" s="45"/>
      <c r="B345" s="46" t="s">
        <v>385</v>
      </c>
      <c r="C345" s="46" t="s">
        <v>386</v>
      </c>
      <c r="D345" s="46" t="s">
        <v>29</v>
      </c>
      <c r="E345" s="46" t="s">
        <v>36</v>
      </c>
      <c r="F345" s="46" t="s">
        <v>37</v>
      </c>
      <c r="G345" s="46" t="s">
        <v>36</v>
      </c>
      <c r="H345" s="46" t="s">
        <v>36</v>
      </c>
      <c r="I345" s="46" t="s">
        <v>36</v>
      </c>
      <c r="J345" s="46" t="s">
        <v>153</v>
      </c>
      <c r="K345" s="46" t="s">
        <v>153</v>
      </c>
      <c r="L345" s="46" t="s">
        <v>153</v>
      </c>
      <c r="M345" s="46" t="s">
        <v>153</v>
      </c>
      <c r="N345" s="46" t="s">
        <v>36</v>
      </c>
      <c r="O345" s="46" t="s">
        <v>36</v>
      </c>
      <c r="P345" s="46" t="s">
        <v>36</v>
      </c>
      <c r="Q345" s="46" t="s">
        <v>36</v>
      </c>
      <c r="R345" s="46" t="s">
        <v>153</v>
      </c>
      <c r="S345" s="46" t="s">
        <v>36</v>
      </c>
      <c r="T345" s="46" t="s">
        <v>37</v>
      </c>
      <c r="U345" s="46" t="s">
        <v>36</v>
      </c>
      <c r="V345" s="46" t="s">
        <v>36</v>
      </c>
      <c r="W345" s="46" t="s">
        <v>36</v>
      </c>
      <c r="X345" s="46" t="s">
        <v>36</v>
      </c>
      <c r="Y345" s="46" t="s">
        <v>36</v>
      </c>
      <c r="Z345" s="46" t="s">
        <v>36</v>
      </c>
      <c r="AA345" s="46" t="s">
        <v>37</v>
      </c>
      <c r="AB345" s="46" t="s">
        <v>36</v>
      </c>
      <c r="AC345" s="46" t="s">
        <v>36</v>
      </c>
      <c r="AD345" s="46" t="s">
        <v>36</v>
      </c>
      <c r="AE345" s="46" t="s">
        <v>36</v>
      </c>
      <c r="AF345" s="46" t="s">
        <v>31</v>
      </c>
      <c r="AG345" s="46" t="s">
        <v>31</v>
      </c>
      <c r="AH345" s="46" t="s">
        <v>37</v>
      </c>
      <c r="AI345" s="46" t="s">
        <v>36</v>
      </c>
      <c r="AJ345" s="46">
        <f>=SUM(E346:AI346)</f>
      </c>
      <c r="AK345" s="46">
        <f>=+AY345</f>
      </c>
      <c r="AL345" s="46"/>
      <c r="AM345" s="1"/>
      <c r="AN345" s="1">
        <f>=COUNTIF(E345:AI345,"A")+COUNTIF(E345:AI345,"B")+COUNTIF(E345:AI345,"C")+COUNTIF(E345:AI345,"D")+COUNTIF(E345:AI345,"E")+COUNTIF(E345:AI345,"F")+COUNTIF(E345:AI345,"M")+COUNTIF(E345:AI345,"AB")+COUNTIF(E345:AI345,"UZ")+COUNTIF(E345:AI345,"G")+(COUNTIF(E345:AI345,"RT.")/2)+(COUNTIF(E345:AI345,"ÇRT.")/2)</f>
      </c>
      <c r="AO345" s="1">
        <f>=COUNTIF(E345:AI345,"O")</f>
      </c>
      <c r="AP345" s="1">
        <f>=COUNTIF(E345:AI345,"RT")+(COUNTIF(E345:AI345,"RT.")/2)</f>
      </c>
      <c r="AQ345" s="1">
        <f>=COUNTIF(E345:AI345,"ÇRT")+(COUNTIF(E345:AI345,"ÇRT.")/2)</f>
      </c>
      <c r="AR345" s="1">
        <f>=COUNTIF(E345:AI345,"ÇHT")</f>
      </c>
      <c r="AS345" s="1">
        <f>=COUNTIF(E345:AI345,"Ö")+COUNTIF(E345:AI345,"T")</f>
      </c>
      <c r="AT345" s="1">
        <f>=COUNTIF(E345:AI345,"Y")</f>
      </c>
      <c r="AU345" s="1">
        <f>=COUNTIF(E345:AI345,"R.")</f>
      </c>
      <c r="AV345" s="1">
        <f>=COUNTIF(E345:AI345,"Ü")</f>
      </c>
      <c r="AW345" s="1">
        <f>=COUNTIF(E345:AI345,"R")</f>
      </c>
      <c r="AX345" s="1">
        <f>=COUNTIF(E345:AI345,"DV")</f>
      </c>
      <c r="AY345" s="1">
        <f>=+AN345+AO345+AP345+AQ345+AR345+AS345+AT345+AU345</f>
      </c>
    </row>
    <row r="346" ht="16" customHeight="1" spans="1:51" x14ac:dyDescent="0.25">
      <c r="A346" s="45"/>
      <c r="B346" s="46"/>
      <c r="C346" s="46"/>
      <c r="D346" s="46" t="s">
        <v>33</v>
      </c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  <c r="AC346" s="46"/>
      <c r="AD346" s="46"/>
      <c r="AE346" s="46"/>
      <c r="AF346" s="46"/>
      <c r="AG346" s="46"/>
      <c r="AH346" s="46"/>
      <c r="AI346" s="46"/>
      <c r="AJ346" s="46"/>
      <c r="AK346" s="46"/>
      <c r="AL346" s="46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ht="16" customHeight="1" spans="1:51" x14ac:dyDescent="0.25">
      <c r="A347" s="45"/>
      <c r="B347" s="46" t="s">
        <v>387</v>
      </c>
      <c r="C347" s="46" t="s">
        <v>388</v>
      </c>
      <c r="D347" s="46" t="s">
        <v>29</v>
      </c>
      <c r="E347" s="46" t="s">
        <v>153</v>
      </c>
      <c r="F347" s="46" t="s">
        <v>36</v>
      </c>
      <c r="G347" s="46" t="s">
        <v>36</v>
      </c>
      <c r="H347" s="46" t="s">
        <v>36</v>
      </c>
      <c r="I347" s="46" t="s">
        <v>37</v>
      </c>
      <c r="J347" s="46" t="s">
        <v>36</v>
      </c>
      <c r="K347" s="46" t="s">
        <v>36</v>
      </c>
      <c r="L347" s="46" t="s">
        <v>36</v>
      </c>
      <c r="M347" s="46" t="s">
        <v>36</v>
      </c>
      <c r="N347" s="46" t="s">
        <v>153</v>
      </c>
      <c r="O347" s="46" t="s">
        <v>36</v>
      </c>
      <c r="P347" s="46" t="s">
        <v>37</v>
      </c>
      <c r="Q347" s="46" t="s">
        <v>36</v>
      </c>
      <c r="R347" s="46" t="s">
        <v>36</v>
      </c>
      <c r="S347" s="46" t="s">
        <v>36</v>
      </c>
      <c r="T347" s="46" t="s">
        <v>36</v>
      </c>
      <c r="U347" s="46" t="s">
        <v>36</v>
      </c>
      <c r="V347" s="46" t="s">
        <v>36</v>
      </c>
      <c r="W347" s="46" t="s">
        <v>36</v>
      </c>
      <c r="X347" s="46" t="s">
        <v>36</v>
      </c>
      <c r="Y347" s="46" t="s">
        <v>31</v>
      </c>
      <c r="Z347" s="46" t="s">
        <v>36</v>
      </c>
      <c r="AA347" s="46" t="s">
        <v>37</v>
      </c>
      <c r="AB347" s="46" t="s">
        <v>36</v>
      </c>
      <c r="AC347" s="46" t="s">
        <v>36</v>
      </c>
      <c r="AD347" s="46" t="s">
        <v>37</v>
      </c>
      <c r="AE347" s="46" t="s">
        <v>36</v>
      </c>
      <c r="AF347" s="46" t="s">
        <v>36</v>
      </c>
      <c r="AG347" s="46" t="s">
        <v>36</v>
      </c>
      <c r="AH347" s="46" t="s">
        <v>43</v>
      </c>
      <c r="AI347" s="46" t="s">
        <v>36</v>
      </c>
      <c r="AJ347" s="46">
        <f>=SUM(E348:AI348)</f>
      </c>
      <c r="AK347" s="46">
        <f>=+AY347</f>
      </c>
      <c r="AL347" s="46"/>
      <c r="AM347" s="1"/>
      <c r="AN347" s="1">
        <f>=COUNTIF(E347:AI347,"A")+COUNTIF(E347:AI347,"B")+COUNTIF(E347:AI347,"C")+COUNTIF(E347:AI347,"D")+COUNTIF(E347:AI347,"E")+COUNTIF(E347:AI347,"F")+COUNTIF(E347:AI347,"M")+COUNTIF(E347:AI347,"AB")+COUNTIF(E347:AI347,"UZ")+COUNTIF(E347:AI347,"G")+(COUNTIF(E347:AI347,"RT.")/2)+(COUNTIF(E347:AI347,"ÇRT.")/2)</f>
      </c>
      <c r="AO347" s="1">
        <f>=COUNTIF(E347:AI347,"O")</f>
      </c>
      <c r="AP347" s="1">
        <f>=COUNTIF(E347:AI347,"RT")+(COUNTIF(E347:AI347,"RT.")/2)</f>
      </c>
      <c r="AQ347" s="1">
        <f>=COUNTIF(E347:AI347,"ÇRT")+(COUNTIF(E347:AI347,"ÇRT.")/2)</f>
      </c>
      <c r="AR347" s="1">
        <f>=COUNTIF(E347:AI347,"ÇHT")</f>
      </c>
      <c r="AS347" s="1">
        <f>=COUNTIF(E347:AI347,"Ö")+COUNTIF(E347:AI347,"T")</f>
      </c>
      <c r="AT347" s="1">
        <f>=COUNTIF(E347:AI347,"Y")</f>
      </c>
      <c r="AU347" s="1">
        <f>=COUNTIF(E347:AI347,"R.")</f>
      </c>
      <c r="AV347" s="1">
        <f>=COUNTIF(E347:AI347,"Ü")</f>
      </c>
      <c r="AW347" s="1">
        <f>=COUNTIF(E347:AI347,"R")</f>
      </c>
      <c r="AX347" s="1">
        <f>=COUNTIF(E347:AI347,"DV")</f>
      </c>
      <c r="AY347" s="1">
        <f>=+AN347+AO347+AP347+AQ347+AR347+AS347+AT347+AU347</f>
      </c>
    </row>
    <row r="348" ht="16" customHeight="1" spans="1:51" x14ac:dyDescent="0.25">
      <c r="A348" s="45"/>
      <c r="B348" s="46"/>
      <c r="C348" s="46"/>
      <c r="D348" s="46" t="s">
        <v>33</v>
      </c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  <c r="AC348" s="46"/>
      <c r="AD348" s="46"/>
      <c r="AE348" s="46"/>
      <c r="AF348" s="46"/>
      <c r="AG348" s="46"/>
      <c r="AH348" s="46"/>
      <c r="AI348" s="46"/>
      <c r="AJ348" s="46"/>
      <c r="AK348" s="46"/>
      <c r="AL348" s="46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ht="16" customHeight="1" spans="1:51" x14ac:dyDescent="0.25">
      <c r="A349" s="45"/>
      <c r="B349" s="46" t="s">
        <v>389</v>
      </c>
      <c r="C349" s="46" t="s">
        <v>390</v>
      </c>
      <c r="D349" s="46" t="s">
        <v>29</v>
      </c>
      <c r="E349" s="46" t="s">
        <v>36</v>
      </c>
      <c r="F349" s="46" t="s">
        <v>59</v>
      </c>
      <c r="G349" s="46" t="s">
        <v>37</v>
      </c>
      <c r="H349" s="46" t="s">
        <v>36</v>
      </c>
      <c r="I349" s="46" t="s">
        <v>36</v>
      </c>
      <c r="J349" s="46" t="s">
        <v>36</v>
      </c>
      <c r="K349" s="46" t="s">
        <v>36</v>
      </c>
      <c r="L349" s="46" t="s">
        <v>36</v>
      </c>
      <c r="M349" s="46" t="s">
        <v>59</v>
      </c>
      <c r="N349" s="46" t="s">
        <v>37</v>
      </c>
      <c r="O349" s="46" t="s">
        <v>36</v>
      </c>
      <c r="P349" s="46" t="s">
        <v>36</v>
      </c>
      <c r="Q349" s="46" t="s">
        <v>36</v>
      </c>
      <c r="R349" s="46" t="s">
        <v>36</v>
      </c>
      <c r="S349" s="46" t="s">
        <v>36</v>
      </c>
      <c r="T349" s="46" t="s">
        <v>59</v>
      </c>
      <c r="U349" s="46" t="s">
        <v>37</v>
      </c>
      <c r="V349" s="46" t="s">
        <v>36</v>
      </c>
      <c r="W349" s="46" t="s">
        <v>36</v>
      </c>
      <c r="X349" s="46" t="s">
        <v>36</v>
      </c>
      <c r="Y349" s="46" t="s">
        <v>36</v>
      </c>
      <c r="Z349" s="46" t="s">
        <v>36</v>
      </c>
      <c r="AA349" s="46" t="s">
        <v>59</v>
      </c>
      <c r="AB349" s="46" t="s">
        <v>37</v>
      </c>
      <c r="AC349" s="46" t="s">
        <v>36</v>
      </c>
      <c r="AD349" s="46" t="s">
        <v>36</v>
      </c>
      <c r="AE349" s="46" t="s">
        <v>36</v>
      </c>
      <c r="AF349" s="46" t="s">
        <v>153</v>
      </c>
      <c r="AG349" s="46" t="s">
        <v>36</v>
      </c>
      <c r="AH349" s="46" t="s">
        <v>43</v>
      </c>
      <c r="AI349" s="46" t="s">
        <v>37</v>
      </c>
      <c r="AJ349" s="46">
        <f>=SUM(E350:AI350)</f>
      </c>
      <c r="AK349" s="46">
        <f>=+AY349</f>
      </c>
      <c r="AL349" s="46"/>
      <c r="AM349" s="1"/>
      <c r="AN349" s="1">
        <f>=COUNTIF(E349:AI349,"A")+COUNTIF(E349:AI349,"B")+COUNTIF(E349:AI349,"C")+COUNTIF(E349:AI349,"D")+COUNTIF(E349:AI349,"E")+COUNTIF(E349:AI349,"F")+COUNTIF(E349:AI349,"M")+COUNTIF(E349:AI349,"AB")+COUNTIF(E349:AI349,"UZ")+COUNTIF(E349:AI349,"G")+(COUNTIF(E349:AI349,"RT.")/2)+(COUNTIF(E349:AI349,"ÇRT.")/2)</f>
      </c>
      <c r="AO349" s="1">
        <f>=COUNTIF(E349:AI349,"O")</f>
      </c>
      <c r="AP349" s="1">
        <f>=COUNTIF(E349:AI349,"RT")+(COUNTIF(E349:AI349,"RT.")/2)</f>
      </c>
      <c r="AQ349" s="1">
        <f>=COUNTIF(E349:AI349,"ÇRT")+(COUNTIF(E349:AI349,"ÇRT.")/2)</f>
      </c>
      <c r="AR349" s="1">
        <f>=COUNTIF(E349:AI349,"ÇHT")</f>
      </c>
      <c r="AS349" s="1">
        <f>=COUNTIF(E349:AI349,"Ö")+COUNTIF(E349:AI349,"T")</f>
      </c>
      <c r="AT349" s="1">
        <f>=COUNTIF(E349:AI349,"Y")</f>
      </c>
      <c r="AU349" s="1">
        <f>=COUNTIF(E349:AI349,"R.")</f>
      </c>
      <c r="AV349" s="1">
        <f>=COUNTIF(E349:AI349,"Ü")</f>
      </c>
      <c r="AW349" s="1">
        <f>=COUNTIF(E349:AI349,"R")</f>
      </c>
      <c r="AX349" s="1">
        <f>=COUNTIF(E349:AI349,"DV")</f>
      </c>
      <c r="AY349" s="1">
        <f>=+AN349+AO349+AP349+AQ349+AR349+AS349+AT349+AU349</f>
      </c>
    </row>
    <row r="350" ht="16" customHeight="1" spans="1:51" x14ac:dyDescent="0.25">
      <c r="A350" s="45"/>
      <c r="B350" s="46"/>
      <c r="C350" s="46"/>
      <c r="D350" s="46" t="s">
        <v>33</v>
      </c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  <c r="AC350" s="46"/>
      <c r="AD350" s="46"/>
      <c r="AE350" s="46"/>
      <c r="AF350" s="46"/>
      <c r="AG350" s="46"/>
      <c r="AH350" s="46"/>
      <c r="AI350" s="46"/>
      <c r="AJ350" s="46"/>
      <c r="AK350" s="46"/>
      <c r="AL350" s="46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ht="16" customHeight="1" spans="1:51" x14ac:dyDescent="0.25">
      <c r="A351" s="45"/>
      <c r="B351" s="46" t="s">
        <v>391</v>
      </c>
      <c r="C351" s="46" t="s">
        <v>189</v>
      </c>
      <c r="D351" s="46" t="s">
        <v>29</v>
      </c>
      <c r="E351" s="46" t="s">
        <v>30</v>
      </c>
      <c r="F351" s="46" t="s">
        <v>30</v>
      </c>
      <c r="G351" s="46" t="s">
        <v>37</v>
      </c>
      <c r="H351" s="46" t="s">
        <v>30</v>
      </c>
      <c r="I351" s="46" t="s">
        <v>30</v>
      </c>
      <c r="J351" s="46" t="s">
        <v>30</v>
      </c>
      <c r="K351" s="46" t="s">
        <v>30</v>
      </c>
      <c r="L351" s="46" t="s">
        <v>30</v>
      </c>
      <c r="M351" s="46" t="s">
        <v>30</v>
      </c>
      <c r="N351" s="46" t="s">
        <v>37</v>
      </c>
      <c r="O351" s="46" t="s">
        <v>30</v>
      </c>
      <c r="P351" s="46" t="s">
        <v>36</v>
      </c>
      <c r="Q351" s="46" t="s">
        <v>36</v>
      </c>
      <c r="R351" s="46" t="s">
        <v>36</v>
      </c>
      <c r="S351" s="46" t="s">
        <v>36</v>
      </c>
      <c r="T351" s="46" t="s">
        <v>36</v>
      </c>
      <c r="U351" s="46" t="s">
        <v>37</v>
      </c>
      <c r="V351" s="46" t="s">
        <v>36</v>
      </c>
      <c r="W351" s="46" t="s">
        <v>36</v>
      </c>
      <c r="X351" s="46" t="s">
        <v>36</v>
      </c>
      <c r="Y351" s="46" t="s">
        <v>36</v>
      </c>
      <c r="Z351" s="46" t="s">
        <v>36</v>
      </c>
      <c r="AA351" s="46" t="s">
        <v>36</v>
      </c>
      <c r="AB351" s="46" t="s">
        <v>37</v>
      </c>
      <c r="AC351" s="46" t="s">
        <v>98</v>
      </c>
      <c r="AD351" s="46" t="s">
        <v>98</v>
      </c>
      <c r="AE351" s="46" t="s">
        <v>98</v>
      </c>
      <c r="AF351" s="46" t="s">
        <v>98</v>
      </c>
      <c r="AG351" s="46" t="s">
        <v>98</v>
      </c>
      <c r="AH351" s="46" t="s">
        <v>154</v>
      </c>
      <c r="AI351" s="46" t="s">
        <v>37</v>
      </c>
      <c r="AJ351" s="46">
        <f>=SUM(E352:AI352)</f>
      </c>
      <c r="AK351" s="46">
        <f>=+AY351</f>
      </c>
      <c r="AL351" s="46"/>
      <c r="AM351" s="1"/>
      <c r="AN351" s="1">
        <f>=COUNTIF(E351:AI351,"A")+COUNTIF(E351:AI351,"B")+COUNTIF(E351:AI351,"C")+COUNTIF(E351:AI351,"D")+COUNTIF(E351:AI351,"E")+COUNTIF(E351:AI351,"F")+COUNTIF(E351:AI351,"M")+COUNTIF(E351:AI351,"AB")+COUNTIF(E351:AI351,"UZ")+COUNTIF(E351:AI351,"G")+(COUNTIF(E351:AI351,"RT.")/2)+(COUNTIF(E351:AI351,"ÇRT.")/2)</f>
      </c>
      <c r="AO351" s="1">
        <f>=COUNTIF(E351:AI351,"O")</f>
      </c>
      <c r="AP351" s="1">
        <f>=COUNTIF(E351:AI351,"RT")+(COUNTIF(E351:AI351,"RT.")/2)</f>
      </c>
      <c r="AQ351" s="1">
        <f>=COUNTIF(E351:AI351,"ÇRT")+(COUNTIF(E351:AI351,"ÇRT.")/2)</f>
      </c>
      <c r="AR351" s="1">
        <f>=COUNTIF(E351:AI351,"ÇHT")</f>
      </c>
      <c r="AS351" s="1">
        <f>=COUNTIF(E351:AI351,"Ö")+COUNTIF(E351:AI351,"T")</f>
      </c>
      <c r="AT351" s="1">
        <f>=COUNTIF(E351:AI351,"Y")</f>
      </c>
      <c r="AU351" s="1">
        <f>=COUNTIF(E351:AI351,"R.")</f>
      </c>
      <c r="AV351" s="1">
        <f>=COUNTIF(E351:AI351,"Ü")</f>
      </c>
      <c r="AW351" s="1">
        <f>=COUNTIF(E351:AI351,"R")</f>
      </c>
      <c r="AX351" s="1">
        <f>=COUNTIF(E351:AI351,"DV")</f>
      </c>
      <c r="AY351" s="1">
        <f>=+AN351+AO351+AP351+AQ351+AR351+AS351+AT351+AU351</f>
      </c>
    </row>
    <row r="352" ht="16" customHeight="1" spans="1:51" x14ac:dyDescent="0.25">
      <c r="A352" s="45"/>
      <c r="B352" s="46"/>
      <c r="C352" s="46"/>
      <c r="D352" s="46" t="s">
        <v>33</v>
      </c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  <c r="AC352" s="46"/>
      <c r="AD352" s="46"/>
      <c r="AE352" s="46"/>
      <c r="AF352" s="46"/>
      <c r="AG352" s="46"/>
      <c r="AH352" s="46"/>
      <c r="AI352" s="46"/>
      <c r="AJ352" s="46"/>
      <c r="AK352" s="46"/>
      <c r="AL352" s="46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ht="16" customHeight="1" spans="1:51" x14ac:dyDescent="0.25">
      <c r="A353" s="45"/>
      <c r="B353" s="46" t="s">
        <v>392</v>
      </c>
      <c r="C353" s="46" t="s">
        <v>393</v>
      </c>
      <c r="D353" s="46" t="s">
        <v>29</v>
      </c>
      <c r="E353" s="46" t="s">
        <v>36</v>
      </c>
      <c r="F353" s="46" t="s">
        <v>37</v>
      </c>
      <c r="G353" s="46" t="s">
        <v>36</v>
      </c>
      <c r="H353" s="46" t="s">
        <v>36</v>
      </c>
      <c r="I353" s="46" t="s">
        <v>153</v>
      </c>
      <c r="J353" s="46" t="s">
        <v>36</v>
      </c>
      <c r="K353" s="46" t="s">
        <v>36</v>
      </c>
      <c r="L353" s="46" t="s">
        <v>36</v>
      </c>
      <c r="M353" s="46" t="s">
        <v>37</v>
      </c>
      <c r="N353" s="46" t="s">
        <v>36</v>
      </c>
      <c r="O353" s="46" t="s">
        <v>36</v>
      </c>
      <c r="P353" s="46" t="s">
        <v>98</v>
      </c>
      <c r="Q353" s="46" t="s">
        <v>36</v>
      </c>
      <c r="R353" s="46" t="s">
        <v>153</v>
      </c>
      <c r="S353" s="46" t="s">
        <v>153</v>
      </c>
      <c r="T353" s="46" t="s">
        <v>37</v>
      </c>
      <c r="U353" s="46" t="s">
        <v>36</v>
      </c>
      <c r="V353" s="46" t="s">
        <v>36</v>
      </c>
      <c r="W353" s="46" t="s">
        <v>36</v>
      </c>
      <c r="X353" s="46" t="s">
        <v>36</v>
      </c>
      <c r="Y353" s="46" t="s">
        <v>36</v>
      </c>
      <c r="Z353" s="46" t="s">
        <v>36</v>
      </c>
      <c r="AA353" s="46" t="s">
        <v>37</v>
      </c>
      <c r="AB353" s="46" t="s">
        <v>98</v>
      </c>
      <c r="AC353" s="46" t="s">
        <v>36</v>
      </c>
      <c r="AD353" s="46" t="s">
        <v>36</v>
      </c>
      <c r="AE353" s="46" t="s">
        <v>36</v>
      </c>
      <c r="AF353" s="46" t="s">
        <v>36</v>
      </c>
      <c r="AG353" s="46" t="s">
        <v>36</v>
      </c>
      <c r="AH353" s="46" t="s">
        <v>37</v>
      </c>
      <c r="AI353" s="46" t="s">
        <v>36</v>
      </c>
      <c r="AJ353" s="46">
        <f>=SUM(E354:AI354)</f>
      </c>
      <c r="AK353" s="46">
        <f>=+AY353</f>
      </c>
      <c r="AL353" s="46"/>
      <c r="AM353" s="1"/>
      <c r="AN353" s="1">
        <f>=COUNTIF(E353:AI353,"A")+COUNTIF(E353:AI353,"B")+COUNTIF(E353:AI353,"C")+COUNTIF(E353:AI353,"D")+COUNTIF(E353:AI353,"E")+COUNTIF(E353:AI353,"F")+COUNTIF(E353:AI353,"M")+COUNTIF(E353:AI353,"AB")+COUNTIF(E353:AI353,"UZ")+COUNTIF(E353:AI353,"G")+(COUNTIF(E353:AI353,"RT.")/2)+(COUNTIF(E353:AI353,"ÇRT.")/2)</f>
      </c>
      <c r="AO353" s="1">
        <f>=COUNTIF(E353:AI353,"O")</f>
      </c>
      <c r="AP353" s="1">
        <f>=COUNTIF(E353:AI353,"RT")+(COUNTIF(E353:AI353,"RT.")/2)</f>
      </c>
      <c r="AQ353" s="1">
        <f>=COUNTIF(E353:AI353,"ÇRT")+(COUNTIF(E353:AI353,"ÇRT.")/2)</f>
      </c>
      <c r="AR353" s="1">
        <f>=COUNTIF(E353:AI353,"ÇHT")</f>
      </c>
      <c r="AS353" s="1">
        <f>=COUNTIF(E353:AI353,"Ö")+COUNTIF(E353:AI353,"T")</f>
      </c>
      <c r="AT353" s="1">
        <f>=COUNTIF(E353:AI353,"Y")</f>
      </c>
      <c r="AU353" s="1">
        <f>=COUNTIF(E353:AI353,"R.")</f>
      </c>
      <c r="AV353" s="1">
        <f>=COUNTIF(E353:AI353,"Ü")</f>
      </c>
      <c r="AW353" s="1">
        <f>=COUNTIF(E353:AI353,"R")</f>
      </c>
      <c r="AX353" s="1">
        <f>=COUNTIF(E353:AI353,"DV")</f>
      </c>
      <c r="AY353" s="1">
        <f>=+AN353+AO353+AP353+AQ353+AR353+AS353+AT353+AU353</f>
      </c>
    </row>
    <row r="354" ht="16" customHeight="1" spans="1:51" x14ac:dyDescent="0.25">
      <c r="A354" s="45"/>
      <c r="B354" s="46"/>
      <c r="C354" s="46"/>
      <c r="D354" s="46" t="s">
        <v>33</v>
      </c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  <c r="AC354" s="46"/>
      <c r="AD354" s="46"/>
      <c r="AE354" s="46"/>
      <c r="AF354" s="46"/>
      <c r="AG354" s="46"/>
      <c r="AH354" s="46"/>
      <c r="AI354" s="46"/>
      <c r="AJ354" s="46"/>
      <c r="AK354" s="46"/>
      <c r="AL354" s="46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ht="16" customHeight="1" spans="1:51" x14ac:dyDescent="0.25">
      <c r="A355" s="45"/>
      <c r="B355" s="46" t="s">
        <v>394</v>
      </c>
      <c r="C355" s="46" t="s">
        <v>395</v>
      </c>
      <c r="D355" s="46" t="s">
        <v>29</v>
      </c>
      <c r="E355" s="46" t="s">
        <v>36</v>
      </c>
      <c r="F355" s="46" t="s">
        <v>36</v>
      </c>
      <c r="G355" s="46" t="s">
        <v>36</v>
      </c>
      <c r="H355" s="46" t="s">
        <v>37</v>
      </c>
      <c r="I355" s="46" t="s">
        <v>36</v>
      </c>
      <c r="J355" s="46" t="s">
        <v>36</v>
      </c>
      <c r="K355" s="46" t="s">
        <v>36</v>
      </c>
      <c r="L355" s="46" t="s">
        <v>36</v>
      </c>
      <c r="M355" s="46" t="s">
        <v>36</v>
      </c>
      <c r="N355" s="46" t="s">
        <v>36</v>
      </c>
      <c r="O355" s="46" t="s">
        <v>37</v>
      </c>
      <c r="P355" s="46" t="s">
        <v>36</v>
      </c>
      <c r="Q355" s="46" t="s">
        <v>36</v>
      </c>
      <c r="R355" s="46" t="s">
        <v>36</v>
      </c>
      <c r="S355" s="46" t="s">
        <v>36</v>
      </c>
      <c r="T355" s="46" t="s">
        <v>36</v>
      </c>
      <c r="U355" s="46" t="s">
        <v>36</v>
      </c>
      <c r="V355" s="46" t="s">
        <v>37</v>
      </c>
      <c r="W355" s="46" t="s">
        <v>36</v>
      </c>
      <c r="X355" s="46" t="s">
        <v>36</v>
      </c>
      <c r="Y355" s="46" t="s">
        <v>36</v>
      </c>
      <c r="Z355" s="46" t="s">
        <v>36</v>
      </c>
      <c r="AA355" s="46" t="s">
        <v>36</v>
      </c>
      <c r="AB355" s="46" t="s">
        <v>37</v>
      </c>
      <c r="AC355" s="46" t="s">
        <v>36</v>
      </c>
      <c r="AD355" s="46" t="s">
        <v>36</v>
      </c>
      <c r="AE355" s="46" t="s">
        <v>36</v>
      </c>
      <c r="AF355" s="46" t="s">
        <v>36</v>
      </c>
      <c r="AG355" s="46" t="s">
        <v>36</v>
      </c>
      <c r="AH355" s="46" t="s">
        <v>43</v>
      </c>
      <c r="AI355" s="46" t="s">
        <v>36</v>
      </c>
      <c r="AJ355" s="46">
        <f>=SUM(E356:AI356)</f>
      </c>
      <c r="AK355" s="46">
        <f>=+AY355</f>
      </c>
      <c r="AL355" s="46"/>
      <c r="AM355" s="1"/>
      <c r="AN355" s="1">
        <f>=COUNTIF(E355:AI355,"A")+COUNTIF(E355:AI355,"B")+COUNTIF(E355:AI355,"C")+COUNTIF(E355:AI355,"D")+COUNTIF(E355:AI355,"E")+COUNTIF(E355:AI355,"F")+COUNTIF(E355:AI355,"M")+COUNTIF(E355:AI355,"AB")+COUNTIF(E355:AI355,"UZ")+COUNTIF(E355:AI355,"G")+(COUNTIF(E355:AI355,"RT.")/2)+(COUNTIF(E355:AI355,"ÇRT.")/2)</f>
      </c>
      <c r="AO355" s="1">
        <f>=COUNTIF(E355:AI355,"O")</f>
      </c>
      <c r="AP355" s="1">
        <f>=COUNTIF(E355:AI355,"RT")+(COUNTIF(E355:AI355,"RT.")/2)</f>
      </c>
      <c r="AQ355" s="1">
        <f>=COUNTIF(E355:AI355,"ÇRT")+(COUNTIF(E355:AI355,"ÇRT.")/2)</f>
      </c>
      <c r="AR355" s="1">
        <f>=COUNTIF(E355:AI355,"ÇHT")</f>
      </c>
      <c r="AS355" s="1">
        <f>=COUNTIF(E355:AI355,"Ö")+COUNTIF(E355:AI355,"T")</f>
      </c>
      <c r="AT355" s="1">
        <f>=COUNTIF(E355:AI355,"Y")</f>
      </c>
      <c r="AU355" s="1">
        <f>=COUNTIF(E355:AI355,"R.")</f>
      </c>
      <c r="AV355" s="1">
        <f>=COUNTIF(E355:AI355,"Ü")</f>
      </c>
      <c r="AW355" s="1">
        <f>=COUNTIF(E355:AI355,"R")</f>
      </c>
      <c r="AX355" s="1">
        <f>=COUNTIF(E355:AI355,"DV")</f>
      </c>
      <c r="AY355" s="1">
        <f>=+AN355+AO355+AP355+AQ355+AR355+AS355+AT355+AU355</f>
      </c>
    </row>
    <row r="356" ht="16" customHeight="1" spans="1:51" x14ac:dyDescent="0.25">
      <c r="A356" s="45"/>
      <c r="B356" s="46"/>
      <c r="C356" s="46"/>
      <c r="D356" s="46" t="s">
        <v>33</v>
      </c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  <c r="AC356" s="46"/>
      <c r="AD356" s="46"/>
      <c r="AE356" s="46"/>
      <c r="AF356" s="46"/>
      <c r="AG356" s="46"/>
      <c r="AH356" s="46"/>
      <c r="AI356" s="46"/>
      <c r="AJ356" s="46"/>
      <c r="AK356" s="46"/>
      <c r="AL356" s="46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ht="16" customHeight="1" spans="1:51" x14ac:dyDescent="0.25">
      <c r="A357" s="45"/>
      <c r="B357" s="46" t="s">
        <v>396</v>
      </c>
      <c r="C357" s="46" t="s">
        <v>397</v>
      </c>
      <c r="D357" s="46" t="s">
        <v>29</v>
      </c>
      <c r="E357" s="46" t="s">
        <v>36</v>
      </c>
      <c r="F357" s="46" t="s">
        <v>36</v>
      </c>
      <c r="G357" s="46" t="s">
        <v>36</v>
      </c>
      <c r="H357" s="46" t="s">
        <v>36</v>
      </c>
      <c r="I357" s="46" t="s">
        <v>37</v>
      </c>
      <c r="J357" s="46" t="s">
        <v>36</v>
      </c>
      <c r="K357" s="46" t="s">
        <v>36</v>
      </c>
      <c r="L357" s="46" t="s">
        <v>36</v>
      </c>
      <c r="M357" s="46" t="s">
        <v>36</v>
      </c>
      <c r="N357" s="46" t="s">
        <v>36</v>
      </c>
      <c r="O357" s="46" t="s">
        <v>36</v>
      </c>
      <c r="P357" s="46" t="s">
        <v>36</v>
      </c>
      <c r="Q357" s="46" t="s">
        <v>36</v>
      </c>
      <c r="R357" s="46" t="s">
        <v>36</v>
      </c>
      <c r="S357" s="46" t="s">
        <v>153</v>
      </c>
      <c r="T357" s="46" t="s">
        <v>37</v>
      </c>
      <c r="U357" s="46" t="s">
        <v>36</v>
      </c>
      <c r="V357" s="46" t="s">
        <v>36</v>
      </c>
      <c r="W357" s="46" t="s">
        <v>37</v>
      </c>
      <c r="X357" s="46" t="s">
        <v>36</v>
      </c>
      <c r="Y357" s="46" t="s">
        <v>36</v>
      </c>
      <c r="Z357" s="46" t="s">
        <v>36</v>
      </c>
      <c r="AA357" s="46" t="s">
        <v>36</v>
      </c>
      <c r="AB357" s="46" t="s">
        <v>36</v>
      </c>
      <c r="AC357" s="46" t="s">
        <v>36</v>
      </c>
      <c r="AD357" s="46" t="s">
        <v>37</v>
      </c>
      <c r="AE357" s="46" t="s">
        <v>36</v>
      </c>
      <c r="AF357" s="46" t="s">
        <v>36</v>
      </c>
      <c r="AG357" s="46" t="s">
        <v>36</v>
      </c>
      <c r="AH357" s="46" t="s">
        <v>43</v>
      </c>
      <c r="AI357" s="46" t="s">
        <v>36</v>
      </c>
      <c r="AJ357" s="46">
        <f>=SUM(E358:AI358)</f>
      </c>
      <c r="AK357" s="46">
        <f>=+AY357</f>
      </c>
      <c r="AL357" s="46"/>
      <c r="AM357" s="1"/>
      <c r="AN357" s="1">
        <f>=COUNTIF(E357:AI357,"A")+COUNTIF(E357:AI357,"B")+COUNTIF(E357:AI357,"C")+COUNTIF(E357:AI357,"D")+COUNTIF(E357:AI357,"E")+COUNTIF(E357:AI357,"F")+COUNTIF(E357:AI357,"M")+COUNTIF(E357:AI357,"AB")+COUNTIF(E357:AI357,"UZ")+COUNTIF(E357:AI357,"G")+(COUNTIF(E357:AI357,"RT.")/2)+(COUNTIF(E357:AI357,"ÇRT.")/2)</f>
      </c>
      <c r="AO357" s="1">
        <f>=COUNTIF(E357:AI357,"O")</f>
      </c>
      <c r="AP357" s="1">
        <f>=COUNTIF(E357:AI357,"RT")+(COUNTIF(E357:AI357,"RT.")/2)</f>
      </c>
      <c r="AQ357" s="1">
        <f>=COUNTIF(E357:AI357,"ÇRT")+(COUNTIF(E357:AI357,"ÇRT.")/2)</f>
      </c>
      <c r="AR357" s="1">
        <f>=COUNTIF(E357:AI357,"ÇHT")</f>
      </c>
      <c r="AS357" s="1">
        <f>=COUNTIF(E357:AI357,"Ö")+COUNTIF(E357:AI357,"T")</f>
      </c>
      <c r="AT357" s="1">
        <f>=COUNTIF(E357:AI357,"Y")</f>
      </c>
      <c r="AU357" s="1">
        <f>=COUNTIF(E357:AI357,"R.")</f>
      </c>
      <c r="AV357" s="1">
        <f>=COUNTIF(E357:AI357,"Ü")</f>
      </c>
      <c r="AW357" s="1">
        <f>=COUNTIF(E357:AI357,"R")</f>
      </c>
      <c r="AX357" s="1">
        <f>=COUNTIF(E357:AI357,"DV")</f>
      </c>
      <c r="AY357" s="1">
        <f>=+AN357+AO357+AP357+AQ357+AR357+AS357+AT357+AU357</f>
      </c>
    </row>
    <row r="358" ht="16" customHeight="1" spans="1:51" x14ac:dyDescent="0.25">
      <c r="A358" s="45"/>
      <c r="B358" s="46"/>
      <c r="C358" s="46"/>
      <c r="D358" s="46" t="s">
        <v>33</v>
      </c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  <c r="AC358" s="46"/>
      <c r="AD358" s="46"/>
      <c r="AE358" s="46"/>
      <c r="AF358" s="46"/>
      <c r="AG358" s="46"/>
      <c r="AH358" s="46"/>
      <c r="AI358" s="46"/>
      <c r="AJ358" s="46"/>
      <c r="AK358" s="46"/>
      <c r="AL358" s="46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ht="16" customHeight="1" spans="1:51" x14ac:dyDescent="0.25">
      <c r="A359" s="45"/>
      <c r="B359" s="46" t="s">
        <v>398</v>
      </c>
      <c r="C359" s="46" t="s">
        <v>399</v>
      </c>
      <c r="D359" s="46" t="s">
        <v>29</v>
      </c>
      <c r="E359" s="46" t="s">
        <v>36</v>
      </c>
      <c r="F359" s="46" t="s">
        <v>36</v>
      </c>
      <c r="G359" s="46" t="s">
        <v>37</v>
      </c>
      <c r="H359" s="46" t="s">
        <v>36</v>
      </c>
      <c r="I359" s="46" t="s">
        <v>36</v>
      </c>
      <c r="J359" s="46" t="s">
        <v>36</v>
      </c>
      <c r="K359" s="46" t="s">
        <v>36</v>
      </c>
      <c r="L359" s="46" t="s">
        <v>36</v>
      </c>
      <c r="M359" s="46" t="s">
        <v>36</v>
      </c>
      <c r="N359" s="46" t="s">
        <v>37</v>
      </c>
      <c r="O359" s="46" t="s">
        <v>36</v>
      </c>
      <c r="P359" s="46" t="s">
        <v>36</v>
      </c>
      <c r="Q359" s="46" t="s">
        <v>36</v>
      </c>
      <c r="R359" s="46" t="s">
        <v>36</v>
      </c>
      <c r="S359" s="46" t="s">
        <v>36</v>
      </c>
      <c r="T359" s="46" t="s">
        <v>36</v>
      </c>
      <c r="U359" s="46" t="s">
        <v>37</v>
      </c>
      <c r="V359" s="46" t="s">
        <v>36</v>
      </c>
      <c r="W359" s="46" t="s">
        <v>36</v>
      </c>
      <c r="X359" s="46" t="s">
        <v>36</v>
      </c>
      <c r="Y359" s="46" t="s">
        <v>36</v>
      </c>
      <c r="Z359" s="46" t="s">
        <v>36</v>
      </c>
      <c r="AA359" s="46" t="s">
        <v>36</v>
      </c>
      <c r="AB359" s="46" t="s">
        <v>37</v>
      </c>
      <c r="AC359" s="46" t="s">
        <v>153</v>
      </c>
      <c r="AD359" s="46" t="s">
        <v>36</v>
      </c>
      <c r="AE359" s="46" t="s">
        <v>36</v>
      </c>
      <c r="AF359" s="46" t="s">
        <v>36</v>
      </c>
      <c r="AG359" s="46" t="s">
        <v>36</v>
      </c>
      <c r="AH359" s="46" t="s">
        <v>43</v>
      </c>
      <c r="AI359" s="46" t="s">
        <v>37</v>
      </c>
      <c r="AJ359" s="46">
        <f>=SUM(E360:AI360)</f>
      </c>
      <c r="AK359" s="46">
        <f>=+AY359</f>
      </c>
      <c r="AL359" s="46"/>
      <c r="AM359" s="1"/>
      <c r="AN359" s="1">
        <f>=COUNTIF(E359:AI359,"A")+COUNTIF(E359:AI359,"B")+COUNTIF(E359:AI359,"C")+COUNTIF(E359:AI359,"D")+COUNTIF(E359:AI359,"E")+COUNTIF(E359:AI359,"F")+COUNTIF(E359:AI359,"M")+COUNTIF(E359:AI359,"AB")+COUNTIF(E359:AI359,"UZ")+COUNTIF(E359:AI359,"G")+(COUNTIF(E359:AI359,"RT.")/2)+(COUNTIF(E359:AI359,"ÇRT.")/2)</f>
      </c>
      <c r="AO359" s="1">
        <f>=COUNTIF(E359:AI359,"O")</f>
      </c>
      <c r="AP359" s="1">
        <f>=COUNTIF(E359:AI359,"RT")+(COUNTIF(E359:AI359,"RT.")/2)</f>
      </c>
      <c r="AQ359" s="1">
        <f>=COUNTIF(E359:AI359,"ÇRT")+(COUNTIF(E359:AI359,"ÇRT.")/2)</f>
      </c>
      <c r="AR359" s="1">
        <f>=COUNTIF(E359:AI359,"ÇHT")</f>
      </c>
      <c r="AS359" s="1">
        <f>=COUNTIF(E359:AI359,"Ö")+COUNTIF(E359:AI359,"T")</f>
      </c>
      <c r="AT359" s="1">
        <f>=COUNTIF(E359:AI359,"Y")</f>
      </c>
      <c r="AU359" s="1">
        <f>=COUNTIF(E359:AI359,"R.")</f>
      </c>
      <c r="AV359" s="1">
        <f>=COUNTIF(E359:AI359,"Ü")</f>
      </c>
      <c r="AW359" s="1">
        <f>=COUNTIF(E359:AI359,"R")</f>
      </c>
      <c r="AX359" s="1">
        <f>=COUNTIF(E359:AI359,"DV")</f>
      </c>
      <c r="AY359" s="1">
        <f>=+AN359+AO359+AP359+AQ359+AR359+AS359+AT359+AU359</f>
      </c>
    </row>
    <row r="360" ht="16" customHeight="1" spans="1:51" x14ac:dyDescent="0.25">
      <c r="A360" s="45"/>
      <c r="B360" s="46"/>
      <c r="C360" s="46"/>
      <c r="D360" s="46" t="s">
        <v>33</v>
      </c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  <c r="AC360" s="46"/>
      <c r="AD360" s="46"/>
      <c r="AE360" s="46"/>
      <c r="AF360" s="46"/>
      <c r="AG360" s="46"/>
      <c r="AH360" s="46"/>
      <c r="AI360" s="46"/>
      <c r="AJ360" s="46"/>
      <c r="AK360" s="46"/>
      <c r="AL360" s="46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ht="16" customHeight="1" spans="1:51" x14ac:dyDescent="0.25">
      <c r="A361" s="45"/>
      <c r="B361" s="46" t="s">
        <v>400</v>
      </c>
      <c r="C361" s="46" t="s">
        <v>401</v>
      </c>
      <c r="D361" s="46" t="s">
        <v>29</v>
      </c>
      <c r="E361" s="46" t="s">
        <v>36</v>
      </c>
      <c r="F361" s="46" t="s">
        <v>36</v>
      </c>
      <c r="G361" s="46" t="s">
        <v>36</v>
      </c>
      <c r="H361" s="46" t="s">
        <v>36</v>
      </c>
      <c r="I361" s="46" t="s">
        <v>36</v>
      </c>
      <c r="J361" s="46" t="s">
        <v>37</v>
      </c>
      <c r="K361" s="46" t="s">
        <v>36</v>
      </c>
      <c r="L361" s="46" t="s">
        <v>36</v>
      </c>
      <c r="M361" s="46" t="s">
        <v>36</v>
      </c>
      <c r="N361" s="46" t="s">
        <v>36</v>
      </c>
      <c r="O361" s="46" t="s">
        <v>36</v>
      </c>
      <c r="P361" s="46" t="s">
        <v>36</v>
      </c>
      <c r="Q361" s="46" t="s">
        <v>37</v>
      </c>
      <c r="R361" s="46" t="s">
        <v>36</v>
      </c>
      <c r="S361" s="46" t="s">
        <v>36</v>
      </c>
      <c r="T361" s="46" t="s">
        <v>36</v>
      </c>
      <c r="U361" s="46" t="s">
        <v>36</v>
      </c>
      <c r="V361" s="46" t="s">
        <v>36</v>
      </c>
      <c r="W361" s="46" t="s">
        <v>36</v>
      </c>
      <c r="X361" s="46" t="s">
        <v>37</v>
      </c>
      <c r="Y361" s="46" t="s">
        <v>36</v>
      </c>
      <c r="Z361" s="46" t="s">
        <v>36</v>
      </c>
      <c r="AA361" s="46" t="s">
        <v>36</v>
      </c>
      <c r="AB361" s="46" t="s">
        <v>36</v>
      </c>
      <c r="AC361" s="46" t="s">
        <v>36</v>
      </c>
      <c r="AD361" s="46" t="s">
        <v>36</v>
      </c>
      <c r="AE361" s="46" t="s">
        <v>37</v>
      </c>
      <c r="AF361" s="46" t="s">
        <v>36</v>
      </c>
      <c r="AG361" s="46" t="s">
        <v>36</v>
      </c>
      <c r="AH361" s="46" t="s">
        <v>43</v>
      </c>
      <c r="AI361" s="46" t="s">
        <v>36</v>
      </c>
      <c r="AJ361" s="46">
        <f>=SUM(E362:AI362)</f>
      </c>
      <c r="AK361" s="46">
        <f>=+AY361</f>
      </c>
      <c r="AL361" s="46"/>
      <c r="AM361" s="1"/>
      <c r="AN361" s="1">
        <f>=COUNTIF(E361:AI361,"A")+COUNTIF(E361:AI361,"B")+COUNTIF(E361:AI361,"C")+COUNTIF(E361:AI361,"D")+COUNTIF(E361:AI361,"E")+COUNTIF(E361:AI361,"F")+COUNTIF(E361:AI361,"M")+COUNTIF(E361:AI361,"AB")+COUNTIF(E361:AI361,"UZ")+COUNTIF(E361:AI361,"G")+(COUNTIF(E361:AI361,"RT.")/2)+(COUNTIF(E361:AI361,"ÇRT.")/2)</f>
      </c>
      <c r="AO361" s="1">
        <f>=COUNTIF(E361:AI361,"O")</f>
      </c>
      <c r="AP361" s="1">
        <f>=COUNTIF(E361:AI361,"RT")+(COUNTIF(E361:AI361,"RT.")/2)</f>
      </c>
      <c r="AQ361" s="1">
        <f>=COUNTIF(E361:AI361,"ÇRT")+(COUNTIF(E361:AI361,"ÇRT.")/2)</f>
      </c>
      <c r="AR361" s="1">
        <f>=COUNTIF(E361:AI361,"ÇHT")</f>
      </c>
      <c r="AS361" s="1">
        <f>=COUNTIF(E361:AI361,"Ö")+COUNTIF(E361:AI361,"T")</f>
      </c>
      <c r="AT361" s="1">
        <f>=COUNTIF(E361:AI361,"Y")</f>
      </c>
      <c r="AU361" s="1">
        <f>=COUNTIF(E361:AI361,"R.")</f>
      </c>
      <c r="AV361" s="1">
        <f>=COUNTIF(E361:AI361,"Ü")</f>
      </c>
      <c r="AW361" s="1">
        <f>=COUNTIF(E361:AI361,"R")</f>
      </c>
      <c r="AX361" s="1">
        <f>=COUNTIF(E361:AI361,"DV")</f>
      </c>
      <c r="AY361" s="1">
        <f>=+AN361+AO361+AP361+AQ361+AR361+AS361+AT361+AU361</f>
      </c>
    </row>
    <row r="362" ht="16" customHeight="1" spans="1:51" x14ac:dyDescent="0.25">
      <c r="A362" s="45"/>
      <c r="B362" s="46"/>
      <c r="C362" s="46"/>
      <c r="D362" s="46" t="s">
        <v>33</v>
      </c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  <c r="AC362" s="46"/>
      <c r="AD362" s="46"/>
      <c r="AE362" s="46"/>
      <c r="AF362" s="46"/>
      <c r="AG362" s="46"/>
      <c r="AH362" s="46"/>
      <c r="AI362" s="46"/>
      <c r="AJ362" s="46"/>
      <c r="AK362" s="46"/>
      <c r="AL362" s="46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ht="16" customHeight="1" spans="1:51" x14ac:dyDescent="0.25">
      <c r="A363" s="45"/>
      <c r="B363" s="46" t="s">
        <v>402</v>
      </c>
      <c r="C363" s="46" t="s">
        <v>403</v>
      </c>
      <c r="D363" s="46" t="s">
        <v>29</v>
      </c>
      <c r="E363" s="46" t="s">
        <v>36</v>
      </c>
      <c r="F363" s="46" t="s">
        <v>36</v>
      </c>
      <c r="G363" s="46" t="s">
        <v>36</v>
      </c>
      <c r="H363" s="46" t="s">
        <v>36</v>
      </c>
      <c r="I363" s="46" t="s">
        <v>37</v>
      </c>
      <c r="J363" s="46" t="s">
        <v>36</v>
      </c>
      <c r="K363" s="46" t="s">
        <v>36</v>
      </c>
      <c r="L363" s="46" t="s">
        <v>36</v>
      </c>
      <c r="M363" s="46" t="s">
        <v>36</v>
      </c>
      <c r="N363" s="46" t="s">
        <v>36</v>
      </c>
      <c r="O363" s="46" t="s">
        <v>36</v>
      </c>
      <c r="P363" s="46" t="s">
        <v>37</v>
      </c>
      <c r="Q363" s="46" t="s">
        <v>36</v>
      </c>
      <c r="R363" s="46" t="s">
        <v>36</v>
      </c>
      <c r="S363" s="46" t="s">
        <v>36</v>
      </c>
      <c r="T363" s="46" t="s">
        <v>36</v>
      </c>
      <c r="U363" s="46" t="s">
        <v>36</v>
      </c>
      <c r="V363" s="46" t="s">
        <v>36</v>
      </c>
      <c r="W363" s="46" t="s">
        <v>37</v>
      </c>
      <c r="X363" s="46" t="s">
        <v>36</v>
      </c>
      <c r="Y363" s="46" t="s">
        <v>153</v>
      </c>
      <c r="Z363" s="46" t="s">
        <v>36</v>
      </c>
      <c r="AA363" s="46" t="s">
        <v>36</v>
      </c>
      <c r="AB363" s="46" t="s">
        <v>36</v>
      </c>
      <c r="AC363" s="46" t="s">
        <v>36</v>
      </c>
      <c r="AD363" s="46" t="s">
        <v>37</v>
      </c>
      <c r="AE363" s="46" t="s">
        <v>30</v>
      </c>
      <c r="AF363" s="46" t="s">
        <v>30</v>
      </c>
      <c r="AG363" s="46" t="s">
        <v>30</v>
      </c>
      <c r="AH363" s="46" t="s">
        <v>43</v>
      </c>
      <c r="AI363" s="46" t="s">
        <v>30</v>
      </c>
      <c r="AJ363" s="46">
        <f>=SUM(E364:AI364)</f>
      </c>
      <c r="AK363" s="46">
        <f>=+AY363</f>
      </c>
      <c r="AL363" s="46"/>
      <c r="AM363" s="1"/>
      <c r="AN363" s="1">
        <f>=COUNTIF(E363:AI363,"A")+COUNTIF(E363:AI363,"B")+COUNTIF(E363:AI363,"C")+COUNTIF(E363:AI363,"D")+COUNTIF(E363:AI363,"E")+COUNTIF(E363:AI363,"F")+COUNTIF(E363:AI363,"M")+COUNTIF(E363:AI363,"AB")+COUNTIF(E363:AI363,"UZ")+COUNTIF(E363:AI363,"G")+(COUNTIF(E363:AI363,"RT.")/2)+(COUNTIF(E363:AI363,"ÇRT.")/2)</f>
      </c>
      <c r="AO363" s="1">
        <f>=COUNTIF(E363:AI363,"O")</f>
      </c>
      <c r="AP363" s="1">
        <f>=COUNTIF(E363:AI363,"RT")+(COUNTIF(E363:AI363,"RT.")/2)</f>
      </c>
      <c r="AQ363" s="1">
        <f>=COUNTIF(E363:AI363,"ÇRT")+(COUNTIF(E363:AI363,"ÇRT.")/2)</f>
      </c>
      <c r="AR363" s="1">
        <f>=COUNTIF(E363:AI363,"ÇHT")</f>
      </c>
      <c r="AS363" s="1">
        <f>=COUNTIF(E363:AI363,"Ö")+COUNTIF(E363:AI363,"T")</f>
      </c>
      <c r="AT363" s="1">
        <f>=COUNTIF(E363:AI363,"Y")</f>
      </c>
      <c r="AU363" s="1">
        <f>=COUNTIF(E363:AI363,"R.")</f>
      </c>
      <c r="AV363" s="1">
        <f>=COUNTIF(E363:AI363,"Ü")</f>
      </c>
      <c r="AW363" s="1">
        <f>=COUNTIF(E363:AI363,"R")</f>
      </c>
      <c r="AX363" s="1">
        <f>=COUNTIF(E363:AI363,"DV")</f>
      </c>
      <c r="AY363" s="1">
        <f>=+AN363+AO363+AP363+AQ363+AR363+AS363+AT363+AU363</f>
      </c>
    </row>
    <row r="364" ht="16" customHeight="1" spans="1:51" x14ac:dyDescent="0.25">
      <c r="A364" s="45"/>
      <c r="B364" s="46"/>
      <c r="C364" s="46"/>
      <c r="D364" s="46" t="s">
        <v>33</v>
      </c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  <c r="AC364" s="46"/>
      <c r="AD364" s="46"/>
      <c r="AE364" s="46"/>
      <c r="AF364" s="46"/>
      <c r="AG364" s="46"/>
      <c r="AH364" s="46"/>
      <c r="AI364" s="46"/>
      <c r="AJ364" s="46"/>
      <c r="AK364" s="46"/>
      <c r="AL364" s="46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ht="16" customHeight="1" spans="1:51" x14ac:dyDescent="0.25">
      <c r="A365" s="45"/>
      <c r="B365" s="46" t="s">
        <v>404</v>
      </c>
      <c r="C365" s="46" t="s">
        <v>405</v>
      </c>
      <c r="D365" s="46" t="s">
        <v>29</v>
      </c>
      <c r="E365" s="46" t="s">
        <v>37</v>
      </c>
      <c r="F365" s="46" t="s">
        <v>36</v>
      </c>
      <c r="G365" s="46" t="s">
        <v>36</v>
      </c>
      <c r="H365" s="46" t="s">
        <v>36</v>
      </c>
      <c r="I365" s="46" t="s">
        <v>36</v>
      </c>
      <c r="J365" s="46" t="s">
        <v>36</v>
      </c>
      <c r="K365" s="46" t="s">
        <v>37</v>
      </c>
      <c r="L365" s="46" t="s">
        <v>36</v>
      </c>
      <c r="M365" s="46" t="s">
        <v>36</v>
      </c>
      <c r="N365" s="46" t="s">
        <v>36</v>
      </c>
      <c r="O365" s="46" t="s">
        <v>36</v>
      </c>
      <c r="P365" s="46" t="s">
        <v>36</v>
      </c>
      <c r="Q365" s="46" t="s">
        <v>36</v>
      </c>
      <c r="R365" s="46" t="s">
        <v>37</v>
      </c>
      <c r="S365" s="46" t="s">
        <v>36</v>
      </c>
      <c r="T365" s="46" t="s">
        <v>36</v>
      </c>
      <c r="U365" s="46" t="s">
        <v>36</v>
      </c>
      <c r="V365" s="46" t="s">
        <v>36</v>
      </c>
      <c r="W365" s="46" t="s">
        <v>36</v>
      </c>
      <c r="X365" s="46" t="s">
        <v>36</v>
      </c>
      <c r="Y365" s="46" t="s">
        <v>37</v>
      </c>
      <c r="Z365" s="46" t="s">
        <v>36</v>
      </c>
      <c r="AA365" s="46" t="s">
        <v>153</v>
      </c>
      <c r="AB365" s="46" t="s">
        <v>36</v>
      </c>
      <c r="AC365" s="46" t="s">
        <v>36</v>
      </c>
      <c r="AD365" s="46" t="s">
        <v>36</v>
      </c>
      <c r="AE365" s="46" t="s">
        <v>36</v>
      </c>
      <c r="AF365" s="46" t="s">
        <v>37</v>
      </c>
      <c r="AG365" s="46" t="s">
        <v>36</v>
      </c>
      <c r="AH365" s="46" t="s">
        <v>43</v>
      </c>
      <c r="AI365" s="46" t="s">
        <v>36</v>
      </c>
      <c r="AJ365" s="46">
        <f>=SUM(E366:AI366)</f>
      </c>
      <c r="AK365" s="46">
        <f>=+AY365</f>
      </c>
      <c r="AL365" s="46"/>
      <c r="AM365" s="1"/>
      <c r="AN365" s="1">
        <f>=COUNTIF(E365:AI365,"A")+COUNTIF(E365:AI365,"B")+COUNTIF(E365:AI365,"C")+COUNTIF(E365:AI365,"D")+COUNTIF(E365:AI365,"E")+COUNTIF(E365:AI365,"F")+COUNTIF(E365:AI365,"M")+COUNTIF(E365:AI365,"AB")+COUNTIF(E365:AI365,"UZ")+COUNTIF(E365:AI365,"G")+(COUNTIF(E365:AI365,"RT.")/2)+(COUNTIF(E365:AI365,"ÇRT.")/2)</f>
      </c>
      <c r="AO365" s="1">
        <f>=COUNTIF(E365:AI365,"O")</f>
      </c>
      <c r="AP365" s="1">
        <f>=COUNTIF(E365:AI365,"RT")+(COUNTIF(E365:AI365,"RT.")/2)</f>
      </c>
      <c r="AQ365" s="1">
        <f>=COUNTIF(E365:AI365,"ÇRT")+(COUNTIF(E365:AI365,"ÇRT.")/2)</f>
      </c>
      <c r="AR365" s="1">
        <f>=COUNTIF(E365:AI365,"ÇHT")</f>
      </c>
      <c r="AS365" s="1">
        <f>=COUNTIF(E365:AI365,"Ö")+COUNTIF(E365:AI365,"T")</f>
      </c>
      <c r="AT365" s="1">
        <f>=COUNTIF(E365:AI365,"Y")</f>
      </c>
      <c r="AU365" s="1">
        <f>=COUNTIF(E365:AI365,"R.")</f>
      </c>
      <c r="AV365" s="1">
        <f>=COUNTIF(E365:AI365,"Ü")</f>
      </c>
      <c r="AW365" s="1">
        <f>=COUNTIF(E365:AI365,"R")</f>
      </c>
      <c r="AX365" s="1">
        <f>=COUNTIF(E365:AI365,"DV")</f>
      </c>
      <c r="AY365" s="1">
        <f>=+AN365+AO365+AP365+AQ365+AR365+AS365+AT365+AU365</f>
      </c>
    </row>
    <row r="366" ht="16" customHeight="1" spans="1:51" x14ac:dyDescent="0.25">
      <c r="A366" s="45"/>
      <c r="B366" s="46"/>
      <c r="C366" s="46"/>
      <c r="D366" s="46" t="s">
        <v>33</v>
      </c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  <c r="AD366" s="46"/>
      <c r="AE366" s="46"/>
      <c r="AF366" s="46"/>
      <c r="AG366" s="46"/>
      <c r="AH366" s="46"/>
      <c r="AI366" s="46"/>
      <c r="AJ366" s="46"/>
      <c r="AK366" s="46"/>
      <c r="AL366" s="46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ht="16" customHeight="1" spans="1:51" x14ac:dyDescent="0.25">
      <c r="A367" s="45"/>
      <c r="B367" s="46" t="s">
        <v>406</v>
      </c>
      <c r="C367" s="46" t="s">
        <v>407</v>
      </c>
      <c r="D367" s="46" t="s">
        <v>29</v>
      </c>
      <c r="E367" s="46" t="s">
        <v>153</v>
      </c>
      <c r="F367" s="46" t="s">
        <v>37</v>
      </c>
      <c r="G367" s="46" t="s">
        <v>36</v>
      </c>
      <c r="H367" s="46" t="s">
        <v>36</v>
      </c>
      <c r="I367" s="46" t="s">
        <v>36</v>
      </c>
      <c r="J367" s="46" t="s">
        <v>36</v>
      </c>
      <c r="K367" s="46" t="s">
        <v>36</v>
      </c>
      <c r="L367" s="46" t="s">
        <v>36</v>
      </c>
      <c r="M367" s="46" t="s">
        <v>37</v>
      </c>
      <c r="N367" s="46" t="s">
        <v>36</v>
      </c>
      <c r="O367" s="46" t="s">
        <v>36</v>
      </c>
      <c r="P367" s="46" t="s">
        <v>36</v>
      </c>
      <c r="Q367" s="46" t="s">
        <v>36</v>
      </c>
      <c r="R367" s="46" t="s">
        <v>37</v>
      </c>
      <c r="S367" s="46" t="s">
        <v>36</v>
      </c>
      <c r="T367" s="46" t="s">
        <v>36</v>
      </c>
      <c r="U367" s="46" t="s">
        <v>36</v>
      </c>
      <c r="V367" s="46" t="s">
        <v>36</v>
      </c>
      <c r="W367" s="46" t="s">
        <v>36</v>
      </c>
      <c r="X367" s="46" t="s">
        <v>36</v>
      </c>
      <c r="Y367" s="46" t="s">
        <v>36</v>
      </c>
      <c r="Z367" s="46" t="s">
        <v>36</v>
      </c>
      <c r="AA367" s="46" t="s">
        <v>37</v>
      </c>
      <c r="AB367" s="46" t="s">
        <v>36</v>
      </c>
      <c r="AC367" s="46" t="s">
        <v>36</v>
      </c>
      <c r="AD367" s="46" t="s">
        <v>337</v>
      </c>
      <c r="AE367" s="46" t="s">
        <v>36</v>
      </c>
      <c r="AF367" s="46" t="s">
        <v>36</v>
      </c>
      <c r="AG367" s="46" t="s">
        <v>36</v>
      </c>
      <c r="AH367" s="46" t="s">
        <v>37</v>
      </c>
      <c r="AI367" s="46" t="s">
        <v>31</v>
      </c>
      <c r="AJ367" s="46">
        <f>=SUM(E368:AI368)</f>
      </c>
      <c r="AK367" s="46">
        <f>=+AY367</f>
      </c>
      <c r="AL367" s="46"/>
      <c r="AM367" s="1"/>
      <c r="AN367" s="1">
        <f>=COUNTIF(E367:AI367,"A")+COUNTIF(E367:AI367,"B")+COUNTIF(E367:AI367,"C")+COUNTIF(E367:AI367,"D")+COUNTIF(E367:AI367,"E")+COUNTIF(E367:AI367,"F")+COUNTIF(E367:AI367,"M")+COUNTIF(E367:AI367,"AB")+COUNTIF(E367:AI367,"UZ")+COUNTIF(E367:AI367,"G")+(COUNTIF(E367:AI367,"RT.")/2)+(COUNTIF(E367:AI367,"ÇRT.")/2)</f>
      </c>
      <c r="AO367" s="1">
        <f>=COUNTIF(E367:AI367,"O")</f>
      </c>
      <c r="AP367" s="1">
        <f>=COUNTIF(E367:AI367,"RT")+(COUNTIF(E367:AI367,"RT.")/2)</f>
      </c>
      <c r="AQ367" s="1">
        <f>=COUNTIF(E367:AI367,"ÇRT")+(COUNTIF(E367:AI367,"ÇRT.")/2)</f>
      </c>
      <c r="AR367" s="1">
        <f>=COUNTIF(E367:AI367,"ÇHT")</f>
      </c>
      <c r="AS367" s="1">
        <f>=COUNTIF(E367:AI367,"Ö")+COUNTIF(E367:AI367,"T")</f>
      </c>
      <c r="AT367" s="1">
        <f>=COUNTIF(E367:AI367,"Y")</f>
      </c>
      <c r="AU367" s="1">
        <f>=COUNTIF(E367:AI367,"R.")</f>
      </c>
      <c r="AV367" s="1">
        <f>=COUNTIF(E367:AI367,"Ü")</f>
      </c>
      <c r="AW367" s="1">
        <f>=COUNTIF(E367:AI367,"R")</f>
      </c>
      <c r="AX367" s="1">
        <f>=COUNTIF(E367:AI367,"DV")</f>
      </c>
      <c r="AY367" s="1">
        <f>=+AN367+AO367+AP367+AQ367+AR367+AS367+AT367+AU367</f>
      </c>
    </row>
    <row r="368" ht="16" customHeight="1" spans="1:51" x14ac:dyDescent="0.25">
      <c r="A368" s="45"/>
      <c r="B368" s="46"/>
      <c r="C368" s="46"/>
      <c r="D368" s="46" t="s">
        <v>33</v>
      </c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  <c r="AC368" s="46"/>
      <c r="AD368" s="46"/>
      <c r="AE368" s="46"/>
      <c r="AF368" s="46"/>
      <c r="AG368" s="46"/>
      <c r="AH368" s="46"/>
      <c r="AI368" s="46"/>
      <c r="AJ368" s="46"/>
      <c r="AK368" s="46"/>
      <c r="AL368" s="46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ht="16" customHeight="1" spans="1:51" x14ac:dyDescent="0.25">
      <c r="A369" s="45"/>
      <c r="B369" s="46" t="s">
        <v>408</v>
      </c>
      <c r="C369" s="46" t="s">
        <v>409</v>
      </c>
      <c r="D369" s="46" t="s">
        <v>29</v>
      </c>
      <c r="E369" s="46" t="s">
        <v>37</v>
      </c>
      <c r="F369" s="46" t="s">
        <v>36</v>
      </c>
      <c r="G369" s="46" t="s">
        <v>36</v>
      </c>
      <c r="H369" s="46" t="s">
        <v>36</v>
      </c>
      <c r="I369" s="46" t="s">
        <v>36</v>
      </c>
      <c r="J369" s="46" t="s">
        <v>36</v>
      </c>
      <c r="K369" s="46" t="s">
        <v>36</v>
      </c>
      <c r="L369" s="46" t="s">
        <v>36</v>
      </c>
      <c r="M369" s="46" t="s">
        <v>36</v>
      </c>
      <c r="N369" s="46" t="s">
        <v>36</v>
      </c>
      <c r="O369" s="46" t="s">
        <v>37</v>
      </c>
      <c r="P369" s="46" t="s">
        <v>36</v>
      </c>
      <c r="Q369" s="46" t="s">
        <v>36</v>
      </c>
      <c r="R369" s="46" t="s">
        <v>36</v>
      </c>
      <c r="S369" s="46" t="s">
        <v>37</v>
      </c>
      <c r="T369" s="46" t="s">
        <v>36</v>
      </c>
      <c r="U369" s="46" t="s">
        <v>36</v>
      </c>
      <c r="V369" s="46" t="s">
        <v>36</v>
      </c>
      <c r="W369" s="46" t="s">
        <v>36</v>
      </c>
      <c r="X369" s="46" t="s">
        <v>36</v>
      </c>
      <c r="Y369" s="46" t="s">
        <v>36</v>
      </c>
      <c r="Z369" s="46" t="s">
        <v>37</v>
      </c>
      <c r="AA369" s="46" t="s">
        <v>36</v>
      </c>
      <c r="AB369" s="46" t="s">
        <v>31</v>
      </c>
      <c r="AC369" s="46" t="s">
        <v>98</v>
      </c>
      <c r="AD369" s="46" t="s">
        <v>98</v>
      </c>
      <c r="AE369" s="46" t="s">
        <v>36</v>
      </c>
      <c r="AF369" s="46" t="s">
        <v>36</v>
      </c>
      <c r="AG369" s="46" t="s">
        <v>37</v>
      </c>
      <c r="AH369" s="46" t="s">
        <v>43</v>
      </c>
      <c r="AI369" s="46" t="s">
        <v>36</v>
      </c>
      <c r="AJ369" s="46">
        <f>=SUM(E370:AI370)</f>
      </c>
      <c r="AK369" s="46">
        <f>=+AY369</f>
      </c>
      <c r="AL369" s="46"/>
      <c r="AM369" s="1"/>
      <c r="AN369" s="1">
        <f>=COUNTIF(E369:AI369,"A")+COUNTIF(E369:AI369,"B")+COUNTIF(E369:AI369,"C")+COUNTIF(E369:AI369,"D")+COUNTIF(E369:AI369,"E")+COUNTIF(E369:AI369,"F")+COUNTIF(E369:AI369,"M")+COUNTIF(E369:AI369,"AB")+COUNTIF(E369:AI369,"UZ")+COUNTIF(E369:AI369,"G")+(COUNTIF(E369:AI369,"RT.")/2)+(COUNTIF(E369:AI369,"ÇRT.")/2)</f>
      </c>
      <c r="AO369" s="1">
        <f>=COUNTIF(E369:AI369,"O")</f>
      </c>
      <c r="AP369" s="1">
        <f>=COUNTIF(E369:AI369,"RT")+(COUNTIF(E369:AI369,"RT.")/2)</f>
      </c>
      <c r="AQ369" s="1">
        <f>=COUNTIF(E369:AI369,"ÇRT")+(COUNTIF(E369:AI369,"ÇRT.")/2)</f>
      </c>
      <c r="AR369" s="1">
        <f>=COUNTIF(E369:AI369,"ÇHT")</f>
      </c>
      <c r="AS369" s="1">
        <f>=COUNTIF(E369:AI369,"Ö")+COUNTIF(E369:AI369,"T")</f>
      </c>
      <c r="AT369" s="1">
        <f>=COUNTIF(E369:AI369,"Y")</f>
      </c>
      <c r="AU369" s="1">
        <f>=COUNTIF(E369:AI369,"R.")</f>
      </c>
      <c r="AV369" s="1">
        <f>=COUNTIF(E369:AI369,"Ü")</f>
      </c>
      <c r="AW369" s="1">
        <f>=COUNTIF(E369:AI369,"R")</f>
      </c>
      <c r="AX369" s="1">
        <f>=COUNTIF(E369:AI369,"DV")</f>
      </c>
      <c r="AY369" s="1">
        <f>=+AN369+AO369+AP369+AQ369+AR369+AS369+AT369+AU369</f>
      </c>
    </row>
    <row r="370" ht="16" customHeight="1" spans="1:51" x14ac:dyDescent="0.25">
      <c r="A370" s="45"/>
      <c r="B370" s="46"/>
      <c r="C370" s="46"/>
      <c r="D370" s="46" t="s">
        <v>33</v>
      </c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  <c r="AF370" s="46"/>
      <c r="AG370" s="46"/>
      <c r="AH370" s="46"/>
      <c r="AI370" s="46"/>
      <c r="AJ370" s="46"/>
      <c r="AK370" s="46"/>
      <c r="AL370" s="46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ht="16" customHeight="1" spans="1:51" x14ac:dyDescent="0.25">
      <c r="A371" s="45"/>
      <c r="B371" s="46" t="s">
        <v>410</v>
      </c>
      <c r="C371" s="46" t="s">
        <v>411</v>
      </c>
      <c r="D371" s="46" t="s">
        <v>29</v>
      </c>
      <c r="E371" s="46" t="s">
        <v>36</v>
      </c>
      <c r="F371" s="46" t="s">
        <v>36</v>
      </c>
      <c r="G371" s="46" t="s">
        <v>36</v>
      </c>
      <c r="H371" s="46" t="s">
        <v>37</v>
      </c>
      <c r="I371" s="46" t="s">
        <v>36</v>
      </c>
      <c r="J371" s="46" t="s">
        <v>36</v>
      </c>
      <c r="K371" s="46" t="s">
        <v>36</v>
      </c>
      <c r="L371" s="46" t="s">
        <v>36</v>
      </c>
      <c r="M371" s="46" t="s">
        <v>36</v>
      </c>
      <c r="N371" s="46" t="s">
        <v>36</v>
      </c>
      <c r="O371" s="46" t="s">
        <v>37</v>
      </c>
      <c r="P371" s="46" t="s">
        <v>36</v>
      </c>
      <c r="Q371" s="46" t="s">
        <v>36</v>
      </c>
      <c r="R371" s="46" t="s">
        <v>36</v>
      </c>
      <c r="S371" s="46" t="s">
        <v>36</v>
      </c>
      <c r="T371" s="46" t="s">
        <v>36</v>
      </c>
      <c r="U371" s="46" t="s">
        <v>36</v>
      </c>
      <c r="V371" s="46" t="s">
        <v>37</v>
      </c>
      <c r="W371" s="46" t="s">
        <v>36</v>
      </c>
      <c r="X371" s="46" t="s">
        <v>36</v>
      </c>
      <c r="Y371" s="46" t="s">
        <v>36</v>
      </c>
      <c r="Z371" s="46" t="s">
        <v>36</v>
      </c>
      <c r="AA371" s="46" t="s">
        <v>36</v>
      </c>
      <c r="AB371" s="46" t="s">
        <v>36</v>
      </c>
      <c r="AC371" s="46" t="s">
        <v>36</v>
      </c>
      <c r="AD371" s="46" t="s">
        <v>36</v>
      </c>
      <c r="AE371" s="46" t="s">
        <v>37</v>
      </c>
      <c r="AF371" s="46" t="s">
        <v>153</v>
      </c>
      <c r="AG371" s="46" t="s">
        <v>36</v>
      </c>
      <c r="AH371" s="46" t="s">
        <v>43</v>
      </c>
      <c r="AI371" s="46" t="s">
        <v>36</v>
      </c>
      <c r="AJ371" s="46">
        <f>=SUM(E372:AI372)</f>
      </c>
      <c r="AK371" s="46">
        <f>=+AY371</f>
      </c>
      <c r="AL371" s="46"/>
      <c r="AM371" s="1"/>
      <c r="AN371" s="1">
        <f>=COUNTIF(E371:AI371,"A")+COUNTIF(E371:AI371,"B")+COUNTIF(E371:AI371,"C")+COUNTIF(E371:AI371,"D")+COUNTIF(E371:AI371,"E")+COUNTIF(E371:AI371,"F")+COUNTIF(E371:AI371,"M")+COUNTIF(E371:AI371,"AB")+COUNTIF(E371:AI371,"UZ")+COUNTIF(E371:AI371,"G")+(COUNTIF(E371:AI371,"RT.")/2)+(COUNTIF(E371:AI371,"ÇRT.")/2)</f>
      </c>
      <c r="AO371" s="1">
        <f>=COUNTIF(E371:AI371,"O")</f>
      </c>
      <c r="AP371" s="1">
        <f>=COUNTIF(E371:AI371,"RT")+(COUNTIF(E371:AI371,"RT.")/2)</f>
      </c>
      <c r="AQ371" s="1">
        <f>=COUNTIF(E371:AI371,"ÇRT")+(COUNTIF(E371:AI371,"ÇRT.")/2)</f>
      </c>
      <c r="AR371" s="1">
        <f>=COUNTIF(E371:AI371,"ÇHT")</f>
      </c>
      <c r="AS371" s="1">
        <f>=COUNTIF(E371:AI371,"Ö")+COUNTIF(E371:AI371,"T")</f>
      </c>
      <c r="AT371" s="1">
        <f>=COUNTIF(E371:AI371,"Y")</f>
      </c>
      <c r="AU371" s="1">
        <f>=COUNTIF(E371:AI371,"R.")</f>
      </c>
      <c r="AV371" s="1">
        <f>=COUNTIF(E371:AI371,"Ü")</f>
      </c>
      <c r="AW371" s="1">
        <f>=COUNTIF(E371:AI371,"R")</f>
      </c>
      <c r="AX371" s="1">
        <f>=COUNTIF(E371:AI371,"DV")</f>
      </c>
      <c r="AY371" s="1">
        <f>=+AN371+AO371+AP371+AQ371+AR371+AS371+AT371+AU371</f>
      </c>
    </row>
    <row r="372" ht="16" customHeight="1" spans="1:51" x14ac:dyDescent="0.25">
      <c r="A372" s="45"/>
      <c r="B372" s="46"/>
      <c r="C372" s="46"/>
      <c r="D372" s="46" t="s">
        <v>33</v>
      </c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  <c r="AE372" s="46"/>
      <c r="AF372" s="46"/>
      <c r="AG372" s="46"/>
      <c r="AH372" s="46"/>
      <c r="AI372" s="46"/>
      <c r="AJ372" s="46"/>
      <c r="AK372" s="46"/>
      <c r="AL372" s="46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ht="16" customHeight="1" spans="1:51" x14ac:dyDescent="0.25">
      <c r="A373" s="45"/>
      <c r="B373" s="46" t="s">
        <v>412</v>
      </c>
      <c r="C373" s="46" t="s">
        <v>413</v>
      </c>
      <c r="D373" s="46" t="s">
        <v>29</v>
      </c>
      <c r="E373" s="46" t="s">
        <v>36</v>
      </c>
      <c r="F373" s="46" t="s">
        <v>37</v>
      </c>
      <c r="G373" s="46" t="s">
        <v>36</v>
      </c>
      <c r="H373" s="46" t="s">
        <v>36</v>
      </c>
      <c r="I373" s="46" t="s">
        <v>36</v>
      </c>
      <c r="J373" s="46" t="s">
        <v>36</v>
      </c>
      <c r="K373" s="46" t="s">
        <v>36</v>
      </c>
      <c r="L373" s="46" t="s">
        <v>36</v>
      </c>
      <c r="M373" s="46" t="s">
        <v>37</v>
      </c>
      <c r="N373" s="46" t="s">
        <v>36</v>
      </c>
      <c r="O373" s="46" t="s">
        <v>36</v>
      </c>
      <c r="P373" s="46" t="s">
        <v>36</v>
      </c>
      <c r="Q373" s="46" t="s">
        <v>36</v>
      </c>
      <c r="R373" s="46" t="s">
        <v>36</v>
      </c>
      <c r="S373" s="46" t="s">
        <v>36</v>
      </c>
      <c r="T373" s="46" t="s">
        <v>37</v>
      </c>
      <c r="U373" s="46" t="s">
        <v>36</v>
      </c>
      <c r="V373" s="46" t="s">
        <v>36</v>
      </c>
      <c r="W373" s="46" t="s">
        <v>36</v>
      </c>
      <c r="X373" s="46" t="s">
        <v>36</v>
      </c>
      <c r="Y373" s="46" t="s">
        <v>36</v>
      </c>
      <c r="Z373" s="46" t="s">
        <v>36</v>
      </c>
      <c r="AA373" s="46" t="s">
        <v>37</v>
      </c>
      <c r="AB373" s="46" t="s">
        <v>36</v>
      </c>
      <c r="AC373" s="46" t="s">
        <v>36</v>
      </c>
      <c r="AD373" s="46" t="s">
        <v>36</v>
      </c>
      <c r="AE373" s="46" t="s">
        <v>36</v>
      </c>
      <c r="AF373" s="46" t="s">
        <v>36</v>
      </c>
      <c r="AG373" s="46" t="s">
        <v>36</v>
      </c>
      <c r="AH373" s="46" t="s">
        <v>37</v>
      </c>
      <c r="AI373" s="46" t="s">
        <v>36</v>
      </c>
      <c r="AJ373" s="46">
        <f>=SUM(E374:AI374)</f>
      </c>
      <c r="AK373" s="46">
        <f>=+AY373</f>
      </c>
      <c r="AL373" s="46"/>
      <c r="AM373" s="1"/>
      <c r="AN373" s="1">
        <f>=COUNTIF(E373:AI373,"A")+COUNTIF(E373:AI373,"B")+COUNTIF(E373:AI373,"C")+COUNTIF(E373:AI373,"D")+COUNTIF(E373:AI373,"E")+COUNTIF(E373:AI373,"F")+COUNTIF(E373:AI373,"M")+COUNTIF(E373:AI373,"AB")+COUNTIF(E373:AI373,"UZ")+COUNTIF(E373:AI373,"G")+(COUNTIF(E373:AI373,"RT.")/2)+(COUNTIF(E373:AI373,"ÇRT.")/2)</f>
      </c>
      <c r="AO373" s="1">
        <f>=COUNTIF(E373:AI373,"O")</f>
      </c>
      <c r="AP373" s="1">
        <f>=COUNTIF(E373:AI373,"RT")+(COUNTIF(E373:AI373,"RT.")/2)</f>
      </c>
      <c r="AQ373" s="1">
        <f>=COUNTIF(E373:AI373,"ÇRT")+(COUNTIF(E373:AI373,"ÇRT.")/2)</f>
      </c>
      <c r="AR373" s="1">
        <f>=COUNTIF(E373:AI373,"ÇHT")</f>
      </c>
      <c r="AS373" s="1">
        <f>=COUNTIF(E373:AI373,"Ö")+COUNTIF(E373:AI373,"T")</f>
      </c>
      <c r="AT373" s="1">
        <f>=COUNTIF(E373:AI373,"Y")</f>
      </c>
      <c r="AU373" s="1">
        <f>=COUNTIF(E373:AI373,"R.")</f>
      </c>
      <c r="AV373" s="1">
        <f>=COUNTIF(E373:AI373,"Ü")</f>
      </c>
      <c r="AW373" s="1">
        <f>=COUNTIF(E373:AI373,"R")</f>
      </c>
      <c r="AX373" s="1">
        <f>=COUNTIF(E373:AI373,"DV")</f>
      </c>
      <c r="AY373" s="1">
        <f>=+AN373+AO373+AP373+AQ373+AR373+AS373+AT373+AU373</f>
      </c>
    </row>
    <row r="374" ht="16" customHeight="1" spans="1:51" x14ac:dyDescent="0.25">
      <c r="A374" s="45"/>
      <c r="B374" s="46"/>
      <c r="C374" s="46"/>
      <c r="D374" s="46" t="s">
        <v>33</v>
      </c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  <c r="AE374" s="46"/>
      <c r="AF374" s="46"/>
      <c r="AG374" s="46"/>
      <c r="AH374" s="46"/>
      <c r="AI374" s="46"/>
      <c r="AJ374" s="46"/>
      <c r="AK374" s="46"/>
      <c r="AL374" s="46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ht="16" customHeight="1" spans="1:51" x14ac:dyDescent="0.25">
      <c r="A375" s="45"/>
      <c r="B375" s="46" t="s">
        <v>414</v>
      </c>
      <c r="C375" s="46" t="s">
        <v>415</v>
      </c>
      <c r="D375" s="46" t="s">
        <v>29</v>
      </c>
      <c r="E375" s="46" t="s">
        <v>36</v>
      </c>
      <c r="F375" s="46" t="s">
        <v>36</v>
      </c>
      <c r="G375" s="46" t="s">
        <v>36</v>
      </c>
      <c r="H375" s="46" t="s">
        <v>36</v>
      </c>
      <c r="I375" s="46" t="s">
        <v>36</v>
      </c>
      <c r="J375" s="46" t="s">
        <v>36</v>
      </c>
      <c r="K375" s="46" t="s">
        <v>37</v>
      </c>
      <c r="L375" s="46" t="s">
        <v>36</v>
      </c>
      <c r="M375" s="46" t="s">
        <v>36</v>
      </c>
      <c r="N375" s="46" t="s">
        <v>36</v>
      </c>
      <c r="O375" s="46" t="s">
        <v>37</v>
      </c>
      <c r="P375" s="46" t="s">
        <v>30</v>
      </c>
      <c r="Q375" s="46" t="s">
        <v>30</v>
      </c>
      <c r="R375" s="46" t="s">
        <v>30</v>
      </c>
      <c r="S375" s="46" t="s">
        <v>30</v>
      </c>
      <c r="T375" s="46" t="s">
        <v>30</v>
      </c>
      <c r="U375" s="46" t="s">
        <v>30</v>
      </c>
      <c r="V375" s="46" t="s">
        <v>37</v>
      </c>
      <c r="W375" s="46" t="s">
        <v>31</v>
      </c>
      <c r="X375" s="46" t="s">
        <v>153</v>
      </c>
      <c r="Y375" s="46" t="s">
        <v>30</v>
      </c>
      <c r="Z375" s="46" t="s">
        <v>30</v>
      </c>
      <c r="AA375" s="46" t="s">
        <v>30</v>
      </c>
      <c r="AB375" s="46" t="s">
        <v>30</v>
      </c>
      <c r="AC375" s="46" t="s">
        <v>30</v>
      </c>
      <c r="AD375" s="46" t="s">
        <v>30</v>
      </c>
      <c r="AE375" s="46" t="s">
        <v>36</v>
      </c>
      <c r="AF375" s="46" t="s">
        <v>37</v>
      </c>
      <c r="AG375" s="46" t="s">
        <v>36</v>
      </c>
      <c r="AH375" s="46" t="s">
        <v>43</v>
      </c>
      <c r="AI375" s="46" t="s">
        <v>36</v>
      </c>
      <c r="AJ375" s="46">
        <f>=SUM(E376:AI376)</f>
      </c>
      <c r="AK375" s="46">
        <f>=+AY375</f>
      </c>
      <c r="AL375" s="46"/>
      <c r="AM375" s="1"/>
      <c r="AN375" s="1">
        <f>=COUNTIF(E375:AI375,"A")+COUNTIF(E375:AI375,"B")+COUNTIF(E375:AI375,"C")+COUNTIF(E375:AI375,"D")+COUNTIF(E375:AI375,"E")+COUNTIF(E375:AI375,"F")+COUNTIF(E375:AI375,"M")+COUNTIF(E375:AI375,"AB")+COUNTIF(E375:AI375,"UZ")+COUNTIF(E375:AI375,"G")+(COUNTIF(E375:AI375,"RT.")/2)+(COUNTIF(E375:AI375,"ÇRT.")/2)</f>
      </c>
      <c r="AO375" s="1">
        <f>=COUNTIF(E375:AI375,"O")</f>
      </c>
      <c r="AP375" s="1">
        <f>=COUNTIF(E375:AI375,"RT")+(COUNTIF(E375:AI375,"RT.")/2)</f>
      </c>
      <c r="AQ375" s="1">
        <f>=COUNTIF(E375:AI375,"ÇRT")+(COUNTIF(E375:AI375,"ÇRT.")/2)</f>
      </c>
      <c r="AR375" s="1">
        <f>=COUNTIF(E375:AI375,"ÇHT")</f>
      </c>
      <c r="AS375" s="1">
        <f>=COUNTIF(E375:AI375,"Ö")+COUNTIF(E375:AI375,"T")</f>
      </c>
      <c r="AT375" s="1">
        <f>=COUNTIF(E375:AI375,"Y")</f>
      </c>
      <c r="AU375" s="1">
        <f>=COUNTIF(E375:AI375,"R.")</f>
      </c>
      <c r="AV375" s="1">
        <f>=COUNTIF(E375:AI375,"Ü")</f>
      </c>
      <c r="AW375" s="1">
        <f>=COUNTIF(E375:AI375,"R")</f>
      </c>
      <c r="AX375" s="1">
        <f>=COUNTIF(E375:AI375,"DV")</f>
      </c>
      <c r="AY375" s="1">
        <f>=+AN375+AO375+AP375+AQ375+AR375+AS375+AT375+AU375</f>
      </c>
    </row>
    <row r="376" ht="16" customHeight="1" spans="1:51" x14ac:dyDescent="0.25">
      <c r="A376" s="45"/>
      <c r="B376" s="46"/>
      <c r="C376" s="46"/>
      <c r="D376" s="46" t="s">
        <v>33</v>
      </c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  <c r="AD376" s="46"/>
      <c r="AE376" s="46"/>
      <c r="AF376" s="46"/>
      <c r="AG376" s="46"/>
      <c r="AH376" s="46"/>
      <c r="AI376" s="46"/>
      <c r="AJ376" s="46"/>
      <c r="AK376" s="46"/>
      <c r="AL376" s="46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ht="16" customHeight="1" spans="1:51" x14ac:dyDescent="0.25">
      <c r="A377" s="45"/>
      <c r="B377" s="46" t="s">
        <v>416</v>
      </c>
      <c r="C377" s="46" t="s">
        <v>417</v>
      </c>
      <c r="D377" s="46" t="s">
        <v>29</v>
      </c>
      <c r="E377" s="46" t="s">
        <v>36</v>
      </c>
      <c r="F377" s="46" t="s">
        <v>37</v>
      </c>
      <c r="G377" s="46" t="s">
        <v>36</v>
      </c>
      <c r="H377" s="46" t="s">
        <v>36</v>
      </c>
      <c r="I377" s="46" t="s">
        <v>36</v>
      </c>
      <c r="J377" s="46" t="s">
        <v>36</v>
      </c>
      <c r="K377" s="46" t="s">
        <v>36</v>
      </c>
      <c r="L377" s="46" t="s">
        <v>153</v>
      </c>
      <c r="M377" s="46" t="s">
        <v>37</v>
      </c>
      <c r="N377" s="46" t="s">
        <v>36</v>
      </c>
      <c r="O377" s="46" t="s">
        <v>36</v>
      </c>
      <c r="P377" s="46" t="s">
        <v>36</v>
      </c>
      <c r="Q377" s="46" t="s">
        <v>36</v>
      </c>
      <c r="R377" s="46" t="s">
        <v>36</v>
      </c>
      <c r="S377" s="46" t="s">
        <v>36</v>
      </c>
      <c r="T377" s="46" t="s">
        <v>37</v>
      </c>
      <c r="U377" s="46" t="s">
        <v>36</v>
      </c>
      <c r="V377" s="46" t="s">
        <v>36</v>
      </c>
      <c r="W377" s="46" t="s">
        <v>36</v>
      </c>
      <c r="X377" s="46" t="s">
        <v>36</v>
      </c>
      <c r="Y377" s="46" t="s">
        <v>31</v>
      </c>
      <c r="Z377" s="46" t="s">
        <v>36</v>
      </c>
      <c r="AA377" s="46" t="s">
        <v>37</v>
      </c>
      <c r="AB377" s="46" t="s">
        <v>36</v>
      </c>
      <c r="AC377" s="46" t="s">
        <v>36</v>
      </c>
      <c r="AD377" s="46" t="s">
        <v>36</v>
      </c>
      <c r="AE377" s="46" t="s">
        <v>36</v>
      </c>
      <c r="AF377" s="46" t="s">
        <v>36</v>
      </c>
      <c r="AG377" s="46" t="s">
        <v>36</v>
      </c>
      <c r="AH377" s="46" t="s">
        <v>43</v>
      </c>
      <c r="AI377" s="46" t="s">
        <v>37</v>
      </c>
      <c r="AJ377" s="46">
        <f>=SUM(E378:AI378)</f>
      </c>
      <c r="AK377" s="46">
        <f>=+AY377</f>
      </c>
      <c r="AL377" s="46"/>
      <c r="AM377" s="1"/>
      <c r="AN377" s="1">
        <f>=COUNTIF(E377:AI377,"A")+COUNTIF(E377:AI377,"B")+COUNTIF(E377:AI377,"C")+COUNTIF(E377:AI377,"D")+COUNTIF(E377:AI377,"E")+COUNTIF(E377:AI377,"F")+COUNTIF(E377:AI377,"M")+COUNTIF(E377:AI377,"AB")+COUNTIF(E377:AI377,"UZ")+COUNTIF(E377:AI377,"G")+(COUNTIF(E377:AI377,"RT.")/2)+(COUNTIF(E377:AI377,"ÇRT.")/2)</f>
      </c>
      <c r="AO377" s="1">
        <f>=COUNTIF(E377:AI377,"O")</f>
      </c>
      <c r="AP377" s="1">
        <f>=COUNTIF(E377:AI377,"RT")+(COUNTIF(E377:AI377,"RT.")/2)</f>
      </c>
      <c r="AQ377" s="1">
        <f>=COUNTIF(E377:AI377,"ÇRT")+(COUNTIF(E377:AI377,"ÇRT.")/2)</f>
      </c>
      <c r="AR377" s="1">
        <f>=COUNTIF(E377:AI377,"ÇHT")</f>
      </c>
      <c r="AS377" s="1">
        <f>=COUNTIF(E377:AI377,"Ö")+COUNTIF(E377:AI377,"T")</f>
      </c>
      <c r="AT377" s="1">
        <f>=COUNTIF(E377:AI377,"Y")</f>
      </c>
      <c r="AU377" s="1">
        <f>=COUNTIF(E377:AI377,"R.")</f>
      </c>
      <c r="AV377" s="1">
        <f>=COUNTIF(E377:AI377,"Ü")</f>
      </c>
      <c r="AW377" s="1">
        <f>=COUNTIF(E377:AI377,"R")</f>
      </c>
      <c r="AX377" s="1">
        <f>=COUNTIF(E377:AI377,"DV")</f>
      </c>
      <c r="AY377" s="1">
        <f>=+AN377+AO377+AP377+AQ377+AR377+AS377+AT377+AU377</f>
      </c>
    </row>
    <row r="378" ht="16" customHeight="1" spans="1:51" x14ac:dyDescent="0.25">
      <c r="A378" s="45"/>
      <c r="B378" s="46"/>
      <c r="C378" s="46"/>
      <c r="D378" s="46" t="s">
        <v>33</v>
      </c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  <c r="AD378" s="46"/>
      <c r="AE378" s="46"/>
      <c r="AF378" s="46"/>
      <c r="AG378" s="46"/>
      <c r="AH378" s="46"/>
      <c r="AI378" s="46"/>
      <c r="AJ378" s="46"/>
      <c r="AK378" s="46"/>
      <c r="AL378" s="46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ht="16" customHeight="1" spans="1:51" x14ac:dyDescent="0.25">
      <c r="A379" s="45" t="s">
        <v>418</v>
      </c>
      <c r="B379" s="46" t="s">
        <v>419</v>
      </c>
      <c r="C379" s="46" t="s">
        <v>420</v>
      </c>
      <c r="D379" s="46" t="s">
        <v>29</v>
      </c>
      <c r="E379" s="46" t="s">
        <v>37</v>
      </c>
      <c r="F379" s="46" t="s">
        <v>42</v>
      </c>
      <c r="G379" s="46" t="s">
        <v>42</v>
      </c>
      <c r="H379" s="46" t="s">
        <v>42</v>
      </c>
      <c r="I379" s="46" t="s">
        <v>42</v>
      </c>
      <c r="J379" s="46" t="s">
        <v>42</v>
      </c>
      <c r="K379" s="46" t="s">
        <v>42</v>
      </c>
      <c r="L379" s="46" t="s">
        <v>42</v>
      </c>
      <c r="M379" s="46" t="s">
        <v>37</v>
      </c>
      <c r="N379" s="46" t="s">
        <v>42</v>
      </c>
      <c r="O379" s="46" t="s">
        <v>42</v>
      </c>
      <c r="P379" s="46" t="s">
        <v>42</v>
      </c>
      <c r="Q379" s="46" t="s">
        <v>42</v>
      </c>
      <c r="R379" s="46" t="s">
        <v>37</v>
      </c>
      <c r="S379" s="46" t="s">
        <v>42</v>
      </c>
      <c r="T379" s="46" t="s">
        <v>42</v>
      </c>
      <c r="U379" s="46" t="s">
        <v>42</v>
      </c>
      <c r="V379" s="46" t="s">
        <v>42</v>
      </c>
      <c r="W379" s="46" t="s">
        <v>42</v>
      </c>
      <c r="X379" s="46" t="s">
        <v>42</v>
      </c>
      <c r="Y379" s="46" t="s">
        <v>42</v>
      </c>
      <c r="Z379" s="46" t="s">
        <v>42</v>
      </c>
      <c r="AA379" s="46" t="s">
        <v>37</v>
      </c>
      <c r="AB379" s="46" t="s">
        <v>42</v>
      </c>
      <c r="AC379" s="46" t="s">
        <v>42</v>
      </c>
      <c r="AD379" s="46" t="s">
        <v>42</v>
      </c>
      <c r="AE379" s="46" t="s">
        <v>42</v>
      </c>
      <c r="AF379" s="46" t="s">
        <v>42</v>
      </c>
      <c r="AG379" s="46" t="s">
        <v>42</v>
      </c>
      <c r="AH379" s="46" t="s">
        <v>37</v>
      </c>
      <c r="AI379" s="46" t="s">
        <v>42</v>
      </c>
      <c r="AJ379" s="46">
        <f>=SUM(E380:AI380)</f>
      </c>
      <c r="AK379" s="46">
        <f>=+AY379</f>
      </c>
      <c r="AL379" s="46"/>
      <c r="AM379" s="1"/>
      <c r="AN379" s="1">
        <f>=COUNTIF(E379:AI379,"A")+COUNTIF(E379:AI379,"B")+COUNTIF(E379:AI379,"C")+COUNTIF(E379:AI379,"D")+COUNTIF(E379:AI379,"E")+COUNTIF(E379:AI379,"F")+COUNTIF(E379:AI379,"M")+COUNTIF(E379:AI379,"AB")+COUNTIF(E379:AI379,"UZ")+COUNTIF(E379:AI379,"G")+(COUNTIF(E379:AI379,"RT.")/2)+(COUNTIF(E379:AI379,"ÇRT.")/2)</f>
      </c>
      <c r="AO379" s="1">
        <f>=COUNTIF(E379:AI379,"O")</f>
      </c>
      <c r="AP379" s="1">
        <f>=COUNTIF(E379:AI379,"RT")+(COUNTIF(E379:AI379,"RT.")/2)</f>
      </c>
      <c r="AQ379" s="1">
        <f>=COUNTIF(E379:AI379,"ÇRT")+(COUNTIF(E379:AI379,"ÇRT.")/2)</f>
      </c>
      <c r="AR379" s="1">
        <f>=COUNTIF(E379:AI379,"ÇHT")</f>
      </c>
      <c r="AS379" s="1">
        <f>=COUNTIF(E379:AI379,"Ö")+COUNTIF(E379:AI379,"T")</f>
      </c>
      <c r="AT379" s="1">
        <f>=COUNTIF(E379:AI379,"Y")</f>
      </c>
      <c r="AU379" s="1">
        <f>=COUNTIF(E379:AI379,"R.")</f>
      </c>
      <c r="AV379" s="1">
        <f>=COUNTIF(E379:AI379,"Ü")</f>
      </c>
      <c r="AW379" s="1">
        <f>=COUNTIF(E379:AI379,"R")</f>
      </c>
      <c r="AX379" s="1">
        <f>=COUNTIF(E379:AI379,"DV")</f>
      </c>
      <c r="AY379" s="1">
        <f>=+AN379+AO379+AP379+AQ379+AR379+AS379+AT379+AU379</f>
      </c>
    </row>
    <row r="380" ht="16" customHeight="1" spans="1:51" x14ac:dyDescent="0.25">
      <c r="A380" s="45"/>
      <c r="B380" s="46"/>
      <c r="C380" s="46"/>
      <c r="D380" s="46" t="s">
        <v>33</v>
      </c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  <c r="AC380" s="46"/>
      <c r="AD380" s="46"/>
      <c r="AE380" s="46"/>
      <c r="AF380" s="46"/>
      <c r="AG380" s="46"/>
      <c r="AH380" s="46"/>
      <c r="AI380" s="46"/>
      <c r="AJ380" s="46"/>
      <c r="AK380" s="46"/>
      <c r="AL380" s="46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ht="16" customHeight="1" spans="1:51" x14ac:dyDescent="0.25">
      <c r="A381" s="45"/>
      <c r="B381" s="46" t="s">
        <v>421</v>
      </c>
      <c r="C381" s="46" t="s">
        <v>422</v>
      </c>
      <c r="D381" s="46" t="s">
        <v>29</v>
      </c>
      <c r="E381" s="46" t="s">
        <v>337</v>
      </c>
      <c r="F381" s="46" t="s">
        <v>37</v>
      </c>
      <c r="G381" s="46" t="s">
        <v>42</v>
      </c>
      <c r="H381" s="46" t="s">
        <v>42</v>
      </c>
      <c r="I381" s="46" t="s">
        <v>42</v>
      </c>
      <c r="J381" s="46" t="s">
        <v>42</v>
      </c>
      <c r="K381" s="46" t="s">
        <v>42</v>
      </c>
      <c r="L381" s="46" t="s">
        <v>42</v>
      </c>
      <c r="M381" s="46" t="s">
        <v>37</v>
      </c>
      <c r="N381" s="46" t="s">
        <v>42</v>
      </c>
      <c r="O381" s="46" t="s">
        <v>42</v>
      </c>
      <c r="P381" s="46" t="s">
        <v>42</v>
      </c>
      <c r="Q381" s="46" t="s">
        <v>42</v>
      </c>
      <c r="R381" s="46" t="s">
        <v>42</v>
      </c>
      <c r="S381" s="46" t="s">
        <v>42</v>
      </c>
      <c r="T381" s="46" t="s">
        <v>37</v>
      </c>
      <c r="U381" s="46" t="s">
        <v>42</v>
      </c>
      <c r="V381" s="46" t="s">
        <v>42</v>
      </c>
      <c r="W381" s="46" t="s">
        <v>42</v>
      </c>
      <c r="X381" s="46" t="s">
        <v>42</v>
      </c>
      <c r="Y381" s="46" t="s">
        <v>42</v>
      </c>
      <c r="Z381" s="46" t="s">
        <v>42</v>
      </c>
      <c r="AA381" s="46" t="s">
        <v>37</v>
      </c>
      <c r="AB381" s="46" t="s">
        <v>42</v>
      </c>
      <c r="AC381" s="46" t="s">
        <v>42</v>
      </c>
      <c r="AD381" s="46" t="s">
        <v>42</v>
      </c>
      <c r="AE381" s="46" t="s">
        <v>42</v>
      </c>
      <c r="AF381" s="46" t="s">
        <v>42</v>
      </c>
      <c r="AG381" s="46" t="s">
        <v>42</v>
      </c>
      <c r="AH381" s="46" t="s">
        <v>37</v>
      </c>
      <c r="AI381" s="46" t="s">
        <v>42</v>
      </c>
      <c r="AJ381" s="46">
        <f>=SUM(E382:AI382)</f>
      </c>
      <c r="AK381" s="46">
        <f>=+AY381</f>
      </c>
      <c r="AL381" s="46"/>
      <c r="AM381" s="1"/>
      <c r="AN381" s="1">
        <f>=COUNTIF(E381:AI381,"A")+COUNTIF(E381:AI381,"B")+COUNTIF(E381:AI381,"C")+COUNTIF(E381:AI381,"D")+COUNTIF(E381:AI381,"E")+COUNTIF(E381:AI381,"F")+COUNTIF(E381:AI381,"M")+COUNTIF(E381:AI381,"AB")+COUNTIF(E381:AI381,"UZ")+COUNTIF(E381:AI381,"G")+(COUNTIF(E381:AI381,"RT.")/2)+(COUNTIF(E381:AI381,"ÇRT.")/2)</f>
      </c>
      <c r="AO381" s="1">
        <f>=COUNTIF(E381:AI381,"O")</f>
      </c>
      <c r="AP381" s="1">
        <f>=COUNTIF(E381:AI381,"RT")+(COUNTIF(E381:AI381,"RT.")/2)</f>
      </c>
      <c r="AQ381" s="1">
        <f>=COUNTIF(E381:AI381,"ÇRT")+(COUNTIF(E381:AI381,"ÇRT.")/2)</f>
      </c>
      <c r="AR381" s="1">
        <f>=COUNTIF(E381:AI381,"ÇHT")</f>
      </c>
      <c r="AS381" s="1">
        <f>=COUNTIF(E381:AI381,"Ö")+COUNTIF(E381:AI381,"T")</f>
      </c>
      <c r="AT381" s="1">
        <f>=COUNTIF(E381:AI381,"Y")</f>
      </c>
      <c r="AU381" s="1">
        <f>=COUNTIF(E381:AI381,"R.")</f>
      </c>
      <c r="AV381" s="1">
        <f>=COUNTIF(E381:AI381,"Ü")</f>
      </c>
      <c r="AW381" s="1">
        <f>=COUNTIF(E381:AI381,"R")</f>
      </c>
      <c r="AX381" s="1">
        <f>=COUNTIF(E381:AI381,"DV")</f>
      </c>
      <c r="AY381" s="1">
        <f>=+AN381+AO381+AP381+AQ381+AR381+AS381+AT381+AU381</f>
      </c>
    </row>
    <row r="382" ht="16" customHeight="1" spans="1:51" x14ac:dyDescent="0.25">
      <c r="A382" s="45"/>
      <c r="B382" s="46"/>
      <c r="C382" s="46"/>
      <c r="D382" s="46" t="s">
        <v>33</v>
      </c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  <c r="AC382" s="46"/>
      <c r="AD382" s="46"/>
      <c r="AE382" s="46"/>
      <c r="AF382" s="46"/>
      <c r="AG382" s="46"/>
      <c r="AH382" s="46"/>
      <c r="AI382" s="46"/>
      <c r="AJ382" s="46"/>
      <c r="AK382" s="46"/>
      <c r="AL382" s="46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ht="16" customHeight="1" spans="1:51" x14ac:dyDescent="0.25">
      <c r="A383" s="45"/>
      <c r="B383" s="46" t="s">
        <v>423</v>
      </c>
      <c r="C383" s="46" t="s">
        <v>424</v>
      </c>
      <c r="D383" s="46" t="s">
        <v>29</v>
      </c>
      <c r="E383" s="46" t="s">
        <v>42</v>
      </c>
      <c r="F383" s="46" t="s">
        <v>37</v>
      </c>
      <c r="G383" s="46" t="s">
        <v>42</v>
      </c>
      <c r="H383" s="46" t="s">
        <v>42</v>
      </c>
      <c r="I383" s="46" t="s">
        <v>42</v>
      </c>
      <c r="J383" s="46" t="s">
        <v>42</v>
      </c>
      <c r="K383" s="46" t="s">
        <v>42</v>
      </c>
      <c r="L383" s="46" t="s">
        <v>37</v>
      </c>
      <c r="M383" s="46" t="s">
        <v>42</v>
      </c>
      <c r="N383" s="46" t="s">
        <v>42</v>
      </c>
      <c r="O383" s="46" t="s">
        <v>42</v>
      </c>
      <c r="P383" s="46" t="s">
        <v>42</v>
      </c>
      <c r="Q383" s="46" t="s">
        <v>42</v>
      </c>
      <c r="R383" s="46" t="s">
        <v>42</v>
      </c>
      <c r="S383" s="46" t="s">
        <v>37</v>
      </c>
      <c r="T383" s="46" t="s">
        <v>42</v>
      </c>
      <c r="U383" s="46" t="s">
        <v>42</v>
      </c>
      <c r="V383" s="46" t="s">
        <v>42</v>
      </c>
      <c r="W383" s="46" t="s">
        <v>42</v>
      </c>
      <c r="X383" s="46" t="s">
        <v>42</v>
      </c>
      <c r="Y383" s="46" t="s">
        <v>42</v>
      </c>
      <c r="Z383" s="46" t="s">
        <v>37</v>
      </c>
      <c r="AA383" s="46" t="s">
        <v>42</v>
      </c>
      <c r="AB383" s="46" t="s">
        <v>42</v>
      </c>
      <c r="AC383" s="46" t="s">
        <v>42</v>
      </c>
      <c r="AD383" s="46" t="s">
        <v>42</v>
      </c>
      <c r="AE383" s="46" t="s">
        <v>42</v>
      </c>
      <c r="AF383" s="46" t="s">
        <v>42</v>
      </c>
      <c r="AG383" s="46" t="s">
        <v>42</v>
      </c>
      <c r="AH383" s="46" t="s">
        <v>43</v>
      </c>
      <c r="AI383" s="46" t="s">
        <v>37</v>
      </c>
      <c r="AJ383" s="46">
        <f>=SUM(E384:AI384)</f>
      </c>
      <c r="AK383" s="46">
        <f>=+AY383</f>
      </c>
      <c r="AL383" s="46"/>
      <c r="AM383" s="1"/>
      <c r="AN383" s="1">
        <f>=COUNTIF(E383:AI383,"A")+COUNTIF(E383:AI383,"B")+COUNTIF(E383:AI383,"C")+COUNTIF(E383:AI383,"D")+COUNTIF(E383:AI383,"E")+COUNTIF(E383:AI383,"F")+COUNTIF(E383:AI383,"M")+COUNTIF(E383:AI383,"AB")+COUNTIF(E383:AI383,"UZ")+COUNTIF(E383:AI383,"G")+(COUNTIF(E383:AI383,"RT.")/2)+(COUNTIF(E383:AI383,"ÇRT.")/2)</f>
      </c>
      <c r="AO383" s="1">
        <f>=COUNTIF(E383:AI383,"O")</f>
      </c>
      <c r="AP383" s="1">
        <f>=COUNTIF(E383:AI383,"RT")+(COUNTIF(E383:AI383,"RT.")/2)</f>
      </c>
      <c r="AQ383" s="1">
        <f>=COUNTIF(E383:AI383,"ÇRT")+(COUNTIF(E383:AI383,"ÇRT.")/2)</f>
      </c>
      <c r="AR383" s="1">
        <f>=COUNTIF(E383:AI383,"ÇHT")</f>
      </c>
      <c r="AS383" s="1">
        <f>=COUNTIF(E383:AI383,"Ö")+COUNTIF(E383:AI383,"T")</f>
      </c>
      <c r="AT383" s="1">
        <f>=COUNTIF(E383:AI383,"Y")</f>
      </c>
      <c r="AU383" s="1">
        <f>=COUNTIF(E383:AI383,"R.")</f>
      </c>
      <c r="AV383" s="1">
        <f>=COUNTIF(E383:AI383,"Ü")</f>
      </c>
      <c r="AW383" s="1">
        <f>=COUNTIF(E383:AI383,"R")</f>
      </c>
      <c r="AX383" s="1">
        <f>=COUNTIF(E383:AI383,"DV")</f>
      </c>
      <c r="AY383" s="1">
        <f>=+AN383+AO383+AP383+AQ383+AR383+AS383+AT383+AU383</f>
      </c>
    </row>
    <row r="384" ht="16" customHeight="1" spans="1:51" x14ac:dyDescent="0.25">
      <c r="A384" s="45"/>
      <c r="B384" s="46"/>
      <c r="C384" s="46"/>
      <c r="D384" s="46" t="s">
        <v>33</v>
      </c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  <c r="AC384" s="46"/>
      <c r="AD384" s="46"/>
      <c r="AE384" s="46"/>
      <c r="AF384" s="46"/>
      <c r="AG384" s="46"/>
      <c r="AH384" s="46">
        <v>0</v>
      </c>
      <c r="AI384" s="46"/>
      <c r="AJ384" s="46"/>
      <c r="AK384" s="46"/>
      <c r="AL384" s="46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ht="16" customHeight="1" spans="1:51" x14ac:dyDescent="0.25">
      <c r="A385" s="45" t="s">
        <v>425</v>
      </c>
      <c r="B385" s="46" t="s">
        <v>426</v>
      </c>
      <c r="C385" s="46" t="s">
        <v>427</v>
      </c>
      <c r="D385" s="46" t="s">
        <v>29</v>
      </c>
      <c r="E385" s="46" t="s">
        <v>46</v>
      </c>
      <c r="F385" s="46" t="s">
        <v>42</v>
      </c>
      <c r="G385" s="46" t="s">
        <v>46</v>
      </c>
      <c r="H385" s="46" t="s">
        <v>46</v>
      </c>
      <c r="I385" s="46" t="s">
        <v>46</v>
      </c>
      <c r="J385" s="46" t="s">
        <v>37</v>
      </c>
      <c r="K385" s="46" t="s">
        <v>46</v>
      </c>
      <c r="L385" s="46" t="s">
        <v>46</v>
      </c>
      <c r="M385" s="46" t="s">
        <v>42</v>
      </c>
      <c r="N385" s="46" t="s">
        <v>46</v>
      </c>
      <c r="O385" s="46" t="s">
        <v>46</v>
      </c>
      <c r="P385" s="46" t="s">
        <v>42</v>
      </c>
      <c r="Q385" s="46" t="s">
        <v>37</v>
      </c>
      <c r="R385" s="46" t="s">
        <v>46</v>
      </c>
      <c r="S385" s="46" t="s">
        <v>46</v>
      </c>
      <c r="T385" s="46" t="s">
        <v>46</v>
      </c>
      <c r="U385" s="46" t="s">
        <v>46</v>
      </c>
      <c r="V385" s="46" t="s">
        <v>42</v>
      </c>
      <c r="W385" s="46" t="s">
        <v>42</v>
      </c>
      <c r="X385" s="46" t="s">
        <v>37</v>
      </c>
      <c r="Y385" s="46"/>
      <c r="Z385" s="46"/>
      <c r="AA385" s="46"/>
      <c r="AB385" s="46"/>
      <c r="AC385" s="46"/>
      <c r="AD385" s="46"/>
      <c r="AE385" s="46"/>
      <c r="AF385" s="46"/>
      <c r="AG385" s="46"/>
      <c r="AH385" s="46"/>
      <c r="AI385" s="46"/>
      <c r="AJ385" s="46">
        <f>=SUM(E386:AI386)</f>
      </c>
      <c r="AK385" s="46">
        <f>=+AY385</f>
      </c>
      <c r="AL385" s="46"/>
      <c r="AM385" s="1"/>
      <c r="AN385" s="1">
        <f>=COUNTIF(E385:AI385,"A")+COUNTIF(E385:AI385,"B")+COUNTIF(E385:AI385,"C")+COUNTIF(E385:AI385,"D")+COUNTIF(E385:AI385,"E")+COUNTIF(E385:AI385,"F")+COUNTIF(E385:AI385,"M")+COUNTIF(E385:AI385,"AB")+COUNTIF(E385:AI385,"UZ")+COUNTIF(E385:AI385,"G")+(COUNTIF(E385:AI385,"RT.")/2)+(COUNTIF(E385:AI385,"ÇRT.")/2)</f>
      </c>
      <c r="AO385" s="1">
        <f>=COUNTIF(E385:AI385,"O")</f>
      </c>
      <c r="AP385" s="1">
        <f>=COUNTIF(E385:AI385,"RT")+(COUNTIF(E385:AI385,"RT.")/2)</f>
      </c>
      <c r="AQ385" s="1">
        <f>=COUNTIF(E385:AI385,"ÇRT")+(COUNTIF(E385:AI385,"ÇRT.")/2)</f>
      </c>
      <c r="AR385" s="1">
        <f>=COUNTIF(E385:AI385,"ÇHT")</f>
      </c>
      <c r="AS385" s="1">
        <f>=COUNTIF(E385:AI385,"Ö")+COUNTIF(E385:AI385,"T")</f>
      </c>
      <c r="AT385" s="1">
        <f>=COUNTIF(E385:AI385,"Y")</f>
      </c>
      <c r="AU385" s="1">
        <f>=COUNTIF(E385:AI385,"R.")</f>
      </c>
      <c r="AV385" s="1">
        <f>=COUNTIF(E385:AI385,"Ü")</f>
      </c>
      <c r="AW385" s="1">
        <f>=COUNTIF(E385:AI385,"R")</f>
      </c>
      <c r="AX385" s="1">
        <f>=COUNTIF(E385:AI385,"DV")</f>
      </c>
      <c r="AY385" s="1">
        <f>=+AN385+AO385+AP385+AQ385+AR385+AS385+AT385+AU385</f>
      </c>
    </row>
    <row r="386" ht="16" customHeight="1" spans="1:51" x14ac:dyDescent="0.25">
      <c r="A386" s="45"/>
      <c r="B386" s="46"/>
      <c r="C386" s="46"/>
      <c r="D386" s="46" t="s">
        <v>33</v>
      </c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  <c r="AC386" s="46"/>
      <c r="AD386" s="46"/>
      <c r="AE386" s="46"/>
      <c r="AF386" s="46"/>
      <c r="AG386" s="46"/>
      <c r="AH386" s="46"/>
      <c r="AI386" s="46"/>
      <c r="AJ386" s="46"/>
      <c r="AK386" s="46"/>
      <c r="AL386" s="46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ht="16" customHeight="1" spans="1:51" x14ac:dyDescent="0.25">
      <c r="A387" s="45"/>
      <c r="B387" s="46" t="s">
        <v>428</v>
      </c>
      <c r="C387" s="46" t="s">
        <v>429</v>
      </c>
      <c r="D387" s="46" t="s">
        <v>29</v>
      </c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  <c r="AC387" s="46" t="s">
        <v>36</v>
      </c>
      <c r="AD387" s="46" t="s">
        <v>36</v>
      </c>
      <c r="AE387" s="46" t="s">
        <v>36</v>
      </c>
      <c r="AF387" s="46" t="s">
        <v>36</v>
      </c>
      <c r="AG387" s="46" t="s">
        <v>36</v>
      </c>
      <c r="AH387" s="46" t="s">
        <v>43</v>
      </c>
      <c r="AI387" s="46" t="s">
        <v>46</v>
      </c>
      <c r="AJ387" s="46">
        <f>=SUM(E388:AI388)</f>
      </c>
      <c r="AK387" s="46">
        <f>=+AY387</f>
      </c>
      <c r="AL387" s="46"/>
      <c r="AM387" s="1"/>
      <c r="AN387" s="1">
        <f>=COUNTIF(E387:AI387,"A")+COUNTIF(E387:AI387,"B")+COUNTIF(E387:AI387,"C")+COUNTIF(E387:AI387,"D")+COUNTIF(E387:AI387,"E")+COUNTIF(E387:AI387,"F")+COUNTIF(E387:AI387,"M")+COUNTIF(E387:AI387,"AB")+COUNTIF(E387:AI387,"UZ")+COUNTIF(E387:AI387,"G")+(COUNTIF(E387:AI387,"RT.")/2)+(COUNTIF(E387:AI387,"ÇRT.")/2)</f>
      </c>
      <c r="AO387" s="1">
        <f>=COUNTIF(E387:AI387,"O")</f>
      </c>
      <c r="AP387" s="1">
        <f>=COUNTIF(E387:AI387,"RT")+(COUNTIF(E387:AI387,"RT.")/2)</f>
      </c>
      <c r="AQ387" s="1">
        <f>=COUNTIF(E387:AI387,"ÇRT")+(COUNTIF(E387:AI387,"ÇRT.")/2)</f>
      </c>
      <c r="AR387" s="1">
        <f>=COUNTIF(E387:AI387,"ÇHT")</f>
      </c>
      <c r="AS387" s="1">
        <f>=COUNTIF(E387:AI387,"Ö")+COUNTIF(E387:AI387,"T")</f>
      </c>
      <c r="AT387" s="1">
        <f>=COUNTIF(E387:AI387,"Y")</f>
      </c>
      <c r="AU387" s="1">
        <f>=COUNTIF(E387:AI387,"R.")</f>
      </c>
      <c r="AV387" s="1">
        <f>=COUNTIF(E387:AI387,"Ü")</f>
      </c>
      <c r="AW387" s="1">
        <f>=COUNTIF(E387:AI387,"R")</f>
      </c>
      <c r="AX387" s="1">
        <f>=COUNTIF(E387:AI387,"DV")</f>
      </c>
      <c r="AY387" s="1">
        <f>=+AN387+AO387+AP387+AQ387+AR387+AS387+AT387+AU387</f>
      </c>
    </row>
    <row r="388" ht="16" customHeight="1" spans="1:51" x14ac:dyDescent="0.25">
      <c r="A388" s="45"/>
      <c r="B388" s="46"/>
      <c r="C388" s="46"/>
      <c r="D388" s="46" t="s">
        <v>33</v>
      </c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  <c r="AC388" s="46"/>
      <c r="AD388" s="46"/>
      <c r="AE388" s="46"/>
      <c r="AF388" s="46"/>
      <c r="AG388" s="46"/>
      <c r="AH388" s="46"/>
      <c r="AI388" s="46"/>
      <c r="AJ388" s="46"/>
      <c r="AK388" s="46"/>
      <c r="AL388" s="46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ht="16" customHeight="1" spans="1:51" x14ac:dyDescent="0.25">
      <c r="A389" s="45"/>
      <c r="B389" s="46" t="s">
        <v>430</v>
      </c>
      <c r="C389" s="46" t="s">
        <v>431</v>
      </c>
      <c r="D389" s="46" t="s">
        <v>29</v>
      </c>
      <c r="E389" s="46" t="s">
        <v>37</v>
      </c>
      <c r="F389" s="46" t="s">
        <v>46</v>
      </c>
      <c r="G389" s="46" t="s">
        <v>42</v>
      </c>
      <c r="H389" s="46" t="s">
        <v>42</v>
      </c>
      <c r="I389" s="46" t="s">
        <v>42</v>
      </c>
      <c r="J389" s="46" t="s">
        <v>46</v>
      </c>
      <c r="K389" s="46" t="s">
        <v>42</v>
      </c>
      <c r="L389" s="46" t="s">
        <v>37</v>
      </c>
      <c r="M389" s="46" t="s">
        <v>46</v>
      </c>
      <c r="N389" s="46" t="s">
        <v>42</v>
      </c>
      <c r="O389" s="46" t="s">
        <v>42</v>
      </c>
      <c r="P389" s="46" t="s">
        <v>153</v>
      </c>
      <c r="Q389" s="46" t="s">
        <v>46</v>
      </c>
      <c r="R389" s="46" t="s">
        <v>42</v>
      </c>
      <c r="S389" s="46" t="s">
        <v>42</v>
      </c>
      <c r="T389" s="46" t="s">
        <v>37</v>
      </c>
      <c r="U389" s="46" t="s">
        <v>42</v>
      </c>
      <c r="V389" s="46" t="s">
        <v>46</v>
      </c>
      <c r="W389" s="46" t="s">
        <v>46</v>
      </c>
      <c r="X389" s="46" t="s">
        <v>42</v>
      </c>
      <c r="Y389" s="46" t="s">
        <v>42</v>
      </c>
      <c r="Z389" s="46" t="s">
        <v>37</v>
      </c>
      <c r="AA389" s="46" t="s">
        <v>42</v>
      </c>
      <c r="AB389" s="46" t="s">
        <v>46</v>
      </c>
      <c r="AC389" s="46" t="s">
        <v>42</v>
      </c>
      <c r="AD389" s="46" t="s">
        <v>42</v>
      </c>
      <c r="AE389" s="46" t="s">
        <v>46</v>
      </c>
      <c r="AF389" s="46" t="s">
        <v>42</v>
      </c>
      <c r="AG389" s="46" t="s">
        <v>37</v>
      </c>
      <c r="AH389" s="46" t="s">
        <v>43</v>
      </c>
      <c r="AI389" s="46" t="s">
        <v>46</v>
      </c>
      <c r="AJ389" s="46">
        <f>=SUM(E390:AI390)</f>
      </c>
      <c r="AK389" s="46">
        <f>=+AY389</f>
      </c>
      <c r="AL389" s="46"/>
      <c r="AM389" s="1"/>
      <c r="AN389" s="1">
        <f>=COUNTIF(E389:AI389,"A")+COUNTIF(E389:AI389,"B")+COUNTIF(E389:AI389,"C")+COUNTIF(E389:AI389,"D")+COUNTIF(E389:AI389,"E")+COUNTIF(E389:AI389,"F")+COUNTIF(E389:AI389,"M")+COUNTIF(E389:AI389,"AB")+COUNTIF(E389:AI389,"UZ")+COUNTIF(E389:AI389,"G")+(COUNTIF(E389:AI389,"RT.")/2)+(COUNTIF(E389:AI389,"ÇRT.")/2)</f>
      </c>
      <c r="AO389" s="1">
        <f>=COUNTIF(E389:AI389,"O")</f>
      </c>
      <c r="AP389" s="1">
        <f>=COUNTIF(E389:AI389,"RT")+(COUNTIF(E389:AI389,"RT.")/2)</f>
      </c>
      <c r="AQ389" s="1">
        <f>=COUNTIF(E389:AI389,"ÇRT")+(COUNTIF(E389:AI389,"ÇRT.")/2)</f>
      </c>
      <c r="AR389" s="1">
        <f>=COUNTIF(E389:AI389,"ÇHT")</f>
      </c>
      <c r="AS389" s="1">
        <f>=COUNTIF(E389:AI389,"Ö")+COUNTIF(E389:AI389,"T")</f>
      </c>
      <c r="AT389" s="1">
        <f>=COUNTIF(E389:AI389,"Y")</f>
      </c>
      <c r="AU389" s="1">
        <f>=COUNTIF(E389:AI389,"R.")</f>
      </c>
      <c r="AV389" s="1">
        <f>=COUNTIF(E389:AI389,"Ü")</f>
      </c>
      <c r="AW389" s="1">
        <f>=COUNTIF(E389:AI389,"R")</f>
      </c>
      <c r="AX389" s="1">
        <f>=COUNTIF(E389:AI389,"DV")</f>
      </c>
      <c r="AY389" s="1">
        <f>=+AN389+AO389+AP389+AQ389+AR389+AS389+AT389+AU389</f>
      </c>
    </row>
    <row r="390" ht="16" customHeight="1" spans="1:51" x14ac:dyDescent="0.25">
      <c r="A390" s="45"/>
      <c r="B390" s="46"/>
      <c r="C390" s="46"/>
      <c r="D390" s="46" t="s">
        <v>33</v>
      </c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  <c r="AC390" s="46"/>
      <c r="AD390" s="46"/>
      <c r="AE390" s="46"/>
      <c r="AF390" s="46"/>
      <c r="AG390" s="46"/>
      <c r="AH390" s="46"/>
      <c r="AI390" s="46"/>
      <c r="AJ390" s="46"/>
      <c r="AK390" s="46"/>
      <c r="AL390" s="46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ht="16" customHeight="1" spans="1:51" x14ac:dyDescent="0.25">
      <c r="A391" s="45" t="s">
        <v>432</v>
      </c>
      <c r="B391" s="46" t="s">
        <v>433</v>
      </c>
      <c r="C391" s="46" t="s">
        <v>434</v>
      </c>
      <c r="D391" s="46" t="s">
        <v>29</v>
      </c>
      <c r="E391" s="46" t="s">
        <v>36</v>
      </c>
      <c r="F391" s="46" t="s">
        <v>36</v>
      </c>
      <c r="G391" s="46" t="s">
        <v>36</v>
      </c>
      <c r="H391" s="46" t="s">
        <v>37</v>
      </c>
      <c r="I391" s="46" t="s">
        <v>46</v>
      </c>
      <c r="J391" s="46" t="s">
        <v>36</v>
      </c>
      <c r="K391" s="46" t="s">
        <v>36</v>
      </c>
      <c r="L391" s="46" t="s">
        <v>36</v>
      </c>
      <c r="M391" s="46" t="s">
        <v>42</v>
      </c>
      <c r="N391" s="46" t="s">
        <v>41</v>
      </c>
      <c r="O391" s="46" t="s">
        <v>37</v>
      </c>
      <c r="P391" s="46" t="s">
        <v>46</v>
      </c>
      <c r="Q391" s="46" t="s">
        <v>41</v>
      </c>
      <c r="R391" s="46" t="s">
        <v>41</v>
      </c>
      <c r="S391" s="46" t="s">
        <v>41</v>
      </c>
      <c r="T391" s="46" t="s">
        <v>41</v>
      </c>
      <c r="U391" s="46" t="s">
        <v>337</v>
      </c>
      <c r="V391" s="46" t="s">
        <v>37</v>
      </c>
      <c r="W391" s="46" t="s">
        <v>46</v>
      </c>
      <c r="X391" s="46" t="s">
        <v>41</v>
      </c>
      <c r="Y391" s="46" t="s">
        <v>41</v>
      </c>
      <c r="Z391" s="46" t="s">
        <v>41</v>
      </c>
      <c r="AA391" s="46" t="s">
        <v>46</v>
      </c>
      <c r="AB391" s="46" t="s">
        <v>36</v>
      </c>
      <c r="AC391" s="46" t="s">
        <v>37</v>
      </c>
      <c r="AD391" s="46" t="s">
        <v>46</v>
      </c>
      <c r="AE391" s="46" t="s">
        <v>36</v>
      </c>
      <c r="AF391" s="46" t="s">
        <v>36</v>
      </c>
      <c r="AG391" s="46" t="s">
        <v>36</v>
      </c>
      <c r="AH391" s="46" t="s">
        <v>43</v>
      </c>
      <c r="AI391" s="46" t="s">
        <v>36</v>
      </c>
      <c r="AJ391" s="46">
        <f>=SUM(E392:AI392)</f>
      </c>
      <c r="AK391" s="46">
        <f>=+AY391</f>
      </c>
      <c r="AL391" s="46"/>
      <c r="AM391" s="1"/>
      <c r="AN391" s="1">
        <f>=COUNTIF(E391:AI391,"A")+COUNTIF(E391:AI391,"B")+COUNTIF(E391:AI391,"C")+COUNTIF(E391:AI391,"D")+COUNTIF(E391:AI391,"E")+COUNTIF(E391:AI391,"F")+COUNTIF(E391:AI391,"M")+COUNTIF(E391:AI391,"AB")+COUNTIF(E391:AI391,"UZ")+COUNTIF(E391:AI391,"G")+(COUNTIF(E391:AI391,"RT.")/2)+(COUNTIF(E391:AI391,"ÇRT.")/2)</f>
      </c>
      <c r="AO391" s="1">
        <f>=COUNTIF(E391:AI391,"O")</f>
      </c>
      <c r="AP391" s="1">
        <f>=COUNTIF(E391:AI391,"RT")+(COUNTIF(E391:AI391,"RT.")/2)</f>
      </c>
      <c r="AQ391" s="1">
        <f>=COUNTIF(E391:AI391,"ÇRT")+(COUNTIF(E391:AI391,"ÇRT.")/2)</f>
      </c>
      <c r="AR391" s="1">
        <f>=COUNTIF(E391:AI391,"ÇHT")</f>
      </c>
      <c r="AS391" s="1">
        <f>=COUNTIF(E391:AI391,"Ö")+COUNTIF(E391:AI391,"T")</f>
      </c>
      <c r="AT391" s="1">
        <f>=COUNTIF(E391:AI391,"Y")</f>
      </c>
      <c r="AU391" s="1">
        <f>=COUNTIF(E391:AI391,"R.")</f>
      </c>
      <c r="AV391" s="1">
        <f>=COUNTIF(E391:AI391,"Ü")</f>
      </c>
      <c r="AW391" s="1">
        <f>=COUNTIF(E391:AI391,"R")</f>
      </c>
      <c r="AX391" s="1">
        <f>=COUNTIF(E391:AI391,"DV")</f>
      </c>
      <c r="AY391" s="1">
        <f>=+AN391+AO391+AP391+AQ391+AR391+AS391+AT391+AU391</f>
      </c>
    </row>
    <row r="392" ht="16" customHeight="1" spans="1:51" x14ac:dyDescent="0.25">
      <c r="A392" s="45"/>
      <c r="B392" s="46"/>
      <c r="C392" s="46"/>
      <c r="D392" s="46" t="s">
        <v>33</v>
      </c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  <c r="AC392" s="46"/>
      <c r="AD392" s="46"/>
      <c r="AE392" s="46"/>
      <c r="AF392" s="46"/>
      <c r="AG392" s="46"/>
      <c r="AH392" s="46"/>
      <c r="AI392" s="46"/>
      <c r="AJ392" s="46"/>
      <c r="AK392" s="46"/>
      <c r="AL392" s="46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ht="16" customHeight="1" spans="1:51" x14ac:dyDescent="0.25">
      <c r="A393" s="45"/>
      <c r="B393" s="46" t="s">
        <v>435</v>
      </c>
      <c r="C393" s="46" t="s">
        <v>436</v>
      </c>
      <c r="D393" s="46" t="s">
        <v>29</v>
      </c>
      <c r="E393" s="46" t="s">
        <v>337</v>
      </c>
      <c r="F393" s="46" t="s">
        <v>37</v>
      </c>
      <c r="G393" s="46" t="s">
        <v>42</v>
      </c>
      <c r="H393" s="46" t="s">
        <v>42</v>
      </c>
      <c r="I393" s="46" t="s">
        <v>42</v>
      </c>
      <c r="J393" s="46" t="s">
        <v>42</v>
      </c>
      <c r="K393" s="46" t="s">
        <v>42</v>
      </c>
      <c r="L393" s="46" t="s">
        <v>42</v>
      </c>
      <c r="M393" s="46" t="s">
        <v>37</v>
      </c>
      <c r="N393" s="46" t="s">
        <v>42</v>
      </c>
      <c r="O393" s="46" t="s">
        <v>42</v>
      </c>
      <c r="P393" s="46" t="s">
        <v>42</v>
      </c>
      <c r="Q393" s="46" t="s">
        <v>42</v>
      </c>
      <c r="R393" s="46" t="s">
        <v>42</v>
      </c>
      <c r="S393" s="46" t="s">
        <v>42</v>
      </c>
      <c r="T393" s="46" t="s">
        <v>37</v>
      </c>
      <c r="U393" s="46" t="s">
        <v>42</v>
      </c>
      <c r="V393" s="46" t="s">
        <v>42</v>
      </c>
      <c r="W393" s="46" t="s">
        <v>42</v>
      </c>
      <c r="X393" s="46" t="s">
        <v>42</v>
      </c>
      <c r="Y393" s="46" t="s">
        <v>153</v>
      </c>
      <c r="Z393" s="46" t="s">
        <v>337</v>
      </c>
      <c r="AA393" s="46" t="s">
        <v>37</v>
      </c>
      <c r="AB393" s="46" t="s">
        <v>42</v>
      </c>
      <c r="AC393" s="46" t="s">
        <v>42</v>
      </c>
      <c r="AD393" s="46" t="s">
        <v>42</v>
      </c>
      <c r="AE393" s="46" t="s">
        <v>42</v>
      </c>
      <c r="AF393" s="46" t="s">
        <v>42</v>
      </c>
      <c r="AG393" s="46" t="s">
        <v>42</v>
      </c>
      <c r="AH393" s="46" t="s">
        <v>37</v>
      </c>
      <c r="AI393" s="46" t="s">
        <v>42</v>
      </c>
      <c r="AJ393" s="46">
        <f>=SUM(E394:AI394)</f>
      </c>
      <c r="AK393" s="46">
        <f>=+AY393</f>
      </c>
      <c r="AL393" s="46"/>
      <c r="AM393" s="1"/>
      <c r="AN393" s="1">
        <f>=COUNTIF(E393:AI393,"A")+COUNTIF(E393:AI393,"B")+COUNTIF(E393:AI393,"C")+COUNTIF(E393:AI393,"D")+COUNTIF(E393:AI393,"E")+COUNTIF(E393:AI393,"F")+COUNTIF(E393:AI393,"M")+COUNTIF(E393:AI393,"AB")+COUNTIF(E393:AI393,"UZ")+COUNTIF(E393:AI393,"G")+(COUNTIF(E393:AI393,"RT.")/2)+(COUNTIF(E393:AI393,"ÇRT.")/2)</f>
      </c>
      <c r="AO393" s="1">
        <f>=COUNTIF(E393:AI393,"O")</f>
      </c>
      <c r="AP393" s="1">
        <f>=COUNTIF(E393:AI393,"RT")+(COUNTIF(E393:AI393,"RT.")/2)</f>
      </c>
      <c r="AQ393" s="1">
        <f>=COUNTIF(E393:AI393,"ÇRT")+(COUNTIF(E393:AI393,"ÇRT.")/2)</f>
      </c>
      <c r="AR393" s="1">
        <f>=COUNTIF(E393:AI393,"ÇHT")</f>
      </c>
      <c r="AS393" s="1">
        <f>=COUNTIF(E393:AI393,"Ö")+COUNTIF(E393:AI393,"T")</f>
      </c>
      <c r="AT393" s="1">
        <f>=COUNTIF(E393:AI393,"Y")</f>
      </c>
      <c r="AU393" s="1">
        <f>=COUNTIF(E393:AI393,"R.")</f>
      </c>
      <c r="AV393" s="1">
        <f>=COUNTIF(E393:AI393,"Ü")</f>
      </c>
      <c r="AW393" s="1">
        <f>=COUNTIF(E393:AI393,"R")</f>
      </c>
      <c r="AX393" s="1">
        <f>=COUNTIF(E393:AI393,"DV")</f>
      </c>
      <c r="AY393" s="1">
        <f>=+AN393+AO393+AP393+AQ393+AR393+AS393+AT393+AU393</f>
      </c>
    </row>
    <row r="394" ht="16" customHeight="1" spans="1:51" x14ac:dyDescent="0.25">
      <c r="A394" s="45"/>
      <c r="B394" s="46"/>
      <c r="C394" s="46"/>
      <c r="D394" s="46" t="s">
        <v>33</v>
      </c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  <c r="AC394" s="46"/>
      <c r="AD394" s="46"/>
      <c r="AE394" s="46"/>
      <c r="AF394" s="46"/>
      <c r="AG394" s="46"/>
      <c r="AH394" s="46"/>
      <c r="AI394" s="46"/>
      <c r="AJ394" s="46"/>
      <c r="AK394" s="46"/>
      <c r="AL394" s="46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ht="16" customHeight="1" spans="1:51" x14ac:dyDescent="0.25">
      <c r="A395" s="45"/>
      <c r="B395" s="46" t="s">
        <v>437</v>
      </c>
      <c r="C395" s="46" t="s">
        <v>438</v>
      </c>
      <c r="D395" s="46" t="s">
        <v>29</v>
      </c>
      <c r="E395" s="46" t="s">
        <v>42</v>
      </c>
      <c r="F395" s="46" t="s">
        <v>37</v>
      </c>
      <c r="G395" s="46" t="s">
        <v>42</v>
      </c>
      <c r="H395" s="46" t="s">
        <v>42</v>
      </c>
      <c r="I395" s="46" t="s">
        <v>42</v>
      </c>
      <c r="J395" s="46" t="s">
        <v>153</v>
      </c>
      <c r="K395" s="46" t="s">
        <v>42</v>
      </c>
      <c r="L395" s="46" t="s">
        <v>42</v>
      </c>
      <c r="M395" s="46" t="s">
        <v>37</v>
      </c>
      <c r="N395" s="46" t="s">
        <v>42</v>
      </c>
      <c r="O395" s="46" t="s">
        <v>42</v>
      </c>
      <c r="P395" s="46" t="s">
        <v>42</v>
      </c>
      <c r="Q395" s="46" t="s">
        <v>42</v>
      </c>
      <c r="R395" s="46" t="s">
        <v>42</v>
      </c>
      <c r="S395" s="46" t="s">
        <v>42</v>
      </c>
      <c r="T395" s="46" t="s">
        <v>37</v>
      </c>
      <c r="U395" s="46" t="s">
        <v>42</v>
      </c>
      <c r="V395" s="46" t="s">
        <v>42</v>
      </c>
      <c r="W395" s="46" t="s">
        <v>42</v>
      </c>
      <c r="X395" s="46" t="s">
        <v>42</v>
      </c>
      <c r="Y395" s="46" t="s">
        <v>42</v>
      </c>
      <c r="Z395" s="46" t="s">
        <v>42</v>
      </c>
      <c r="AA395" s="46" t="s">
        <v>37</v>
      </c>
      <c r="AB395" s="46" t="s">
        <v>42</v>
      </c>
      <c r="AC395" s="46" t="s">
        <v>42</v>
      </c>
      <c r="AD395" s="46" t="s">
        <v>42</v>
      </c>
      <c r="AE395" s="46" t="s">
        <v>42</v>
      </c>
      <c r="AF395" s="46" t="s">
        <v>42</v>
      </c>
      <c r="AG395" s="46" t="s">
        <v>42</v>
      </c>
      <c r="AH395" s="46" t="s">
        <v>37</v>
      </c>
      <c r="AI395" s="46" t="s">
        <v>42</v>
      </c>
      <c r="AJ395" s="46">
        <f>=SUM(E396:AI396)</f>
      </c>
      <c r="AK395" s="46">
        <f>=+AY395</f>
      </c>
      <c r="AL395" s="46"/>
      <c r="AM395" s="1"/>
      <c r="AN395" s="1">
        <f>=COUNTIF(E395:AI395,"A")+COUNTIF(E395:AI395,"B")+COUNTIF(E395:AI395,"C")+COUNTIF(E395:AI395,"D")+COUNTIF(E395:AI395,"E")+COUNTIF(E395:AI395,"F")+COUNTIF(E395:AI395,"M")+COUNTIF(E395:AI395,"AB")+COUNTIF(E395:AI395,"UZ")+COUNTIF(E395:AI395,"G")+(COUNTIF(E395:AI395,"RT.")/2)+(COUNTIF(E395:AI395,"ÇRT.")/2)</f>
      </c>
      <c r="AO395" s="1">
        <f>=COUNTIF(E395:AI395,"O")</f>
      </c>
      <c r="AP395" s="1">
        <f>=COUNTIF(E395:AI395,"RT")+(COUNTIF(E395:AI395,"RT.")/2)</f>
      </c>
      <c r="AQ395" s="1">
        <f>=COUNTIF(E395:AI395,"ÇRT")+(COUNTIF(E395:AI395,"ÇRT.")/2)</f>
      </c>
      <c r="AR395" s="1">
        <f>=COUNTIF(E395:AI395,"ÇHT")</f>
      </c>
      <c r="AS395" s="1">
        <f>=COUNTIF(E395:AI395,"Ö")+COUNTIF(E395:AI395,"T")</f>
      </c>
      <c r="AT395" s="1">
        <f>=COUNTIF(E395:AI395,"Y")</f>
      </c>
      <c r="AU395" s="1">
        <f>=COUNTIF(E395:AI395,"R.")</f>
      </c>
      <c r="AV395" s="1">
        <f>=COUNTIF(E395:AI395,"Ü")</f>
      </c>
      <c r="AW395" s="1">
        <f>=COUNTIF(E395:AI395,"R")</f>
      </c>
      <c r="AX395" s="1">
        <f>=COUNTIF(E395:AI395,"DV")</f>
      </c>
      <c r="AY395" s="1">
        <f>=+AN395+AO395+AP395+AQ395+AR395+AS395+AT395+AU395</f>
      </c>
    </row>
    <row r="396" ht="16" customHeight="1" spans="1:51" x14ac:dyDescent="0.25">
      <c r="A396" s="45"/>
      <c r="B396" s="46"/>
      <c r="C396" s="46"/>
      <c r="D396" s="46" t="s">
        <v>33</v>
      </c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  <c r="AC396" s="46"/>
      <c r="AD396" s="46"/>
      <c r="AE396" s="46"/>
      <c r="AF396" s="46"/>
      <c r="AG396" s="46"/>
      <c r="AH396" s="46"/>
      <c r="AI396" s="46"/>
      <c r="AJ396" s="46"/>
      <c r="AK396" s="46"/>
      <c r="AL396" s="46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ht="16" customHeight="1" spans="1:51" x14ac:dyDescent="0.25">
      <c r="A397" s="45"/>
      <c r="B397" s="46" t="s">
        <v>439</v>
      </c>
      <c r="C397" s="46" t="s">
        <v>440</v>
      </c>
      <c r="D397" s="46" t="s">
        <v>29</v>
      </c>
      <c r="E397" s="46" t="s">
        <v>41</v>
      </c>
      <c r="F397" s="46" t="s">
        <v>41</v>
      </c>
      <c r="G397" s="46" t="s">
        <v>41</v>
      </c>
      <c r="H397" s="46" t="s">
        <v>46</v>
      </c>
      <c r="I397" s="46" t="s">
        <v>37</v>
      </c>
      <c r="J397" s="46" t="s">
        <v>41</v>
      </c>
      <c r="K397" s="46" t="s">
        <v>41</v>
      </c>
      <c r="L397" s="46" t="s">
        <v>42</v>
      </c>
      <c r="M397" s="46" t="s">
        <v>46</v>
      </c>
      <c r="N397" s="46" t="s">
        <v>36</v>
      </c>
      <c r="O397" s="46" t="s">
        <v>46</v>
      </c>
      <c r="P397" s="46" t="s">
        <v>37</v>
      </c>
      <c r="Q397" s="46" t="s">
        <v>36</v>
      </c>
      <c r="R397" s="46" t="s">
        <v>36</v>
      </c>
      <c r="S397" s="46" t="s">
        <v>36</v>
      </c>
      <c r="T397" s="46" t="s">
        <v>36</v>
      </c>
      <c r="U397" s="46" t="s">
        <v>36</v>
      </c>
      <c r="V397" s="46" t="s">
        <v>36</v>
      </c>
      <c r="W397" s="46" t="s">
        <v>37</v>
      </c>
      <c r="X397" s="46" t="s">
        <v>36</v>
      </c>
      <c r="Y397" s="46" t="s">
        <v>36</v>
      </c>
      <c r="Z397" s="46" t="s">
        <v>36</v>
      </c>
      <c r="AA397" s="46" t="s">
        <v>36</v>
      </c>
      <c r="AB397" s="46" t="s">
        <v>41</v>
      </c>
      <c r="AC397" s="46" t="s">
        <v>46</v>
      </c>
      <c r="AD397" s="46" t="s">
        <v>37</v>
      </c>
      <c r="AE397" s="46" t="s">
        <v>41</v>
      </c>
      <c r="AF397" s="46" t="s">
        <v>41</v>
      </c>
      <c r="AG397" s="46" t="s">
        <v>41</v>
      </c>
      <c r="AH397" s="46" t="s">
        <v>43</v>
      </c>
      <c r="AI397" s="46" t="s">
        <v>41</v>
      </c>
      <c r="AJ397" s="46">
        <f>=SUM(E398:AI398)</f>
      </c>
      <c r="AK397" s="46">
        <f>=+AY397</f>
      </c>
      <c r="AL397" s="46"/>
      <c r="AM397" s="1"/>
      <c r="AN397" s="1">
        <f>=COUNTIF(E397:AI397,"A")+COUNTIF(E397:AI397,"B")+COUNTIF(E397:AI397,"C")+COUNTIF(E397:AI397,"D")+COUNTIF(E397:AI397,"E")+COUNTIF(E397:AI397,"F")+COUNTIF(E397:AI397,"M")+COUNTIF(E397:AI397,"AB")+COUNTIF(E397:AI397,"UZ")+COUNTIF(E397:AI397,"G")+(COUNTIF(E397:AI397,"RT.")/2)+(COUNTIF(E397:AI397,"ÇRT.")/2)</f>
      </c>
      <c r="AO397" s="1">
        <f>=COUNTIF(E397:AI397,"O")</f>
      </c>
      <c r="AP397" s="1">
        <f>=COUNTIF(E397:AI397,"RT")+(COUNTIF(E397:AI397,"RT.")/2)</f>
      </c>
      <c r="AQ397" s="1">
        <f>=COUNTIF(E397:AI397,"ÇRT")+(COUNTIF(E397:AI397,"ÇRT.")/2)</f>
      </c>
      <c r="AR397" s="1">
        <f>=COUNTIF(E397:AI397,"ÇHT")</f>
      </c>
      <c r="AS397" s="1">
        <f>=COUNTIF(E397:AI397,"Ö")+COUNTIF(E397:AI397,"T")</f>
      </c>
      <c r="AT397" s="1">
        <f>=COUNTIF(E397:AI397,"Y")</f>
      </c>
      <c r="AU397" s="1">
        <f>=COUNTIF(E397:AI397,"R.")</f>
      </c>
      <c r="AV397" s="1">
        <f>=COUNTIF(E397:AI397,"Ü")</f>
      </c>
      <c r="AW397" s="1">
        <f>=COUNTIF(E397:AI397,"R")</f>
      </c>
      <c r="AX397" s="1">
        <f>=COUNTIF(E397:AI397,"DV")</f>
      </c>
      <c r="AY397" s="1">
        <f>=+AN397+AO397+AP397+AQ397+AR397+AS397+AT397+AU397</f>
      </c>
    </row>
    <row r="398" ht="16" customHeight="1" spans="1:51" x14ac:dyDescent="0.25">
      <c r="A398" s="45"/>
      <c r="B398" s="46"/>
      <c r="C398" s="46"/>
      <c r="D398" s="46" t="s">
        <v>33</v>
      </c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  <c r="AC398" s="46"/>
      <c r="AD398" s="46"/>
      <c r="AE398" s="46"/>
      <c r="AF398" s="46"/>
      <c r="AG398" s="46"/>
      <c r="AH398" s="46"/>
      <c r="AI398" s="46"/>
      <c r="AJ398" s="46"/>
      <c r="AK398" s="46"/>
      <c r="AL398" s="46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ht="16" customHeight="1" spans="1:51" x14ac:dyDescent="0.25">
      <c r="A399" s="45" t="s">
        <v>441</v>
      </c>
      <c r="B399" s="46" t="s">
        <v>442</v>
      </c>
      <c r="C399" s="46" t="s">
        <v>443</v>
      </c>
      <c r="D399" s="46" t="s">
        <v>29</v>
      </c>
      <c r="E399" s="46" t="s">
        <v>42</v>
      </c>
      <c r="F399" s="46" t="s">
        <v>37</v>
      </c>
      <c r="G399" s="46" t="s">
        <v>42</v>
      </c>
      <c r="H399" s="46" t="s">
        <v>42</v>
      </c>
      <c r="I399" s="46" t="s">
        <v>42</v>
      </c>
      <c r="J399" s="46" t="s">
        <v>42</v>
      </c>
      <c r="K399" s="46" t="s">
        <v>42</v>
      </c>
      <c r="L399" s="46" t="s">
        <v>42</v>
      </c>
      <c r="M399" s="46" t="s">
        <v>37</v>
      </c>
      <c r="N399" s="46" t="s">
        <v>42</v>
      </c>
      <c r="O399" s="46" t="s">
        <v>42</v>
      </c>
      <c r="P399" s="46" t="s">
        <v>337</v>
      </c>
      <c r="Q399" s="46" t="s">
        <v>337</v>
      </c>
      <c r="R399" s="46" t="s">
        <v>337</v>
      </c>
      <c r="S399" s="46" t="s">
        <v>337</v>
      </c>
      <c r="T399" s="46" t="s">
        <v>37</v>
      </c>
      <c r="U399" s="46" t="s">
        <v>42</v>
      </c>
      <c r="V399" s="46" t="s">
        <v>42</v>
      </c>
      <c r="W399" s="46" t="s">
        <v>42</v>
      </c>
      <c r="X399" s="46" t="s">
        <v>42</v>
      </c>
      <c r="Y399" s="46" t="s">
        <v>42</v>
      </c>
      <c r="Z399" s="46" t="s">
        <v>42</v>
      </c>
      <c r="AA399" s="46" t="s">
        <v>37</v>
      </c>
      <c r="AB399" s="46" t="s">
        <v>42</v>
      </c>
      <c r="AC399" s="46" t="s">
        <v>42</v>
      </c>
      <c r="AD399" s="46" t="s">
        <v>42</v>
      </c>
      <c r="AE399" s="46" t="s">
        <v>42</v>
      </c>
      <c r="AF399" s="46" t="s">
        <v>42</v>
      </c>
      <c r="AG399" s="46" t="s">
        <v>42</v>
      </c>
      <c r="AH399" s="46" t="s">
        <v>37</v>
      </c>
      <c r="AI399" s="46" t="s">
        <v>42</v>
      </c>
      <c r="AJ399" s="46">
        <f>=SUM(E400:AI400)</f>
      </c>
      <c r="AK399" s="46">
        <f>=+AY399</f>
      </c>
      <c r="AL399" s="46"/>
      <c r="AM399" s="1"/>
      <c r="AN399" s="1">
        <f>=COUNTIF(E399:AI399,"A")+COUNTIF(E399:AI399,"B")+COUNTIF(E399:AI399,"C")+COUNTIF(E399:AI399,"D")+COUNTIF(E399:AI399,"E")+COUNTIF(E399:AI399,"F")+COUNTIF(E399:AI399,"M")+COUNTIF(E399:AI399,"AB")+COUNTIF(E399:AI399,"UZ")+COUNTIF(E399:AI399,"G")+(COUNTIF(E399:AI399,"RT.")/2)+(COUNTIF(E399:AI399,"ÇRT.")/2)</f>
      </c>
      <c r="AO399" s="1">
        <f>=COUNTIF(E399:AI399,"O")</f>
      </c>
      <c r="AP399" s="1">
        <f>=COUNTIF(E399:AI399,"RT")+(COUNTIF(E399:AI399,"RT.")/2)</f>
      </c>
      <c r="AQ399" s="1">
        <f>=COUNTIF(E399:AI399,"ÇRT")+(COUNTIF(E399:AI399,"ÇRT.")/2)</f>
      </c>
      <c r="AR399" s="1">
        <f>=COUNTIF(E399:AI399,"ÇHT")</f>
      </c>
      <c r="AS399" s="1">
        <f>=COUNTIF(E399:AI399,"Ö")+COUNTIF(E399:AI399,"T")</f>
      </c>
      <c r="AT399" s="1">
        <f>=COUNTIF(E399:AI399,"Y")</f>
      </c>
      <c r="AU399" s="1">
        <f>=COUNTIF(E399:AI399,"R.")</f>
      </c>
      <c r="AV399" s="1">
        <f>=COUNTIF(E399:AI399,"Ü")</f>
      </c>
      <c r="AW399" s="1">
        <f>=COUNTIF(E399:AI399,"R")</f>
      </c>
      <c r="AX399" s="1">
        <f>=COUNTIF(E399:AI399,"DV")</f>
      </c>
      <c r="AY399" s="1">
        <f>=+AN399+AO399+AP399+AQ399+AR399+AS399+AT399+AU399</f>
      </c>
    </row>
    <row r="400" ht="16" customHeight="1" spans="1:51" x14ac:dyDescent="0.25">
      <c r="A400" s="45"/>
      <c r="B400" s="46"/>
      <c r="C400" s="46"/>
      <c r="D400" s="46" t="s">
        <v>33</v>
      </c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  <c r="AC400" s="46"/>
      <c r="AD400" s="46"/>
      <c r="AE400" s="46"/>
      <c r="AF400" s="46"/>
      <c r="AG400" s="46"/>
      <c r="AH400" s="46"/>
      <c r="AI400" s="46"/>
      <c r="AJ400" s="46"/>
      <c r="AK400" s="46"/>
      <c r="AL400" s="46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ht="16" customHeight="1" spans="1:51" x14ac:dyDescent="0.25">
      <c r="A401" s="45"/>
      <c r="B401" s="46" t="s">
        <v>444</v>
      </c>
      <c r="C401" s="46" t="s">
        <v>445</v>
      </c>
      <c r="D401" s="46" t="s">
        <v>29</v>
      </c>
      <c r="E401" s="46" t="s">
        <v>446</v>
      </c>
      <c r="F401" s="46" t="s">
        <v>37</v>
      </c>
      <c r="G401" s="46" t="s">
        <v>446</v>
      </c>
      <c r="H401" s="46" t="s">
        <v>446</v>
      </c>
      <c r="I401" s="46" t="s">
        <v>446</v>
      </c>
      <c r="J401" s="46" t="s">
        <v>446</v>
      </c>
      <c r="K401" s="46" t="s">
        <v>446</v>
      </c>
      <c r="L401" s="46" t="s">
        <v>446</v>
      </c>
      <c r="M401" s="46" t="s">
        <v>37</v>
      </c>
      <c r="N401" s="46" t="s">
        <v>446</v>
      </c>
      <c r="O401" s="46" t="s">
        <v>446</v>
      </c>
      <c r="P401" s="46" t="s">
        <v>446</v>
      </c>
      <c r="Q401" s="46" t="s">
        <v>446</v>
      </c>
      <c r="R401" s="46" t="s">
        <v>446</v>
      </c>
      <c r="S401" s="46" t="s">
        <v>446</v>
      </c>
      <c r="T401" s="46" t="s">
        <v>37</v>
      </c>
      <c r="U401" s="46" t="s">
        <v>446</v>
      </c>
      <c r="V401" s="46" t="s">
        <v>446</v>
      </c>
      <c r="W401" s="46" t="s">
        <v>446</v>
      </c>
      <c r="X401" s="46" t="s">
        <v>446</v>
      </c>
      <c r="Y401" s="46" t="s">
        <v>446</v>
      </c>
      <c r="Z401" s="46" t="s">
        <v>446</v>
      </c>
      <c r="AA401" s="46" t="s">
        <v>37</v>
      </c>
      <c r="AB401" s="46" t="s">
        <v>446</v>
      </c>
      <c r="AC401" s="46" t="s">
        <v>446</v>
      </c>
      <c r="AD401" s="46" t="s">
        <v>446</v>
      </c>
      <c r="AE401" s="46" t="s">
        <v>446</v>
      </c>
      <c r="AF401" s="46" t="s">
        <v>446</v>
      </c>
      <c r="AG401" s="46" t="s">
        <v>446</v>
      </c>
      <c r="AH401" s="46" t="s">
        <v>37</v>
      </c>
      <c r="AI401" s="46" t="s">
        <v>446</v>
      </c>
      <c r="AJ401" s="46">
        <f>=SUM(E402:AI402)</f>
      </c>
      <c r="AK401" s="46">
        <f>=+AY401</f>
      </c>
      <c r="AL401" s="46"/>
      <c r="AM401" s="1"/>
      <c r="AN401" s="1">
        <f>=COUNTIF(E401:AI401,"A")+COUNTIF(E401:AI401,"B")+COUNTIF(E401:AI401,"C")+COUNTIF(E401:AI401,"D")+COUNTIF(E401:AI401,"E")+COUNTIF(E401:AI401,"F")+COUNTIF(E401:AI401,"M")+COUNTIF(E401:AI401,"AB")+COUNTIF(E401:AI401,"UZ")+COUNTIF(E401:AI401,"G")+(COUNTIF(E401:AI401,"RT.")/2)+(COUNTIF(E401:AI401,"ÇRT.")/2)</f>
      </c>
      <c r="AO401" s="1">
        <f>=COUNTIF(E401:AI401,"O")</f>
      </c>
      <c r="AP401" s="1">
        <f>=COUNTIF(E401:AI401,"RT")+(COUNTIF(E401:AI401,"RT.")/2)</f>
      </c>
      <c r="AQ401" s="1">
        <f>=COUNTIF(E401:AI401,"ÇRT")+(COUNTIF(E401:AI401,"ÇRT.")/2)</f>
      </c>
      <c r="AR401" s="1">
        <f>=COUNTIF(E401:AI401,"ÇHT")</f>
      </c>
      <c r="AS401" s="1">
        <f>=COUNTIF(E401:AI401,"Ö")+COUNTIF(E401:AI401,"T")</f>
      </c>
      <c r="AT401" s="1">
        <f>=COUNTIF(E401:AI401,"Y")</f>
      </c>
      <c r="AU401" s="1">
        <f>=COUNTIF(E401:AI401,"R.")</f>
      </c>
      <c r="AV401" s="1">
        <f>=COUNTIF(E401:AI401,"Ü")</f>
      </c>
      <c r="AW401" s="1">
        <f>=COUNTIF(E401:AI401,"R")</f>
      </c>
      <c r="AX401" s="1">
        <f>=COUNTIF(E401:AI401,"DV")</f>
      </c>
      <c r="AY401" s="1">
        <f>=+AN401+AO401+AP401+AQ401+AR401+AS401+AT401+AU401</f>
      </c>
    </row>
    <row r="402" ht="16" customHeight="1" spans="1:51" x14ac:dyDescent="0.25">
      <c r="A402" s="45"/>
      <c r="B402" s="46"/>
      <c r="C402" s="46"/>
      <c r="D402" s="46" t="s">
        <v>33</v>
      </c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  <c r="AC402" s="46"/>
      <c r="AD402" s="46"/>
      <c r="AE402" s="46"/>
      <c r="AF402" s="46"/>
      <c r="AG402" s="46"/>
      <c r="AH402" s="46"/>
      <c r="AI402" s="46"/>
      <c r="AJ402" s="46"/>
      <c r="AK402" s="46"/>
      <c r="AL402" s="46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ht="16" customHeight="1" spans="1:51" x14ac:dyDescent="0.25">
      <c r="A403" s="45"/>
      <c r="B403" s="46" t="s">
        <v>447</v>
      </c>
      <c r="C403" s="46" t="s">
        <v>448</v>
      </c>
      <c r="D403" s="46" t="s">
        <v>29</v>
      </c>
      <c r="E403" s="46" t="s">
        <v>42</v>
      </c>
      <c r="F403" s="46" t="s">
        <v>37</v>
      </c>
      <c r="G403" s="46" t="s">
        <v>42</v>
      </c>
      <c r="H403" s="46" t="s">
        <v>42</v>
      </c>
      <c r="I403" s="46" t="s">
        <v>42</v>
      </c>
      <c r="J403" s="46" t="s">
        <v>42</v>
      </c>
      <c r="K403" s="46" t="s">
        <v>42</v>
      </c>
      <c r="L403" s="46" t="s">
        <v>42</v>
      </c>
      <c r="M403" s="46" t="s">
        <v>37</v>
      </c>
      <c r="N403" s="46" t="s">
        <v>42</v>
      </c>
      <c r="O403" s="46" t="s">
        <v>42</v>
      </c>
      <c r="P403" s="46" t="s">
        <v>42</v>
      </c>
      <c r="Q403" s="46" t="s">
        <v>42</v>
      </c>
      <c r="R403" s="46" t="s">
        <v>42</v>
      </c>
      <c r="S403" s="46" t="s">
        <v>42</v>
      </c>
      <c r="T403" s="46" t="s">
        <v>37</v>
      </c>
      <c r="U403" s="46" t="s">
        <v>42</v>
      </c>
      <c r="V403" s="46" t="s">
        <v>42</v>
      </c>
      <c r="W403" s="46" t="s">
        <v>42</v>
      </c>
      <c r="X403" s="46" t="s">
        <v>42</v>
      </c>
      <c r="Y403" s="46" t="s">
        <v>153</v>
      </c>
      <c r="Z403" s="46" t="s">
        <v>42</v>
      </c>
      <c r="AA403" s="46" t="s">
        <v>37</v>
      </c>
      <c r="AB403" s="46" t="s">
        <v>42</v>
      </c>
      <c r="AC403" s="46" t="s">
        <v>42</v>
      </c>
      <c r="AD403" s="46" t="s">
        <v>42</v>
      </c>
      <c r="AE403" s="46" t="s">
        <v>42</v>
      </c>
      <c r="AF403" s="46" t="s">
        <v>42</v>
      </c>
      <c r="AG403" s="46" t="s">
        <v>42</v>
      </c>
      <c r="AH403" s="46" t="s">
        <v>37</v>
      </c>
      <c r="AI403" s="46" t="s">
        <v>42</v>
      </c>
      <c r="AJ403" s="46">
        <f>=SUM(E404:AI404)</f>
      </c>
      <c r="AK403" s="46">
        <f>=+AY403</f>
      </c>
      <c r="AL403" s="46"/>
      <c r="AM403" s="1"/>
      <c r="AN403" s="1">
        <f>=COUNTIF(E403:AI403,"A")+COUNTIF(E403:AI403,"B")+COUNTIF(E403:AI403,"C")+COUNTIF(E403:AI403,"D")+COUNTIF(E403:AI403,"E")+COUNTIF(E403:AI403,"F")+COUNTIF(E403:AI403,"M")+COUNTIF(E403:AI403,"AB")+COUNTIF(E403:AI403,"UZ")+COUNTIF(E403:AI403,"G")+(COUNTIF(E403:AI403,"RT.")/2)+(COUNTIF(E403:AI403,"ÇRT.")/2)</f>
      </c>
      <c r="AO403" s="1">
        <f>=COUNTIF(E403:AI403,"O")</f>
      </c>
      <c r="AP403" s="1">
        <f>=COUNTIF(E403:AI403,"RT")+(COUNTIF(E403:AI403,"RT.")/2)</f>
      </c>
      <c r="AQ403" s="1">
        <f>=COUNTIF(E403:AI403,"ÇRT")+(COUNTIF(E403:AI403,"ÇRT.")/2)</f>
      </c>
      <c r="AR403" s="1">
        <f>=COUNTIF(E403:AI403,"ÇHT")</f>
      </c>
      <c r="AS403" s="1">
        <f>=COUNTIF(E403:AI403,"Ö")+COUNTIF(E403:AI403,"T")</f>
      </c>
      <c r="AT403" s="1">
        <f>=COUNTIF(E403:AI403,"Y")</f>
      </c>
      <c r="AU403" s="1">
        <f>=COUNTIF(E403:AI403,"R.")</f>
      </c>
      <c r="AV403" s="1">
        <f>=COUNTIF(E403:AI403,"Ü")</f>
      </c>
      <c r="AW403" s="1">
        <f>=COUNTIF(E403:AI403,"R")</f>
      </c>
      <c r="AX403" s="1">
        <f>=COUNTIF(E403:AI403,"DV")</f>
      </c>
      <c r="AY403" s="1">
        <f>=+AN403+AO403+AP403+AQ403+AR403+AS403+AT403+AU403</f>
      </c>
    </row>
    <row r="404" ht="16" customHeight="1" spans="1:51" x14ac:dyDescent="0.25">
      <c r="A404" s="45"/>
      <c r="B404" s="46"/>
      <c r="C404" s="46"/>
      <c r="D404" s="46" t="s">
        <v>33</v>
      </c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  <c r="AC404" s="46"/>
      <c r="AD404" s="46"/>
      <c r="AE404" s="46"/>
      <c r="AF404" s="46"/>
      <c r="AG404" s="46"/>
      <c r="AH404" s="46"/>
      <c r="AI404" s="46"/>
      <c r="AJ404" s="46"/>
      <c r="AK404" s="46"/>
      <c r="AL404" s="46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ht="16" customHeight="1" spans="1:51" x14ac:dyDescent="0.25">
      <c r="A405" s="45"/>
      <c r="B405" s="46" t="s">
        <v>449</v>
      </c>
      <c r="C405" s="46" t="s">
        <v>450</v>
      </c>
      <c r="D405" s="46" t="s">
        <v>29</v>
      </c>
      <c r="E405" s="46" t="s">
        <v>153</v>
      </c>
      <c r="F405" s="46" t="s">
        <v>37</v>
      </c>
      <c r="G405" s="46" t="s">
        <v>36</v>
      </c>
      <c r="H405" s="46" t="s">
        <v>36</v>
      </c>
      <c r="I405" s="46" t="s">
        <v>36</v>
      </c>
      <c r="J405" s="46" t="s">
        <v>36</v>
      </c>
      <c r="K405" s="46" t="s">
        <v>36</v>
      </c>
      <c r="L405" s="46" t="s">
        <v>36</v>
      </c>
      <c r="M405" s="46" t="s">
        <v>37</v>
      </c>
      <c r="N405" s="46" t="s">
        <v>36</v>
      </c>
      <c r="O405" s="46" t="s">
        <v>36</v>
      </c>
      <c r="P405" s="46" t="s">
        <v>36</v>
      </c>
      <c r="Q405" s="46" t="s">
        <v>36</v>
      </c>
      <c r="R405" s="46" t="s">
        <v>36</v>
      </c>
      <c r="S405" s="46" t="s">
        <v>36</v>
      </c>
      <c r="T405" s="46" t="s">
        <v>37</v>
      </c>
      <c r="U405" s="46" t="s">
        <v>36</v>
      </c>
      <c r="V405" s="46" t="s">
        <v>36</v>
      </c>
      <c r="W405" s="46" t="s">
        <v>36</v>
      </c>
      <c r="X405" s="46" t="s">
        <v>36</v>
      </c>
      <c r="Y405" s="46" t="s">
        <v>36</v>
      </c>
      <c r="Z405" s="46" t="s">
        <v>36</v>
      </c>
      <c r="AA405" s="46" t="s">
        <v>37</v>
      </c>
      <c r="AB405" s="46" t="s">
        <v>36</v>
      </c>
      <c r="AC405" s="46" t="s">
        <v>337</v>
      </c>
      <c r="AD405" s="46" t="s">
        <v>337</v>
      </c>
      <c r="AE405" s="46" t="s">
        <v>337</v>
      </c>
      <c r="AF405" s="46" t="s">
        <v>98</v>
      </c>
      <c r="AG405" s="46" t="s">
        <v>98</v>
      </c>
      <c r="AH405" s="46" t="s">
        <v>37</v>
      </c>
      <c r="AI405" s="46" t="s">
        <v>98</v>
      </c>
      <c r="AJ405" s="46">
        <f>=SUM(E406:AI406)</f>
      </c>
      <c r="AK405" s="46">
        <f>=+AY405</f>
      </c>
      <c r="AL405" s="46"/>
      <c r="AM405" s="1"/>
      <c r="AN405" s="1">
        <f>=COUNTIF(E405:AI405,"A")+COUNTIF(E405:AI405,"B")+COUNTIF(E405:AI405,"C")+COUNTIF(E405:AI405,"D")+COUNTIF(E405:AI405,"E")+COUNTIF(E405:AI405,"F")+COUNTIF(E405:AI405,"M")+COUNTIF(E405:AI405,"AB")+COUNTIF(E405:AI405,"UZ")+COUNTIF(E405:AI405,"G")+(COUNTIF(E405:AI405,"RT.")/2)+(COUNTIF(E405:AI405,"ÇRT.")/2)</f>
      </c>
      <c r="AO405" s="1">
        <f>=COUNTIF(E405:AI405,"O")</f>
      </c>
      <c r="AP405" s="1">
        <f>=COUNTIF(E405:AI405,"RT")+(COUNTIF(E405:AI405,"RT.")/2)</f>
      </c>
      <c r="AQ405" s="1">
        <f>=COUNTIF(E405:AI405,"ÇRT")+(COUNTIF(E405:AI405,"ÇRT.")/2)</f>
      </c>
      <c r="AR405" s="1">
        <f>=COUNTIF(E405:AI405,"ÇHT")</f>
      </c>
      <c r="AS405" s="1">
        <f>=COUNTIF(E405:AI405,"Ö")+COUNTIF(E405:AI405,"T")</f>
      </c>
      <c r="AT405" s="1">
        <f>=COUNTIF(E405:AI405,"Y")</f>
      </c>
      <c r="AU405" s="1">
        <f>=COUNTIF(E405:AI405,"R.")</f>
      </c>
      <c r="AV405" s="1">
        <f>=COUNTIF(E405:AI405,"Ü")</f>
      </c>
      <c r="AW405" s="1">
        <f>=COUNTIF(E405:AI405,"R")</f>
      </c>
      <c r="AX405" s="1">
        <f>=COUNTIF(E405:AI405,"DV")</f>
      </c>
      <c r="AY405" s="1">
        <f>=+AN405+AO405+AP405+AQ405+AR405+AS405+AT405+AU405</f>
      </c>
    </row>
    <row r="406" ht="16" customHeight="1" spans="1:51" x14ac:dyDescent="0.25">
      <c r="A406" s="45"/>
      <c r="B406" s="46"/>
      <c r="C406" s="46"/>
      <c r="D406" s="46" t="s">
        <v>33</v>
      </c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  <c r="AD406" s="46"/>
      <c r="AE406" s="46"/>
      <c r="AF406" s="46"/>
      <c r="AG406" s="46"/>
      <c r="AH406" s="46"/>
      <c r="AI406" s="46"/>
      <c r="AJ406" s="46"/>
      <c r="AK406" s="46"/>
      <c r="AL406" s="46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ht="16" customHeight="1" spans="1:51" x14ac:dyDescent="0.25">
      <c r="A407" s="45"/>
      <c r="B407" s="46" t="s">
        <v>451</v>
      </c>
      <c r="C407" s="46" t="s">
        <v>452</v>
      </c>
      <c r="D407" s="46" t="s">
        <v>29</v>
      </c>
      <c r="E407" s="46" t="s">
        <v>42</v>
      </c>
      <c r="F407" s="46" t="s">
        <v>37</v>
      </c>
      <c r="G407" s="46" t="s">
        <v>42</v>
      </c>
      <c r="H407" s="46" t="s">
        <v>42</v>
      </c>
      <c r="I407" s="46" t="s">
        <v>31</v>
      </c>
      <c r="J407" s="46" t="s">
        <v>31</v>
      </c>
      <c r="K407" s="46" t="s">
        <v>32</v>
      </c>
      <c r="L407" s="46" t="s">
        <v>32</v>
      </c>
      <c r="M407" s="46" t="s">
        <v>37</v>
      </c>
      <c r="N407" s="46" t="s">
        <v>42</v>
      </c>
      <c r="O407" s="46" t="s">
        <v>42</v>
      </c>
      <c r="P407" s="46" t="s">
        <v>42</v>
      </c>
      <c r="Q407" s="46" t="s">
        <v>42</v>
      </c>
      <c r="R407" s="46" t="s">
        <v>42</v>
      </c>
      <c r="S407" s="46" t="s">
        <v>42</v>
      </c>
      <c r="T407" s="46" t="s">
        <v>37</v>
      </c>
      <c r="U407" s="46" t="s">
        <v>42</v>
      </c>
      <c r="V407" s="46" t="s">
        <v>42</v>
      </c>
      <c r="W407" s="46" t="s">
        <v>42</v>
      </c>
      <c r="X407" s="46" t="s">
        <v>42</v>
      </c>
      <c r="Y407" s="46" t="s">
        <v>42</v>
      </c>
      <c r="Z407" s="46" t="s">
        <v>42</v>
      </c>
      <c r="AA407" s="46" t="s">
        <v>37</v>
      </c>
      <c r="AB407" s="46" t="s">
        <v>42</v>
      </c>
      <c r="AC407" s="46" t="s">
        <v>42</v>
      </c>
      <c r="AD407" s="46" t="s">
        <v>42</v>
      </c>
      <c r="AE407" s="46" t="s">
        <v>42</v>
      </c>
      <c r="AF407" s="46" t="s">
        <v>42</v>
      </c>
      <c r="AG407" s="46" t="s">
        <v>42</v>
      </c>
      <c r="AH407" s="46" t="s">
        <v>37</v>
      </c>
      <c r="AI407" s="46" t="s">
        <v>42</v>
      </c>
      <c r="AJ407" s="46">
        <f>=SUM(E408:AI408)</f>
      </c>
      <c r="AK407" s="46">
        <f>=+AY407</f>
      </c>
      <c r="AL407" s="46"/>
      <c r="AM407" s="1"/>
      <c r="AN407" s="1">
        <f>=COUNTIF(E407:AI407,"A")+COUNTIF(E407:AI407,"B")+COUNTIF(E407:AI407,"C")+COUNTIF(E407:AI407,"D")+COUNTIF(E407:AI407,"E")+COUNTIF(E407:AI407,"F")+COUNTIF(E407:AI407,"M")+COUNTIF(E407:AI407,"AB")+COUNTIF(E407:AI407,"UZ")+COUNTIF(E407:AI407,"G")+(COUNTIF(E407:AI407,"RT.")/2)+(COUNTIF(E407:AI407,"ÇRT.")/2)</f>
      </c>
      <c r="AO407" s="1">
        <f>=COUNTIF(E407:AI407,"O")</f>
      </c>
      <c r="AP407" s="1">
        <f>=COUNTIF(E407:AI407,"RT")+(COUNTIF(E407:AI407,"RT.")/2)</f>
      </c>
      <c r="AQ407" s="1">
        <f>=COUNTIF(E407:AI407,"ÇRT")+(COUNTIF(E407:AI407,"ÇRT.")/2)</f>
      </c>
      <c r="AR407" s="1">
        <f>=COUNTIF(E407:AI407,"ÇHT")</f>
      </c>
      <c r="AS407" s="1">
        <f>=COUNTIF(E407:AI407,"Ö")+COUNTIF(E407:AI407,"T")</f>
      </c>
      <c r="AT407" s="1">
        <f>=COUNTIF(E407:AI407,"Y")</f>
      </c>
      <c r="AU407" s="1">
        <f>=COUNTIF(E407:AI407,"R.")</f>
      </c>
      <c r="AV407" s="1">
        <f>=COUNTIF(E407:AI407,"Ü")</f>
      </c>
      <c r="AW407" s="1">
        <f>=COUNTIF(E407:AI407,"R")</f>
      </c>
      <c r="AX407" s="1">
        <f>=COUNTIF(E407:AI407,"DV")</f>
      </c>
      <c r="AY407" s="1">
        <f>=+AN407+AO407+AP407+AQ407+AR407+AS407+AT407+AU407</f>
      </c>
    </row>
    <row r="408" ht="16" customHeight="1" spans="1:51" x14ac:dyDescent="0.25">
      <c r="A408" s="45"/>
      <c r="B408" s="46"/>
      <c r="C408" s="46"/>
      <c r="D408" s="46" t="s">
        <v>33</v>
      </c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  <c r="AD408" s="46"/>
      <c r="AE408" s="46"/>
      <c r="AF408" s="46"/>
      <c r="AG408" s="46"/>
      <c r="AH408" s="46"/>
      <c r="AI408" s="46"/>
      <c r="AJ408" s="46"/>
      <c r="AK408" s="46"/>
      <c r="AL408" s="46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ht="16" customHeight="1" spans="1:51" x14ac:dyDescent="0.25">
      <c r="A409" s="45"/>
      <c r="B409" s="46" t="s">
        <v>453</v>
      </c>
      <c r="C409" s="46" t="s">
        <v>454</v>
      </c>
      <c r="D409" s="46" t="s">
        <v>29</v>
      </c>
      <c r="E409" s="46" t="s">
        <v>30</v>
      </c>
      <c r="F409" s="46" t="s">
        <v>30</v>
      </c>
      <c r="G409" s="46" t="s">
        <v>37</v>
      </c>
      <c r="H409" s="46" t="s">
        <v>30</v>
      </c>
      <c r="I409" s="46" t="s">
        <v>30</v>
      </c>
      <c r="J409" s="46" t="s">
        <v>30</v>
      </c>
      <c r="K409" s="46" t="s">
        <v>30</v>
      </c>
      <c r="L409" s="46" t="s">
        <v>30</v>
      </c>
      <c r="M409" s="46" t="s">
        <v>30</v>
      </c>
      <c r="N409" s="46" t="s">
        <v>30</v>
      </c>
      <c r="O409" s="46" t="s">
        <v>37</v>
      </c>
      <c r="P409" s="46" t="s">
        <v>337</v>
      </c>
      <c r="Q409" s="46" t="s">
        <v>337</v>
      </c>
      <c r="R409" s="46" t="s">
        <v>337</v>
      </c>
      <c r="S409" s="46" t="s">
        <v>337</v>
      </c>
      <c r="T409" s="46" t="s">
        <v>37</v>
      </c>
      <c r="U409" s="46" t="s">
        <v>337</v>
      </c>
      <c r="V409" s="46" t="s">
        <v>30</v>
      </c>
      <c r="W409" s="46" t="s">
        <v>30</v>
      </c>
      <c r="X409" s="46" t="s">
        <v>30</v>
      </c>
      <c r="Y409" s="46" t="s">
        <v>30</v>
      </c>
      <c r="Z409" s="46" t="s">
        <v>30</v>
      </c>
      <c r="AA409" s="46" t="s">
        <v>30</v>
      </c>
      <c r="AB409" s="46" t="s">
        <v>37</v>
      </c>
      <c r="AC409" s="46" t="s">
        <v>30</v>
      </c>
      <c r="AD409" s="46" t="s">
        <v>30</v>
      </c>
      <c r="AE409" s="46" t="s">
        <v>30</v>
      </c>
      <c r="AF409" s="46" t="s">
        <v>30</v>
      </c>
      <c r="AG409" s="46" t="s">
        <v>30</v>
      </c>
      <c r="AH409" s="46" t="s">
        <v>43</v>
      </c>
      <c r="AI409" s="46" t="s">
        <v>37</v>
      </c>
      <c r="AJ409" s="46">
        <f>=SUM(E410:AI410)</f>
      </c>
      <c r="AK409" s="46">
        <f>=+AY409</f>
      </c>
      <c r="AL409" s="46"/>
      <c r="AM409" s="1"/>
      <c r="AN409" s="1">
        <f>=COUNTIF(E409:AI409,"A")+COUNTIF(E409:AI409,"B")+COUNTIF(E409:AI409,"C")+COUNTIF(E409:AI409,"D")+COUNTIF(E409:AI409,"E")+COUNTIF(E409:AI409,"F")+COUNTIF(E409:AI409,"M")+COUNTIF(E409:AI409,"AB")+COUNTIF(E409:AI409,"UZ")+COUNTIF(E409:AI409,"G")+(COUNTIF(E409:AI409,"RT.")/2)+(COUNTIF(E409:AI409,"ÇRT.")/2)</f>
      </c>
      <c r="AO409" s="1">
        <f>=COUNTIF(E409:AI409,"O")</f>
      </c>
      <c r="AP409" s="1">
        <f>=COUNTIF(E409:AI409,"RT")+(COUNTIF(E409:AI409,"RT.")/2)</f>
      </c>
      <c r="AQ409" s="1">
        <f>=COUNTIF(E409:AI409,"ÇRT")+(COUNTIF(E409:AI409,"ÇRT.")/2)</f>
      </c>
      <c r="AR409" s="1">
        <f>=COUNTIF(E409:AI409,"ÇHT")</f>
      </c>
      <c r="AS409" s="1">
        <f>=COUNTIF(E409:AI409,"Ö")+COUNTIF(E409:AI409,"T")</f>
      </c>
      <c r="AT409" s="1">
        <f>=COUNTIF(E409:AI409,"Y")</f>
      </c>
      <c r="AU409" s="1">
        <f>=COUNTIF(E409:AI409,"R.")</f>
      </c>
      <c r="AV409" s="1">
        <f>=COUNTIF(E409:AI409,"Ü")</f>
      </c>
      <c r="AW409" s="1">
        <f>=COUNTIF(E409:AI409,"R")</f>
      </c>
      <c r="AX409" s="1">
        <f>=COUNTIF(E409:AI409,"DV")</f>
      </c>
      <c r="AY409" s="1">
        <f>=+AN409+AO409+AP409+AQ409+AR409+AS409+AT409+AU409</f>
      </c>
    </row>
    <row r="410" ht="16" customHeight="1" spans="1:51" x14ac:dyDescent="0.25">
      <c r="A410" s="45"/>
      <c r="B410" s="46"/>
      <c r="C410" s="46"/>
      <c r="D410" s="46" t="s">
        <v>33</v>
      </c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  <c r="AC410" s="46"/>
      <c r="AD410" s="46"/>
      <c r="AE410" s="46"/>
      <c r="AF410" s="46"/>
      <c r="AG410" s="46"/>
      <c r="AH410" s="46"/>
      <c r="AI410" s="46"/>
      <c r="AJ410" s="46"/>
      <c r="AK410" s="46"/>
      <c r="AL410" s="46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ht="16" customHeight="1" spans="1:51" x14ac:dyDescent="0.25">
      <c r="A411" s="45"/>
      <c r="B411" s="46" t="s">
        <v>455</v>
      </c>
      <c r="C411" s="46" t="s">
        <v>456</v>
      </c>
      <c r="D411" s="46" t="s">
        <v>29</v>
      </c>
      <c r="E411" s="46" t="s">
        <v>337</v>
      </c>
      <c r="F411" s="46" t="s">
        <v>37</v>
      </c>
      <c r="G411" s="46" t="s">
        <v>36</v>
      </c>
      <c r="H411" s="46" t="s">
        <v>36</v>
      </c>
      <c r="I411" s="46" t="s">
        <v>36</v>
      </c>
      <c r="J411" s="46" t="s">
        <v>36</v>
      </c>
      <c r="K411" s="46" t="s">
        <v>36</v>
      </c>
      <c r="L411" s="46" t="s">
        <v>36</v>
      </c>
      <c r="M411" s="46" t="s">
        <v>37</v>
      </c>
      <c r="N411" s="46" t="s">
        <v>36</v>
      </c>
      <c r="O411" s="46" t="s">
        <v>36</v>
      </c>
      <c r="P411" s="46" t="s">
        <v>36</v>
      </c>
      <c r="Q411" s="46" t="s">
        <v>36</v>
      </c>
      <c r="R411" s="46" t="s">
        <v>36</v>
      </c>
      <c r="S411" s="46" t="s">
        <v>36</v>
      </c>
      <c r="T411" s="46" t="s">
        <v>37</v>
      </c>
      <c r="U411" s="46" t="s">
        <v>36</v>
      </c>
      <c r="V411" s="46" t="s">
        <v>36</v>
      </c>
      <c r="W411" s="46" t="s">
        <v>36</v>
      </c>
      <c r="X411" s="46" t="s">
        <v>36</v>
      </c>
      <c r="Y411" s="46" t="s">
        <v>36</v>
      </c>
      <c r="Z411" s="46" t="s">
        <v>36</v>
      </c>
      <c r="AA411" s="46" t="s">
        <v>37</v>
      </c>
      <c r="AB411" s="46" t="s">
        <v>36</v>
      </c>
      <c r="AC411" s="46" t="s">
        <v>36</v>
      </c>
      <c r="AD411" s="46" t="s">
        <v>36</v>
      </c>
      <c r="AE411" s="46" t="s">
        <v>36</v>
      </c>
      <c r="AF411" s="46" t="s">
        <v>36</v>
      </c>
      <c r="AG411" s="46" t="s">
        <v>36</v>
      </c>
      <c r="AH411" s="46" t="s">
        <v>222</v>
      </c>
      <c r="AI411" s="46" t="s">
        <v>36</v>
      </c>
      <c r="AJ411" s="46">
        <f>=SUM(E412:AI412)</f>
      </c>
      <c r="AK411" s="46">
        <f>=+AY411</f>
      </c>
      <c r="AL411" s="46"/>
      <c r="AM411" s="1"/>
      <c r="AN411" s="1">
        <f>=COUNTIF(E411:AI411,"A")+COUNTIF(E411:AI411,"B")+COUNTIF(E411:AI411,"C")+COUNTIF(E411:AI411,"D")+COUNTIF(E411:AI411,"E")+COUNTIF(E411:AI411,"F")+COUNTIF(E411:AI411,"M")+COUNTIF(E411:AI411,"AB")+COUNTIF(E411:AI411,"UZ")+COUNTIF(E411:AI411,"G")+(COUNTIF(E411:AI411,"RT.")/2)+(COUNTIF(E411:AI411,"ÇRT.")/2)</f>
      </c>
      <c r="AO411" s="1">
        <f>=COUNTIF(E411:AI411,"O")</f>
      </c>
      <c r="AP411" s="1">
        <f>=COUNTIF(E411:AI411,"RT")+(COUNTIF(E411:AI411,"RT.")/2)</f>
      </c>
      <c r="AQ411" s="1">
        <f>=COUNTIF(E411:AI411,"ÇRT")+(COUNTIF(E411:AI411,"ÇRT.")/2)</f>
      </c>
      <c r="AR411" s="1">
        <f>=COUNTIF(E411:AI411,"ÇHT")</f>
      </c>
      <c r="AS411" s="1">
        <f>=COUNTIF(E411:AI411,"Ö")+COUNTIF(E411:AI411,"T")</f>
      </c>
      <c r="AT411" s="1">
        <f>=COUNTIF(E411:AI411,"Y")</f>
      </c>
      <c r="AU411" s="1">
        <f>=COUNTIF(E411:AI411,"R.")</f>
      </c>
      <c r="AV411" s="1">
        <f>=COUNTIF(E411:AI411,"Ü")</f>
      </c>
      <c r="AW411" s="1">
        <f>=COUNTIF(E411:AI411,"R")</f>
      </c>
      <c r="AX411" s="1">
        <f>=COUNTIF(E411:AI411,"DV")</f>
      </c>
      <c r="AY411" s="1">
        <f>=+AN411+AO411+AP411+AQ411+AR411+AS411+AT411+AU411</f>
      </c>
    </row>
    <row r="412" ht="16" customHeight="1" spans="1:51" x14ac:dyDescent="0.25">
      <c r="A412" s="45"/>
      <c r="B412" s="46"/>
      <c r="C412" s="46"/>
      <c r="D412" s="46" t="s">
        <v>33</v>
      </c>
      <c r="E412" s="46"/>
      <c r="F412" s="46"/>
      <c r="G412" s="46">
        <v>3</v>
      </c>
      <c r="H412" s="46"/>
      <c r="I412" s="46">
        <v>3</v>
      </c>
      <c r="J412" s="46"/>
      <c r="K412" s="46">
        <v>3</v>
      </c>
      <c r="L412" s="46"/>
      <c r="M412" s="46"/>
      <c r="N412" s="46">
        <v>3</v>
      </c>
      <c r="O412" s="46"/>
      <c r="P412" s="46">
        <v>3</v>
      </c>
      <c r="Q412" s="46"/>
      <c r="R412" s="46">
        <v>3</v>
      </c>
      <c r="S412" s="46"/>
      <c r="T412" s="46"/>
      <c r="U412" s="46"/>
      <c r="V412" s="46"/>
      <c r="W412" s="46"/>
      <c r="X412" s="46"/>
      <c r="Y412" s="46">
        <v>3</v>
      </c>
      <c r="Z412" s="46"/>
      <c r="AA412" s="46"/>
      <c r="AB412" s="46">
        <v>3</v>
      </c>
      <c r="AC412" s="46"/>
      <c r="AD412" s="46"/>
      <c r="AE412" s="46"/>
      <c r="AF412" s="46"/>
      <c r="AG412" s="46"/>
      <c r="AH412" s="46"/>
      <c r="AI412" s="46"/>
      <c r="AJ412" s="46"/>
      <c r="AK412" s="46"/>
      <c r="AL412" s="46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ht="16" customHeight="1" spans="1:51" x14ac:dyDescent="0.25">
      <c r="A413" s="45"/>
      <c r="B413" s="46" t="s">
        <v>457</v>
      </c>
      <c r="C413" s="46" t="s">
        <v>458</v>
      </c>
      <c r="D413" s="46" t="s">
        <v>29</v>
      </c>
      <c r="E413" s="46" t="s">
        <v>42</v>
      </c>
      <c r="F413" s="46" t="s">
        <v>37</v>
      </c>
      <c r="G413" s="46" t="s">
        <v>42</v>
      </c>
      <c r="H413" s="46" t="s">
        <v>42</v>
      </c>
      <c r="I413" s="46" t="s">
        <v>42</v>
      </c>
      <c r="J413" s="46" t="s">
        <v>42</v>
      </c>
      <c r="K413" s="46" t="s">
        <v>42</v>
      </c>
      <c r="L413" s="46" t="s">
        <v>42</v>
      </c>
      <c r="M413" s="46" t="s">
        <v>37</v>
      </c>
      <c r="N413" s="46" t="s">
        <v>42</v>
      </c>
      <c r="O413" s="46" t="s">
        <v>42</v>
      </c>
      <c r="P413" s="46" t="s">
        <v>42</v>
      </c>
      <c r="Q413" s="46" t="s">
        <v>42</v>
      </c>
      <c r="R413" s="46" t="s">
        <v>42</v>
      </c>
      <c r="S413" s="46" t="s">
        <v>42</v>
      </c>
      <c r="T413" s="46" t="s">
        <v>37</v>
      </c>
      <c r="U413" s="46" t="s">
        <v>42</v>
      </c>
      <c r="V413" s="46" t="s">
        <v>42</v>
      </c>
      <c r="W413" s="46" t="s">
        <v>42</v>
      </c>
      <c r="X413" s="46" t="s">
        <v>42</v>
      </c>
      <c r="Y413" s="46" t="s">
        <v>42</v>
      </c>
      <c r="Z413" s="46" t="s">
        <v>42</v>
      </c>
      <c r="AA413" s="46" t="s">
        <v>37</v>
      </c>
      <c r="AB413" s="46" t="s">
        <v>42</v>
      </c>
      <c r="AC413" s="46" t="s">
        <v>42</v>
      </c>
      <c r="AD413" s="46" t="s">
        <v>42</v>
      </c>
      <c r="AE413" s="46" t="s">
        <v>42</v>
      </c>
      <c r="AF413" s="46" t="s">
        <v>42</v>
      </c>
      <c r="AG413" s="46" t="s">
        <v>42</v>
      </c>
      <c r="AH413" s="46" t="s">
        <v>37</v>
      </c>
      <c r="AI413" s="46" t="s">
        <v>42</v>
      </c>
      <c r="AJ413" s="46">
        <f>=SUM(E414:AI414)</f>
      </c>
      <c r="AK413" s="46">
        <f>=+AY413</f>
      </c>
      <c r="AL413" s="46"/>
      <c r="AM413" s="1"/>
      <c r="AN413" s="1">
        <f>=COUNTIF(E413:AI413,"A")+COUNTIF(E413:AI413,"B")+COUNTIF(E413:AI413,"C")+COUNTIF(E413:AI413,"D")+COUNTIF(E413:AI413,"E")+COUNTIF(E413:AI413,"F")+COUNTIF(E413:AI413,"M")+COUNTIF(E413:AI413,"AB")+COUNTIF(E413:AI413,"UZ")+COUNTIF(E413:AI413,"G")+(COUNTIF(E413:AI413,"RT.")/2)+(COUNTIF(E413:AI413,"ÇRT.")/2)</f>
      </c>
      <c r="AO413" s="1">
        <f>=COUNTIF(E413:AI413,"O")</f>
      </c>
      <c r="AP413" s="1">
        <f>=COUNTIF(E413:AI413,"RT")+(COUNTIF(E413:AI413,"RT.")/2)</f>
      </c>
      <c r="AQ413" s="1">
        <f>=COUNTIF(E413:AI413,"ÇRT")+(COUNTIF(E413:AI413,"ÇRT.")/2)</f>
      </c>
      <c r="AR413" s="1">
        <f>=COUNTIF(E413:AI413,"ÇHT")</f>
      </c>
      <c r="AS413" s="1">
        <f>=COUNTIF(E413:AI413,"Ö")+COUNTIF(E413:AI413,"T")</f>
      </c>
      <c r="AT413" s="1">
        <f>=COUNTIF(E413:AI413,"Y")</f>
      </c>
      <c r="AU413" s="1">
        <f>=COUNTIF(E413:AI413,"R.")</f>
      </c>
      <c r="AV413" s="1">
        <f>=COUNTIF(E413:AI413,"Ü")</f>
      </c>
      <c r="AW413" s="1">
        <f>=COUNTIF(E413:AI413,"R")</f>
      </c>
      <c r="AX413" s="1">
        <f>=COUNTIF(E413:AI413,"DV")</f>
      </c>
      <c r="AY413" s="1">
        <f>=+AN413+AO413+AP413+AQ413+AR413+AS413+AT413+AU413</f>
      </c>
    </row>
    <row r="414" ht="16" customHeight="1" spans="1:51" x14ac:dyDescent="0.25">
      <c r="A414" s="45"/>
      <c r="B414" s="46"/>
      <c r="C414" s="46"/>
      <c r="D414" s="46" t="s">
        <v>33</v>
      </c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  <c r="AD414" s="46"/>
      <c r="AE414" s="46"/>
      <c r="AF414" s="46"/>
      <c r="AG414" s="46"/>
      <c r="AH414" s="46"/>
      <c r="AI414" s="46"/>
      <c r="AJ414" s="46"/>
      <c r="AK414" s="46"/>
      <c r="AL414" s="46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ht="16" customHeight="1" spans="1:51" x14ac:dyDescent="0.25">
      <c r="A415" s="45" t="s">
        <v>459</v>
      </c>
      <c r="B415" s="46" t="s">
        <v>460</v>
      </c>
      <c r="C415" s="46" t="s">
        <v>461</v>
      </c>
      <c r="D415" s="46" t="s">
        <v>29</v>
      </c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 t="s">
        <v>42</v>
      </c>
      <c r="P415" s="46" t="s">
        <v>42</v>
      </c>
      <c r="Q415" s="46" t="s">
        <v>42</v>
      </c>
      <c r="R415" s="46" t="s">
        <v>42</v>
      </c>
      <c r="S415" s="46" t="s">
        <v>42</v>
      </c>
      <c r="T415" s="46" t="s">
        <v>37</v>
      </c>
      <c r="U415" s="46" t="s">
        <v>42</v>
      </c>
      <c r="V415" s="46" t="s">
        <v>42</v>
      </c>
      <c r="W415" s="46" t="s">
        <v>42</v>
      </c>
      <c r="X415" s="46" t="s">
        <v>42</v>
      </c>
      <c r="Y415" s="46" t="s">
        <v>42</v>
      </c>
      <c r="Z415" s="46" t="s">
        <v>42</v>
      </c>
      <c r="AA415" s="46" t="s">
        <v>37</v>
      </c>
      <c r="AB415" s="46" t="s">
        <v>42</v>
      </c>
      <c r="AC415" s="46" t="s">
        <v>42</v>
      </c>
      <c r="AD415" s="46" t="s">
        <v>42</v>
      </c>
      <c r="AE415" s="46" t="s">
        <v>42</v>
      </c>
      <c r="AF415" s="46" t="s">
        <v>42</v>
      </c>
      <c r="AG415" s="46" t="s">
        <v>42</v>
      </c>
      <c r="AH415" s="46" t="s">
        <v>43</v>
      </c>
      <c r="AI415" s="46" t="s">
        <v>42</v>
      </c>
      <c r="AJ415" s="46">
        <f>=SUM(E416:AI416)</f>
      </c>
      <c r="AK415" s="46">
        <f>=+AY415</f>
      </c>
      <c r="AL415" s="46"/>
      <c r="AM415" s="1"/>
      <c r="AN415" s="1">
        <f>=COUNTIF(E415:AI415,"A")+COUNTIF(E415:AI415,"B")+COUNTIF(E415:AI415,"C")+COUNTIF(E415:AI415,"D")+COUNTIF(E415:AI415,"E")+COUNTIF(E415:AI415,"F")+COUNTIF(E415:AI415,"M")+COUNTIF(E415:AI415,"AB")+COUNTIF(E415:AI415,"UZ")+COUNTIF(E415:AI415,"G")+(COUNTIF(E415:AI415,"RT.")/2)+(COUNTIF(E415:AI415,"ÇRT.")/2)</f>
      </c>
      <c r="AO415" s="1">
        <f>=COUNTIF(E415:AI415,"O")</f>
      </c>
      <c r="AP415" s="1">
        <f>=COUNTIF(E415:AI415,"RT")+(COUNTIF(E415:AI415,"RT.")/2)</f>
      </c>
      <c r="AQ415" s="1">
        <f>=COUNTIF(E415:AI415,"ÇRT")+(COUNTIF(E415:AI415,"ÇRT.")/2)</f>
      </c>
      <c r="AR415" s="1">
        <f>=COUNTIF(E415:AI415,"ÇHT")</f>
      </c>
      <c r="AS415" s="1">
        <f>=COUNTIF(E415:AI415,"Ö")+COUNTIF(E415:AI415,"T")</f>
      </c>
      <c r="AT415" s="1">
        <f>=COUNTIF(E415:AI415,"Y")</f>
      </c>
      <c r="AU415" s="1">
        <f>=COUNTIF(E415:AI415,"R.")</f>
      </c>
      <c r="AV415" s="1">
        <f>=COUNTIF(E415:AI415,"Ü")</f>
      </c>
      <c r="AW415" s="1">
        <f>=COUNTIF(E415:AI415,"R")</f>
      </c>
      <c r="AX415" s="1">
        <f>=COUNTIF(E415:AI415,"DV")</f>
      </c>
      <c r="AY415" s="1">
        <f>=+AN415+AO415+AP415+AQ415+AR415+AS415+AT415+AU415</f>
      </c>
    </row>
    <row r="416" ht="16" customHeight="1" spans="1:51" x14ac:dyDescent="0.25">
      <c r="A416" s="45"/>
      <c r="B416" s="46"/>
      <c r="C416" s="46"/>
      <c r="D416" s="46" t="s">
        <v>33</v>
      </c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>
        <v>3</v>
      </c>
      <c r="AA416" s="46"/>
      <c r="AB416" s="46">
        <v>3</v>
      </c>
      <c r="AC416" s="46">
        <v>2</v>
      </c>
      <c r="AD416" s="46"/>
      <c r="AE416" s="46"/>
      <c r="AF416" s="46"/>
      <c r="AG416" s="46"/>
      <c r="AH416" s="46"/>
      <c r="AI416" s="46"/>
      <c r="AJ416" s="46"/>
      <c r="AK416" s="46"/>
      <c r="AL416" s="46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ht="16" customHeight="1" spans="1:51" x14ac:dyDescent="0.25">
      <c r="A417" s="45"/>
      <c r="B417" s="46" t="s">
        <v>462</v>
      </c>
      <c r="C417" s="46" t="s">
        <v>463</v>
      </c>
      <c r="D417" s="46" t="s">
        <v>29</v>
      </c>
      <c r="E417" s="46" t="s">
        <v>36</v>
      </c>
      <c r="F417" s="46" t="s">
        <v>37</v>
      </c>
      <c r="G417" s="46" t="s">
        <v>36</v>
      </c>
      <c r="H417" s="46" t="s">
        <v>36</v>
      </c>
      <c r="I417" s="46" t="s">
        <v>36</v>
      </c>
      <c r="J417" s="46" t="s">
        <v>36</v>
      </c>
      <c r="K417" s="46" t="s">
        <v>36</v>
      </c>
      <c r="L417" s="46" t="s">
        <v>36</v>
      </c>
      <c r="M417" s="46" t="s">
        <v>222</v>
      </c>
      <c r="N417" s="46" t="s">
        <v>36</v>
      </c>
      <c r="O417" s="46" t="s">
        <v>36</v>
      </c>
      <c r="P417" s="46" t="s">
        <v>36</v>
      </c>
      <c r="Q417" s="46" t="s">
        <v>36</v>
      </c>
      <c r="R417" s="46" t="s">
        <v>36</v>
      </c>
      <c r="S417" s="46" t="s">
        <v>36</v>
      </c>
      <c r="T417" s="46" t="s">
        <v>222</v>
      </c>
      <c r="U417" s="46" t="s">
        <v>36</v>
      </c>
      <c r="V417" s="46" t="s">
        <v>36</v>
      </c>
      <c r="W417" s="46" t="s">
        <v>36</v>
      </c>
      <c r="X417" s="46" t="s">
        <v>36</v>
      </c>
      <c r="Y417" s="46" t="s">
        <v>36</v>
      </c>
      <c r="Z417" s="46" t="s">
        <v>36</v>
      </c>
      <c r="AA417" s="46" t="s">
        <v>37</v>
      </c>
      <c r="AB417" s="46" t="s">
        <v>36</v>
      </c>
      <c r="AC417" s="46" t="s">
        <v>36</v>
      </c>
      <c r="AD417" s="46" t="s">
        <v>36</v>
      </c>
      <c r="AE417" s="46" t="s">
        <v>36</v>
      </c>
      <c r="AF417" s="46" t="s">
        <v>36</v>
      </c>
      <c r="AG417" s="46" t="s">
        <v>36</v>
      </c>
      <c r="AH417" s="46" t="s">
        <v>222</v>
      </c>
      <c r="AI417" s="46" t="s">
        <v>36</v>
      </c>
      <c r="AJ417" s="46">
        <f>=SUM(E418:AI418)</f>
      </c>
      <c r="AK417" s="46">
        <f>=+AY417</f>
      </c>
      <c r="AL417" s="46"/>
      <c r="AM417" s="1"/>
      <c r="AN417" s="1">
        <f>=COUNTIF(E417:AI417,"A")+COUNTIF(E417:AI417,"B")+COUNTIF(E417:AI417,"C")+COUNTIF(E417:AI417,"D")+COUNTIF(E417:AI417,"E")+COUNTIF(E417:AI417,"F")+COUNTIF(E417:AI417,"M")+COUNTIF(E417:AI417,"AB")+COUNTIF(E417:AI417,"UZ")+COUNTIF(E417:AI417,"G")+(COUNTIF(E417:AI417,"RT.")/2)+(COUNTIF(E417:AI417,"ÇRT.")/2)</f>
      </c>
      <c r="AO417" s="1">
        <f>=COUNTIF(E417:AI417,"O")</f>
      </c>
      <c r="AP417" s="1">
        <f>=COUNTIF(E417:AI417,"RT")+(COUNTIF(E417:AI417,"RT.")/2)</f>
      </c>
      <c r="AQ417" s="1">
        <f>=COUNTIF(E417:AI417,"ÇRT")+(COUNTIF(E417:AI417,"ÇRT.")/2)</f>
      </c>
      <c r="AR417" s="1">
        <f>=COUNTIF(E417:AI417,"ÇHT")</f>
      </c>
      <c r="AS417" s="1">
        <f>=COUNTIF(E417:AI417,"Ö")+COUNTIF(E417:AI417,"T")</f>
      </c>
      <c r="AT417" s="1">
        <f>=COUNTIF(E417:AI417,"Y")</f>
      </c>
      <c r="AU417" s="1">
        <f>=COUNTIF(E417:AI417,"R.")</f>
      </c>
      <c r="AV417" s="1">
        <f>=COUNTIF(E417:AI417,"Ü")</f>
      </c>
      <c r="AW417" s="1">
        <f>=COUNTIF(E417:AI417,"R")</f>
      </c>
      <c r="AX417" s="1">
        <f>=COUNTIF(E417:AI417,"DV")</f>
      </c>
      <c r="AY417" s="1">
        <f>=+AN417+AO417+AP417+AQ417+AR417+AS417+AT417+AU417</f>
      </c>
    </row>
    <row r="418" ht="16" customHeight="1" spans="1:51" x14ac:dyDescent="0.25">
      <c r="A418" s="45"/>
      <c r="B418" s="46"/>
      <c r="C418" s="46"/>
      <c r="D418" s="46" t="s">
        <v>33</v>
      </c>
      <c r="E418" s="46">
        <v>2</v>
      </c>
      <c r="F418" s="46">
        <v>0</v>
      </c>
      <c r="G418" s="46">
        <v>3</v>
      </c>
      <c r="H418" s="46">
        <v>3</v>
      </c>
      <c r="I418" s="46">
        <v>3</v>
      </c>
      <c r="J418" s="46">
        <v>3</v>
      </c>
      <c r="K418" s="46">
        <v>3</v>
      </c>
      <c r="L418" s="46">
        <v>3</v>
      </c>
      <c r="M418" s="46">
        <v>0</v>
      </c>
      <c r="N418" s="46">
        <v>3</v>
      </c>
      <c r="O418" s="46">
        <v>3</v>
      </c>
      <c r="P418" s="46">
        <v>3</v>
      </c>
      <c r="Q418" s="46">
        <v>3</v>
      </c>
      <c r="R418" s="46">
        <v>3</v>
      </c>
      <c r="S418" s="46">
        <v>3</v>
      </c>
      <c r="T418" s="46"/>
      <c r="U418" s="46">
        <v>3</v>
      </c>
      <c r="V418" s="46">
        <v>3</v>
      </c>
      <c r="W418" s="46">
        <v>3</v>
      </c>
      <c r="X418" s="46">
        <v>3</v>
      </c>
      <c r="Y418" s="46">
        <v>3</v>
      </c>
      <c r="Z418" s="46">
        <v>3</v>
      </c>
      <c r="AA418" s="46"/>
      <c r="AB418" s="46">
        <v>3</v>
      </c>
      <c r="AC418" s="46">
        <v>3</v>
      </c>
      <c r="AD418" s="46">
        <v>3</v>
      </c>
      <c r="AE418" s="46">
        <v>3</v>
      </c>
      <c r="AF418" s="46">
        <v>3</v>
      </c>
      <c r="AG418" s="46">
        <v>3</v>
      </c>
      <c r="AH418" s="46"/>
      <c r="AI418" s="46">
        <v>3</v>
      </c>
      <c r="AJ418" s="46"/>
      <c r="AK418" s="46"/>
      <c r="AL418" s="46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ht="16" customHeight="1" spans="1:51" x14ac:dyDescent="0.25">
      <c r="A419" s="45"/>
      <c r="B419" s="46" t="s">
        <v>464</v>
      </c>
      <c r="C419" s="46" t="s">
        <v>465</v>
      </c>
      <c r="D419" s="46" t="s">
        <v>29</v>
      </c>
      <c r="E419" s="46" t="s">
        <v>36</v>
      </c>
      <c r="F419" s="46" t="s">
        <v>37</v>
      </c>
      <c r="G419" s="46" t="s">
        <v>36</v>
      </c>
      <c r="H419" s="46" t="s">
        <v>36</v>
      </c>
      <c r="I419" s="46" t="s">
        <v>36</v>
      </c>
      <c r="J419" s="46" t="s">
        <v>36</v>
      </c>
      <c r="K419" s="46" t="s">
        <v>36</v>
      </c>
      <c r="L419" s="46" t="s">
        <v>36</v>
      </c>
      <c r="M419" s="46" t="s">
        <v>37</v>
      </c>
      <c r="N419" s="46" t="s">
        <v>36</v>
      </c>
      <c r="O419" s="46" t="s">
        <v>36</v>
      </c>
      <c r="P419" s="46" t="s">
        <v>36</v>
      </c>
      <c r="Q419" s="46" t="s">
        <v>36</v>
      </c>
      <c r="R419" s="46" t="s">
        <v>36</v>
      </c>
      <c r="S419" s="46" t="s">
        <v>36</v>
      </c>
      <c r="T419" s="46" t="s">
        <v>37</v>
      </c>
      <c r="U419" s="46" t="s">
        <v>36</v>
      </c>
      <c r="V419" s="46" t="s">
        <v>153</v>
      </c>
      <c r="W419" s="46" t="s">
        <v>36</v>
      </c>
      <c r="X419" s="46" t="s">
        <v>36</v>
      </c>
      <c r="Y419" s="46" t="s">
        <v>36</v>
      </c>
      <c r="Z419" s="46" t="s">
        <v>36</v>
      </c>
      <c r="AA419" s="46" t="s">
        <v>37</v>
      </c>
      <c r="AB419" s="46" t="s">
        <v>36</v>
      </c>
      <c r="AC419" s="46" t="s">
        <v>36</v>
      </c>
      <c r="AD419" s="46" t="s">
        <v>36</v>
      </c>
      <c r="AE419" s="46" t="s">
        <v>36</v>
      </c>
      <c r="AF419" s="46" t="s">
        <v>36</v>
      </c>
      <c r="AG419" s="46" t="s">
        <v>36</v>
      </c>
      <c r="AH419" s="46" t="s">
        <v>222</v>
      </c>
      <c r="AI419" s="46" t="s">
        <v>36</v>
      </c>
      <c r="AJ419" s="46">
        <f>=SUM(E420:AI420)</f>
      </c>
      <c r="AK419" s="46">
        <f>=+AY419</f>
      </c>
      <c r="AL419" s="46"/>
      <c r="AM419" s="1"/>
      <c r="AN419" s="1">
        <f>=COUNTIF(E419:AI419,"A")+COUNTIF(E419:AI419,"B")+COUNTIF(E419:AI419,"C")+COUNTIF(E419:AI419,"D")+COUNTIF(E419:AI419,"E")+COUNTIF(E419:AI419,"F")+COUNTIF(E419:AI419,"M")+COUNTIF(E419:AI419,"AB")+COUNTIF(E419:AI419,"UZ")+COUNTIF(E419:AI419,"G")+(COUNTIF(E419:AI419,"RT.")/2)+(COUNTIF(E419:AI419,"ÇRT.")/2)</f>
      </c>
      <c r="AO419" s="1">
        <f>=COUNTIF(E419:AI419,"O")</f>
      </c>
      <c r="AP419" s="1">
        <f>=COUNTIF(E419:AI419,"RT")+(COUNTIF(E419:AI419,"RT.")/2)</f>
      </c>
      <c r="AQ419" s="1">
        <f>=COUNTIF(E419:AI419,"ÇRT")+(COUNTIF(E419:AI419,"ÇRT.")/2)</f>
      </c>
      <c r="AR419" s="1">
        <f>=COUNTIF(E419:AI419,"ÇHT")</f>
      </c>
      <c r="AS419" s="1">
        <f>=COUNTIF(E419:AI419,"Ö")+COUNTIF(E419:AI419,"T")</f>
      </c>
      <c r="AT419" s="1">
        <f>=COUNTIF(E419:AI419,"Y")</f>
      </c>
      <c r="AU419" s="1">
        <f>=COUNTIF(E419:AI419,"R.")</f>
      </c>
      <c r="AV419" s="1">
        <f>=COUNTIF(E419:AI419,"Ü")</f>
      </c>
      <c r="AW419" s="1">
        <f>=COUNTIF(E419:AI419,"R")</f>
      </c>
      <c r="AX419" s="1">
        <f>=COUNTIF(E419:AI419,"DV")</f>
      </c>
      <c r="AY419" s="1">
        <f>=+AN419+AO419+AP419+AQ419+AR419+AS419+AT419+AU419</f>
      </c>
    </row>
    <row r="420" ht="16" customHeight="1" spans="1:51" x14ac:dyDescent="0.25">
      <c r="A420" s="45"/>
      <c r="B420" s="46"/>
      <c r="C420" s="46"/>
      <c r="D420" s="46" t="s">
        <v>33</v>
      </c>
      <c r="E420" s="46">
        <v>2</v>
      </c>
      <c r="F420" s="46">
        <v>0</v>
      </c>
      <c r="G420" s="46">
        <v>2</v>
      </c>
      <c r="H420" s="46">
        <v>2</v>
      </c>
      <c r="I420" s="46">
        <v>2</v>
      </c>
      <c r="J420" s="46">
        <v>2</v>
      </c>
      <c r="K420" s="46">
        <v>2</v>
      </c>
      <c r="L420" s="46">
        <v>2</v>
      </c>
      <c r="M420" s="46"/>
      <c r="N420" s="46">
        <v>2</v>
      </c>
      <c r="O420" s="46">
        <v>2</v>
      </c>
      <c r="P420" s="46">
        <v>2</v>
      </c>
      <c r="Q420" s="46">
        <v>2</v>
      </c>
      <c r="R420" s="46">
        <v>2</v>
      </c>
      <c r="S420" s="46">
        <v>2</v>
      </c>
      <c r="T420" s="46"/>
      <c r="U420" s="46">
        <v>2</v>
      </c>
      <c r="V420" s="46">
        <v>0</v>
      </c>
      <c r="W420" s="46">
        <v>2</v>
      </c>
      <c r="X420" s="46">
        <v>2</v>
      </c>
      <c r="Y420" s="46">
        <v>2</v>
      </c>
      <c r="Z420" s="46">
        <v>2</v>
      </c>
      <c r="AA420" s="46">
        <v>0</v>
      </c>
      <c r="AB420" s="46">
        <v>2</v>
      </c>
      <c r="AC420" s="46">
        <v>2</v>
      </c>
      <c r="AD420" s="46">
        <v>2</v>
      </c>
      <c r="AE420" s="46">
        <v>2</v>
      </c>
      <c r="AF420" s="46">
        <v>2</v>
      </c>
      <c r="AG420" s="46">
        <v>2</v>
      </c>
      <c r="AH420" s="46"/>
      <c r="AI420" s="46">
        <v>2</v>
      </c>
      <c r="AJ420" s="46"/>
      <c r="AK420" s="46"/>
      <c r="AL420" s="46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ht="16" customHeight="1" spans="1:51" x14ac:dyDescent="0.25">
      <c r="A421" s="45"/>
      <c r="B421" s="46" t="s">
        <v>466</v>
      </c>
      <c r="C421" s="46" t="s">
        <v>467</v>
      </c>
      <c r="D421" s="46" t="s">
        <v>29</v>
      </c>
      <c r="E421" s="46" t="s">
        <v>36</v>
      </c>
      <c r="F421" s="46" t="s">
        <v>37</v>
      </c>
      <c r="G421" s="46" t="s">
        <v>36</v>
      </c>
      <c r="H421" s="46" t="s">
        <v>36</v>
      </c>
      <c r="I421" s="46" t="s">
        <v>36</v>
      </c>
      <c r="J421" s="46" t="s">
        <v>36</v>
      </c>
      <c r="K421" s="46" t="s">
        <v>153</v>
      </c>
      <c r="L421" s="46" t="s">
        <v>36</v>
      </c>
      <c r="M421" s="46" t="s">
        <v>37</v>
      </c>
      <c r="N421" s="46" t="s">
        <v>36</v>
      </c>
      <c r="O421" s="46" t="s">
        <v>36</v>
      </c>
      <c r="P421" s="46" t="s">
        <v>36</v>
      </c>
      <c r="Q421" s="46" t="s">
        <v>36</v>
      </c>
      <c r="R421" s="46" t="s">
        <v>36</v>
      </c>
      <c r="S421" s="46" t="s">
        <v>36</v>
      </c>
      <c r="T421" s="46" t="s">
        <v>37</v>
      </c>
      <c r="U421" s="46" t="s">
        <v>36</v>
      </c>
      <c r="V421" s="46" t="s">
        <v>36</v>
      </c>
      <c r="W421" s="46" t="s">
        <v>36</v>
      </c>
      <c r="X421" s="46" t="s">
        <v>36</v>
      </c>
      <c r="Y421" s="46" t="s">
        <v>36</v>
      </c>
      <c r="Z421" s="46" t="s">
        <v>36</v>
      </c>
      <c r="AA421" s="46" t="s">
        <v>222</v>
      </c>
      <c r="AB421" s="46" t="s">
        <v>36</v>
      </c>
      <c r="AC421" s="46" t="s">
        <v>36</v>
      </c>
      <c r="AD421" s="46" t="s">
        <v>36</v>
      </c>
      <c r="AE421" s="46" t="s">
        <v>36</v>
      </c>
      <c r="AF421" s="46" t="s">
        <v>36</v>
      </c>
      <c r="AG421" s="46" t="s">
        <v>153</v>
      </c>
      <c r="AH421" s="46" t="s">
        <v>222</v>
      </c>
      <c r="AI421" s="46" t="s">
        <v>36</v>
      </c>
      <c r="AJ421" s="46">
        <f>=SUM(E422:AI422)</f>
      </c>
      <c r="AK421" s="46">
        <f>=+AY421</f>
      </c>
      <c r="AL421" s="46"/>
      <c r="AM421" s="1"/>
      <c r="AN421" s="1">
        <f>=COUNTIF(E421:AI421,"A")+COUNTIF(E421:AI421,"B")+COUNTIF(E421:AI421,"C")+COUNTIF(E421:AI421,"D")+COUNTIF(E421:AI421,"E")+COUNTIF(E421:AI421,"F")+COUNTIF(E421:AI421,"M")+COUNTIF(E421:AI421,"AB")+COUNTIF(E421:AI421,"UZ")+COUNTIF(E421:AI421,"G")+(COUNTIF(E421:AI421,"RT.")/2)+(COUNTIF(E421:AI421,"ÇRT.")/2)</f>
      </c>
      <c r="AO421" s="1">
        <f>=COUNTIF(E421:AI421,"O")</f>
      </c>
      <c r="AP421" s="1">
        <f>=COUNTIF(E421:AI421,"RT")+(COUNTIF(E421:AI421,"RT.")/2)</f>
      </c>
      <c r="AQ421" s="1">
        <f>=COUNTIF(E421:AI421,"ÇRT")+(COUNTIF(E421:AI421,"ÇRT.")/2)</f>
      </c>
      <c r="AR421" s="1">
        <f>=COUNTIF(E421:AI421,"ÇHT")</f>
      </c>
      <c r="AS421" s="1">
        <f>=COUNTIF(E421:AI421,"Ö")+COUNTIF(E421:AI421,"T")</f>
      </c>
      <c r="AT421" s="1">
        <f>=COUNTIF(E421:AI421,"Y")</f>
      </c>
      <c r="AU421" s="1">
        <f>=COUNTIF(E421:AI421,"R.")</f>
      </c>
      <c r="AV421" s="1">
        <f>=COUNTIF(E421:AI421,"Ü")</f>
      </c>
      <c r="AW421" s="1">
        <f>=COUNTIF(E421:AI421,"R")</f>
      </c>
      <c r="AX421" s="1">
        <f>=COUNTIF(E421:AI421,"DV")</f>
      </c>
      <c r="AY421" s="1">
        <f>=+AN421+AO421+AP421+AQ421+AR421+AS421+AT421+AU421</f>
      </c>
    </row>
    <row r="422" ht="16" customHeight="1" spans="1:51" x14ac:dyDescent="0.25">
      <c r="A422" s="45"/>
      <c r="B422" s="46"/>
      <c r="C422" s="46"/>
      <c r="D422" s="46" t="s">
        <v>33</v>
      </c>
      <c r="E422" s="46">
        <v>2</v>
      </c>
      <c r="F422" s="46">
        <v>0</v>
      </c>
      <c r="G422" s="46">
        <v>2</v>
      </c>
      <c r="H422" s="46">
        <v>2</v>
      </c>
      <c r="I422" s="46">
        <v>2</v>
      </c>
      <c r="J422" s="46">
        <v>2</v>
      </c>
      <c r="K422" s="46">
        <v>0</v>
      </c>
      <c r="L422" s="46">
        <v>2</v>
      </c>
      <c r="M422" s="46"/>
      <c r="N422" s="46">
        <v>2</v>
      </c>
      <c r="O422" s="46">
        <v>2</v>
      </c>
      <c r="P422" s="46">
        <v>2</v>
      </c>
      <c r="Q422" s="46">
        <v>2</v>
      </c>
      <c r="R422" s="46">
        <v>2</v>
      </c>
      <c r="S422" s="46">
        <v>2</v>
      </c>
      <c r="T422" s="46"/>
      <c r="U422" s="46">
        <v>2</v>
      </c>
      <c r="V422" s="46">
        <v>2</v>
      </c>
      <c r="W422" s="46">
        <v>2</v>
      </c>
      <c r="X422" s="46">
        <v>2</v>
      </c>
      <c r="Y422" s="46">
        <v>2</v>
      </c>
      <c r="Z422" s="46">
        <v>2</v>
      </c>
      <c r="AA422" s="46">
        <v>0</v>
      </c>
      <c r="AB422" s="46">
        <v>2</v>
      </c>
      <c r="AC422" s="46">
        <v>2</v>
      </c>
      <c r="AD422" s="46">
        <v>2</v>
      </c>
      <c r="AE422" s="46">
        <v>2</v>
      </c>
      <c r="AF422" s="46">
        <v>2</v>
      </c>
      <c r="AG422" s="46">
        <v>0</v>
      </c>
      <c r="AH422" s="46"/>
      <c r="AI422" s="46">
        <v>2</v>
      </c>
      <c r="AJ422" s="46"/>
      <c r="AK422" s="46"/>
      <c r="AL422" s="46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ht="16" customHeight="1" spans="1:51" x14ac:dyDescent="0.25">
      <c r="A423" s="45"/>
      <c r="B423" s="46" t="s">
        <v>468</v>
      </c>
      <c r="C423" s="46" t="s">
        <v>469</v>
      </c>
      <c r="D423" s="46" t="s">
        <v>29</v>
      </c>
      <c r="E423" s="46" t="s">
        <v>36</v>
      </c>
      <c r="F423" s="46" t="s">
        <v>222</v>
      </c>
      <c r="G423" s="46" t="s">
        <v>36</v>
      </c>
      <c r="H423" s="46" t="s">
        <v>36</v>
      </c>
      <c r="I423" s="46" t="s">
        <v>36</v>
      </c>
      <c r="J423" s="46" t="s">
        <v>36</v>
      </c>
      <c r="K423" s="46" t="s">
        <v>36</v>
      </c>
      <c r="L423" s="46" t="s">
        <v>36</v>
      </c>
      <c r="M423" s="46" t="s">
        <v>222</v>
      </c>
      <c r="N423" s="46" t="s">
        <v>36</v>
      </c>
      <c r="O423" s="46" t="s">
        <v>36</v>
      </c>
      <c r="P423" s="46" t="s">
        <v>36</v>
      </c>
      <c r="Q423" s="46" t="s">
        <v>36</v>
      </c>
      <c r="R423" s="46" t="s">
        <v>36</v>
      </c>
      <c r="S423" s="46" t="s">
        <v>36</v>
      </c>
      <c r="T423" s="46" t="s">
        <v>37</v>
      </c>
      <c r="U423" s="46" t="s">
        <v>31</v>
      </c>
      <c r="V423" s="46" t="s">
        <v>31</v>
      </c>
      <c r="W423" s="46" t="s">
        <v>153</v>
      </c>
      <c r="X423" s="46" t="s">
        <v>153</v>
      </c>
      <c r="Y423" s="46" t="s">
        <v>36</v>
      </c>
      <c r="Z423" s="46" t="s">
        <v>36</v>
      </c>
      <c r="AA423" s="46" t="s">
        <v>37</v>
      </c>
      <c r="AB423" s="46" t="s">
        <v>36</v>
      </c>
      <c r="AC423" s="46" t="s">
        <v>153</v>
      </c>
      <c r="AD423" s="46" t="s">
        <v>31</v>
      </c>
      <c r="AE423" s="46" t="s">
        <v>31</v>
      </c>
      <c r="AF423" s="46" t="s">
        <v>32</v>
      </c>
      <c r="AG423" s="46" t="s">
        <v>32</v>
      </c>
      <c r="AH423" s="46" t="s">
        <v>32</v>
      </c>
      <c r="AI423" s="46" t="s">
        <v>32</v>
      </c>
      <c r="AJ423" s="46">
        <f>=SUM(E424:AI424)</f>
      </c>
      <c r="AK423" s="46">
        <f>=+AY423</f>
      </c>
      <c r="AL423" s="46"/>
      <c r="AM423" s="1"/>
      <c r="AN423" s="1">
        <f>=COUNTIF(E423:AI423,"A")+COUNTIF(E423:AI423,"B")+COUNTIF(E423:AI423,"C")+COUNTIF(E423:AI423,"D")+COUNTIF(E423:AI423,"E")+COUNTIF(E423:AI423,"F")+COUNTIF(E423:AI423,"M")+COUNTIF(E423:AI423,"AB")+COUNTIF(E423:AI423,"UZ")+COUNTIF(E423:AI423,"G")+(COUNTIF(E423:AI423,"RT.")/2)+(COUNTIF(E423:AI423,"ÇRT.")/2)</f>
      </c>
      <c r="AO423" s="1">
        <f>=COUNTIF(E423:AI423,"O")</f>
      </c>
      <c r="AP423" s="1">
        <f>=COUNTIF(E423:AI423,"RT")+(COUNTIF(E423:AI423,"RT.")/2)</f>
      </c>
      <c r="AQ423" s="1">
        <f>=COUNTIF(E423:AI423,"ÇRT")+(COUNTIF(E423:AI423,"ÇRT.")/2)</f>
      </c>
      <c r="AR423" s="1">
        <f>=COUNTIF(E423:AI423,"ÇHT")</f>
      </c>
      <c r="AS423" s="1">
        <f>=COUNTIF(E423:AI423,"Ö")+COUNTIF(E423:AI423,"T")</f>
      </c>
      <c r="AT423" s="1">
        <f>=COUNTIF(E423:AI423,"Y")</f>
      </c>
      <c r="AU423" s="1">
        <f>=COUNTIF(E423:AI423,"R.")</f>
      </c>
      <c r="AV423" s="1">
        <f>=COUNTIF(E423:AI423,"Ü")</f>
      </c>
      <c r="AW423" s="1">
        <f>=COUNTIF(E423:AI423,"R")</f>
      </c>
      <c r="AX423" s="1">
        <f>=COUNTIF(E423:AI423,"DV")</f>
      </c>
      <c r="AY423" s="1">
        <f>=+AN423+AO423+AP423+AQ423+AR423+AS423+AT423+AU423</f>
      </c>
    </row>
    <row r="424" ht="16" customHeight="1" spans="1:51" x14ac:dyDescent="0.25">
      <c r="A424" s="45"/>
      <c r="B424" s="46"/>
      <c r="C424" s="46"/>
      <c r="D424" s="46" t="s">
        <v>33</v>
      </c>
      <c r="E424" s="46">
        <v>2</v>
      </c>
      <c r="F424" s="46"/>
      <c r="G424" s="46">
        <v>3</v>
      </c>
      <c r="H424" s="46">
        <v>3</v>
      </c>
      <c r="I424" s="46">
        <v>3</v>
      </c>
      <c r="J424" s="46">
        <v>3</v>
      </c>
      <c r="K424" s="46">
        <v>3</v>
      </c>
      <c r="L424" s="46">
        <v>3</v>
      </c>
      <c r="M424" s="46">
        <v>0</v>
      </c>
      <c r="N424" s="46">
        <v>3</v>
      </c>
      <c r="O424" s="46">
        <v>3</v>
      </c>
      <c r="P424" s="46">
        <v>3</v>
      </c>
      <c r="Q424" s="46">
        <v>3</v>
      </c>
      <c r="R424" s="46">
        <v>3</v>
      </c>
      <c r="S424" s="46">
        <v>3</v>
      </c>
      <c r="T424" s="46"/>
      <c r="U424" s="46">
        <v>0</v>
      </c>
      <c r="V424" s="46">
        <v>0</v>
      </c>
      <c r="W424" s="46">
        <v>0</v>
      </c>
      <c r="X424" s="46">
        <v>0</v>
      </c>
      <c r="Y424" s="46">
        <v>3</v>
      </c>
      <c r="Z424" s="46">
        <v>3</v>
      </c>
      <c r="AA424" s="46">
        <v>0</v>
      </c>
      <c r="AB424" s="46">
        <v>3</v>
      </c>
      <c r="AC424" s="46">
        <v>0</v>
      </c>
      <c r="AD424" s="46">
        <v>0</v>
      </c>
      <c r="AE424" s="46">
        <v>0</v>
      </c>
      <c r="AF424" s="46">
        <v>0</v>
      </c>
      <c r="AG424" s="46">
        <v>0</v>
      </c>
      <c r="AH424" s="46"/>
      <c r="AI424" s="46">
        <v>0</v>
      </c>
      <c r="AJ424" s="46"/>
      <c r="AK424" s="46"/>
      <c r="AL424" s="46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ht="16" customHeight="1" spans="1:51" x14ac:dyDescent="0.25">
      <c r="A425" s="45"/>
      <c r="B425" s="46" t="s">
        <v>470</v>
      </c>
      <c r="C425" s="46" t="s">
        <v>471</v>
      </c>
      <c r="D425" s="46" t="s">
        <v>29</v>
      </c>
      <c r="E425" s="46" t="s">
        <v>37</v>
      </c>
      <c r="F425" s="46" t="s">
        <v>153</v>
      </c>
      <c r="G425" s="46" t="s">
        <v>153</v>
      </c>
      <c r="H425" s="46" t="s">
        <v>153</v>
      </c>
      <c r="I425" s="46" t="s">
        <v>42</v>
      </c>
      <c r="J425" s="46" t="s">
        <v>42</v>
      </c>
      <c r="K425" s="46" t="s">
        <v>42</v>
      </c>
      <c r="L425" s="46" t="s">
        <v>37</v>
      </c>
      <c r="M425" s="46" t="s">
        <v>42</v>
      </c>
      <c r="N425" s="46" t="s">
        <v>42</v>
      </c>
      <c r="O425" s="46" t="s">
        <v>42</v>
      </c>
      <c r="P425" s="46" t="s">
        <v>42</v>
      </c>
      <c r="Q425" s="46" t="s">
        <v>42</v>
      </c>
      <c r="R425" s="46" t="s">
        <v>42</v>
      </c>
      <c r="S425" s="46" t="s">
        <v>37</v>
      </c>
      <c r="T425" s="46" t="s">
        <v>42</v>
      </c>
      <c r="U425" s="46" t="s">
        <v>42</v>
      </c>
      <c r="V425" s="46" t="s">
        <v>42</v>
      </c>
      <c r="W425" s="46" t="s">
        <v>42</v>
      </c>
      <c r="X425" s="46" t="s">
        <v>42</v>
      </c>
      <c r="Y425" s="46" t="s">
        <v>42</v>
      </c>
      <c r="Z425" s="46" t="s">
        <v>222</v>
      </c>
      <c r="AA425" s="46" t="s">
        <v>42</v>
      </c>
      <c r="AB425" s="46" t="s">
        <v>42</v>
      </c>
      <c r="AC425" s="46" t="s">
        <v>42</v>
      </c>
      <c r="AD425" s="46" t="s">
        <v>42</v>
      </c>
      <c r="AE425" s="46" t="s">
        <v>42</v>
      </c>
      <c r="AF425" s="46" t="s">
        <v>42</v>
      </c>
      <c r="AG425" s="46" t="s">
        <v>222</v>
      </c>
      <c r="AH425" s="46" t="s">
        <v>43</v>
      </c>
      <c r="AI425" s="46" t="s">
        <v>42</v>
      </c>
      <c r="AJ425" s="46">
        <f>=SUM(E426:AI426)</f>
      </c>
      <c r="AK425" s="46">
        <f>=+AY425</f>
      </c>
      <c r="AL425" s="46"/>
      <c r="AM425" s="1"/>
      <c r="AN425" s="1">
        <f>=COUNTIF(E425:AI425,"A")+COUNTIF(E425:AI425,"B")+COUNTIF(E425:AI425,"C")+COUNTIF(E425:AI425,"D")+COUNTIF(E425:AI425,"E")+COUNTIF(E425:AI425,"F")+COUNTIF(E425:AI425,"M")+COUNTIF(E425:AI425,"AB")+COUNTIF(E425:AI425,"UZ")+COUNTIF(E425:AI425,"G")+(COUNTIF(E425:AI425,"RT.")/2)+(COUNTIF(E425:AI425,"ÇRT.")/2)</f>
      </c>
      <c r="AO425" s="1">
        <f>=COUNTIF(E425:AI425,"O")</f>
      </c>
      <c r="AP425" s="1">
        <f>=COUNTIF(E425:AI425,"RT")+(COUNTIF(E425:AI425,"RT.")/2)</f>
      </c>
      <c r="AQ425" s="1">
        <f>=COUNTIF(E425:AI425,"ÇRT")+(COUNTIF(E425:AI425,"ÇRT.")/2)</f>
      </c>
      <c r="AR425" s="1">
        <f>=COUNTIF(E425:AI425,"ÇHT")</f>
      </c>
      <c r="AS425" s="1">
        <f>=COUNTIF(E425:AI425,"Ö")+COUNTIF(E425:AI425,"T")</f>
      </c>
      <c r="AT425" s="1">
        <f>=COUNTIF(E425:AI425,"Y")</f>
      </c>
      <c r="AU425" s="1">
        <f>=COUNTIF(E425:AI425,"R.")</f>
      </c>
      <c r="AV425" s="1">
        <f>=COUNTIF(E425:AI425,"Ü")</f>
      </c>
      <c r="AW425" s="1">
        <f>=COUNTIF(E425:AI425,"R")</f>
      </c>
      <c r="AX425" s="1">
        <f>=COUNTIF(E425:AI425,"DV")</f>
      </c>
      <c r="AY425" s="1">
        <f>=+AN425+AO425+AP425+AQ425+AR425+AS425+AT425+AU425</f>
      </c>
    </row>
    <row r="426" ht="16" customHeight="1" spans="1:51" x14ac:dyDescent="0.25">
      <c r="A426" s="45"/>
      <c r="B426" s="46"/>
      <c r="C426" s="46"/>
      <c r="D426" s="46" t="s">
        <v>33</v>
      </c>
      <c r="E426" s="46"/>
      <c r="F426" s="46"/>
      <c r="G426" s="46"/>
      <c r="H426" s="46"/>
      <c r="I426" s="46"/>
      <c r="J426" s="46"/>
      <c r="K426" s="46">
        <v>3</v>
      </c>
      <c r="L426" s="46"/>
      <c r="M426" s="46">
        <v>1</v>
      </c>
      <c r="N426" s="46">
        <v>3</v>
      </c>
      <c r="O426" s="46">
        <v>3</v>
      </c>
      <c r="P426" s="46">
        <v>3</v>
      </c>
      <c r="Q426" s="46">
        <v>0.5</v>
      </c>
      <c r="R426" s="46">
        <v>3</v>
      </c>
      <c r="S426" s="46"/>
      <c r="T426" s="46">
        <v>3</v>
      </c>
      <c r="U426" s="46">
        <v>3</v>
      </c>
      <c r="V426" s="46">
        <v>3</v>
      </c>
      <c r="W426" s="46">
        <v>1</v>
      </c>
      <c r="X426" s="46"/>
      <c r="Y426" s="46">
        <v>3</v>
      </c>
      <c r="Z426" s="46">
        <v>3</v>
      </c>
      <c r="AA426" s="46">
        <v>3</v>
      </c>
      <c r="AB426" s="46">
        <v>3</v>
      </c>
      <c r="AC426" s="46">
        <v>3</v>
      </c>
      <c r="AD426" s="46">
        <v>3</v>
      </c>
      <c r="AE426" s="46">
        <v>3</v>
      </c>
      <c r="AF426" s="46">
        <v>2</v>
      </c>
      <c r="AG426" s="46"/>
      <c r="AH426" s="46"/>
      <c r="AI426" s="46"/>
      <c r="AJ426" s="46"/>
      <c r="AK426" s="46"/>
      <c r="AL426" s="46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ht="16" customHeight="1" spans="1:51" x14ac:dyDescent="0.25">
      <c r="A427" s="45"/>
      <c r="B427" s="46" t="s">
        <v>472</v>
      </c>
      <c r="C427" s="46" t="s">
        <v>473</v>
      </c>
      <c r="D427" s="46" t="s">
        <v>29</v>
      </c>
      <c r="E427" s="46" t="s">
        <v>36</v>
      </c>
      <c r="F427" s="46" t="s">
        <v>37</v>
      </c>
      <c r="G427" s="46" t="s">
        <v>36</v>
      </c>
      <c r="H427" s="46" t="s">
        <v>36</v>
      </c>
      <c r="I427" s="46" t="s">
        <v>36</v>
      </c>
      <c r="J427" s="46" t="s">
        <v>36</v>
      </c>
      <c r="K427" s="46" t="s">
        <v>36</v>
      </c>
      <c r="L427" s="46" t="s">
        <v>36</v>
      </c>
      <c r="M427" s="46" t="s">
        <v>37</v>
      </c>
      <c r="N427" s="46" t="s">
        <v>36</v>
      </c>
      <c r="O427" s="46" t="s">
        <v>36</v>
      </c>
      <c r="P427" s="46" t="s">
        <v>36</v>
      </c>
      <c r="Q427" s="46" t="s">
        <v>36</v>
      </c>
      <c r="R427" s="46" t="s">
        <v>36</v>
      </c>
      <c r="S427" s="46" t="s">
        <v>36</v>
      </c>
      <c r="T427" s="46" t="s">
        <v>37</v>
      </c>
      <c r="U427" s="46" t="s">
        <v>36</v>
      </c>
      <c r="V427" s="46" t="s">
        <v>36</v>
      </c>
      <c r="W427" s="46" t="s">
        <v>36</v>
      </c>
      <c r="X427" s="46" t="s">
        <v>36</v>
      </c>
      <c r="Y427" s="46" t="s">
        <v>36</v>
      </c>
      <c r="Z427" s="46" t="s">
        <v>36</v>
      </c>
      <c r="AA427" s="46" t="s">
        <v>37</v>
      </c>
      <c r="AB427" s="46" t="s">
        <v>36</v>
      </c>
      <c r="AC427" s="46" t="s">
        <v>36</v>
      </c>
      <c r="AD427" s="46" t="s">
        <v>36</v>
      </c>
      <c r="AE427" s="46" t="s">
        <v>36</v>
      </c>
      <c r="AF427" s="46" t="s">
        <v>36</v>
      </c>
      <c r="AG427" s="46" t="s">
        <v>36</v>
      </c>
      <c r="AH427" s="46" t="s">
        <v>222</v>
      </c>
      <c r="AI427" s="46" t="s">
        <v>36</v>
      </c>
      <c r="AJ427" s="46">
        <f>=SUM(E428:AI428)</f>
      </c>
      <c r="AK427" s="46">
        <f>=+AY427</f>
      </c>
      <c r="AL427" s="46"/>
      <c r="AM427" s="1"/>
      <c r="AN427" s="1">
        <f>=COUNTIF(E427:AI427,"A")+COUNTIF(E427:AI427,"B")+COUNTIF(E427:AI427,"C")+COUNTIF(E427:AI427,"D")+COUNTIF(E427:AI427,"E")+COUNTIF(E427:AI427,"F")+COUNTIF(E427:AI427,"M")+COUNTIF(E427:AI427,"AB")+COUNTIF(E427:AI427,"UZ")+COUNTIF(E427:AI427,"G")+(COUNTIF(E427:AI427,"RT.")/2)+(COUNTIF(E427:AI427,"ÇRT.")/2)</f>
      </c>
      <c r="AO427" s="1">
        <f>=COUNTIF(E427:AI427,"O")</f>
      </c>
      <c r="AP427" s="1">
        <f>=COUNTIF(E427:AI427,"RT")+(COUNTIF(E427:AI427,"RT.")/2)</f>
      </c>
      <c r="AQ427" s="1">
        <f>=COUNTIF(E427:AI427,"ÇRT")+(COUNTIF(E427:AI427,"ÇRT.")/2)</f>
      </c>
      <c r="AR427" s="1">
        <f>=COUNTIF(E427:AI427,"ÇHT")</f>
      </c>
      <c r="AS427" s="1">
        <f>=COUNTIF(E427:AI427,"Ö")+COUNTIF(E427:AI427,"T")</f>
      </c>
      <c r="AT427" s="1">
        <f>=COUNTIF(E427:AI427,"Y")</f>
      </c>
      <c r="AU427" s="1">
        <f>=COUNTIF(E427:AI427,"R.")</f>
      </c>
      <c r="AV427" s="1">
        <f>=COUNTIF(E427:AI427,"Ü")</f>
      </c>
      <c r="AW427" s="1">
        <f>=COUNTIF(E427:AI427,"R")</f>
      </c>
      <c r="AX427" s="1">
        <f>=COUNTIF(E427:AI427,"DV")</f>
      </c>
      <c r="AY427" s="1">
        <f>=+AN427+AO427+AP427+AQ427+AR427+AS427+AT427+AU427</f>
      </c>
    </row>
    <row r="428" ht="16" customHeight="1" spans="1:51" x14ac:dyDescent="0.25">
      <c r="A428" s="45"/>
      <c r="B428" s="46"/>
      <c r="C428" s="46"/>
      <c r="D428" s="46" t="s">
        <v>33</v>
      </c>
      <c r="E428" s="46">
        <v>2</v>
      </c>
      <c r="F428" s="46">
        <v>0</v>
      </c>
      <c r="G428" s="46">
        <v>2</v>
      </c>
      <c r="H428" s="46">
        <v>2</v>
      </c>
      <c r="I428" s="46">
        <v>2</v>
      </c>
      <c r="J428" s="46">
        <v>2</v>
      </c>
      <c r="K428" s="46">
        <v>2</v>
      </c>
      <c r="L428" s="46">
        <v>2</v>
      </c>
      <c r="M428" s="46">
        <v>0</v>
      </c>
      <c r="N428" s="46">
        <v>2</v>
      </c>
      <c r="O428" s="46">
        <v>2</v>
      </c>
      <c r="P428" s="46">
        <v>2</v>
      </c>
      <c r="Q428" s="46">
        <v>2</v>
      </c>
      <c r="R428" s="46">
        <v>2</v>
      </c>
      <c r="S428" s="46">
        <v>2</v>
      </c>
      <c r="T428" s="46"/>
      <c r="U428" s="46">
        <v>3</v>
      </c>
      <c r="V428" s="46">
        <v>3</v>
      </c>
      <c r="W428" s="46">
        <v>2</v>
      </c>
      <c r="X428" s="46">
        <v>2.5</v>
      </c>
      <c r="Y428" s="46">
        <v>2</v>
      </c>
      <c r="Z428" s="46">
        <v>2</v>
      </c>
      <c r="AA428" s="46">
        <v>0</v>
      </c>
      <c r="AB428" s="46">
        <v>3</v>
      </c>
      <c r="AC428" s="46">
        <v>3</v>
      </c>
      <c r="AD428" s="46">
        <v>2</v>
      </c>
      <c r="AE428" s="46">
        <v>2</v>
      </c>
      <c r="AF428" s="46">
        <v>2</v>
      </c>
      <c r="AG428" s="46">
        <v>2</v>
      </c>
      <c r="AH428" s="46"/>
      <c r="AI428" s="46">
        <v>2</v>
      </c>
      <c r="AJ428" s="46"/>
      <c r="AK428" s="46"/>
      <c r="AL428" s="46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ht="16" customHeight="1" spans="1:51" x14ac:dyDescent="0.25">
      <c r="A429" s="45"/>
      <c r="B429" s="46" t="s">
        <v>474</v>
      </c>
      <c r="C429" s="46" t="s">
        <v>475</v>
      </c>
      <c r="D429" s="46" t="s">
        <v>29</v>
      </c>
      <c r="E429" s="46" t="s">
        <v>36</v>
      </c>
      <c r="F429" s="46" t="s">
        <v>37</v>
      </c>
      <c r="G429" s="46" t="s">
        <v>36</v>
      </c>
      <c r="H429" s="46" t="s">
        <v>36</v>
      </c>
      <c r="I429" s="46" t="s">
        <v>36</v>
      </c>
      <c r="J429" s="46" t="s">
        <v>36</v>
      </c>
      <c r="K429" s="46" t="s">
        <v>36</v>
      </c>
      <c r="L429" s="46" t="s">
        <v>36</v>
      </c>
      <c r="M429" s="46" t="s">
        <v>222</v>
      </c>
      <c r="N429" s="46" t="s">
        <v>36</v>
      </c>
      <c r="O429" s="46" t="s">
        <v>36</v>
      </c>
      <c r="P429" s="46" t="s">
        <v>36</v>
      </c>
      <c r="Q429" s="46" t="s">
        <v>36</v>
      </c>
      <c r="R429" s="46" t="s">
        <v>36</v>
      </c>
      <c r="S429" s="46" t="s">
        <v>36</v>
      </c>
      <c r="T429" s="46" t="s">
        <v>37</v>
      </c>
      <c r="U429" s="46" t="s">
        <v>36</v>
      </c>
      <c r="V429" s="46" t="s">
        <v>36</v>
      </c>
      <c r="W429" s="46" t="s">
        <v>36</v>
      </c>
      <c r="X429" s="46" t="s">
        <v>36</v>
      </c>
      <c r="Y429" s="46" t="s">
        <v>36</v>
      </c>
      <c r="Z429" s="46" t="s">
        <v>36</v>
      </c>
      <c r="AA429" s="46" t="s">
        <v>222</v>
      </c>
      <c r="AB429" s="46" t="s">
        <v>36</v>
      </c>
      <c r="AC429" s="46" t="s">
        <v>36</v>
      </c>
      <c r="AD429" s="46" t="s">
        <v>36</v>
      </c>
      <c r="AE429" s="46" t="s">
        <v>36</v>
      </c>
      <c r="AF429" s="46" t="s">
        <v>36</v>
      </c>
      <c r="AG429" s="46" t="s">
        <v>36</v>
      </c>
      <c r="AH429" s="46" t="s">
        <v>222</v>
      </c>
      <c r="AI429" s="46" t="s">
        <v>36</v>
      </c>
      <c r="AJ429" s="46">
        <f>=SUM(E430:AI430)</f>
      </c>
      <c r="AK429" s="46">
        <f>=+AY429</f>
      </c>
      <c r="AL429" s="46"/>
      <c r="AM429" s="1"/>
      <c r="AN429" s="1">
        <f>=COUNTIF(E429:AI429,"A")+COUNTIF(E429:AI429,"B")+COUNTIF(E429:AI429,"C")+COUNTIF(E429:AI429,"D")+COUNTIF(E429:AI429,"E")+COUNTIF(E429:AI429,"F")+COUNTIF(E429:AI429,"M")+COUNTIF(E429:AI429,"AB")+COUNTIF(E429:AI429,"UZ")+COUNTIF(E429:AI429,"G")+(COUNTIF(E429:AI429,"RT.")/2)+(COUNTIF(E429:AI429,"ÇRT.")/2)</f>
      </c>
      <c r="AO429" s="1">
        <f>=COUNTIF(E429:AI429,"O")</f>
      </c>
      <c r="AP429" s="1">
        <f>=COUNTIF(E429:AI429,"RT")+(COUNTIF(E429:AI429,"RT.")/2)</f>
      </c>
      <c r="AQ429" s="1">
        <f>=COUNTIF(E429:AI429,"ÇRT")+(COUNTIF(E429:AI429,"ÇRT.")/2)</f>
      </c>
      <c r="AR429" s="1">
        <f>=COUNTIF(E429:AI429,"ÇHT")</f>
      </c>
      <c r="AS429" s="1">
        <f>=COUNTIF(E429:AI429,"Ö")+COUNTIF(E429:AI429,"T")</f>
      </c>
      <c r="AT429" s="1">
        <f>=COUNTIF(E429:AI429,"Y")</f>
      </c>
      <c r="AU429" s="1">
        <f>=COUNTIF(E429:AI429,"R.")</f>
      </c>
      <c r="AV429" s="1">
        <f>=COUNTIF(E429:AI429,"Ü")</f>
      </c>
      <c r="AW429" s="1">
        <f>=COUNTIF(E429:AI429,"R")</f>
      </c>
      <c r="AX429" s="1">
        <f>=COUNTIF(E429:AI429,"DV")</f>
      </c>
      <c r="AY429" s="1">
        <f>=+AN429+AO429+AP429+AQ429+AR429+AS429+AT429+AU429</f>
      </c>
    </row>
    <row r="430" ht="16" customHeight="1" spans="1:51" x14ac:dyDescent="0.25">
      <c r="A430" s="45"/>
      <c r="B430" s="46"/>
      <c r="C430" s="46"/>
      <c r="D430" s="46" t="s">
        <v>33</v>
      </c>
      <c r="E430" s="46">
        <v>2</v>
      </c>
      <c r="F430" s="46">
        <v>0</v>
      </c>
      <c r="G430" s="46">
        <v>2</v>
      </c>
      <c r="H430" s="46">
        <v>2</v>
      </c>
      <c r="I430" s="46">
        <v>2</v>
      </c>
      <c r="J430" s="46">
        <v>2</v>
      </c>
      <c r="K430" s="46">
        <v>2</v>
      </c>
      <c r="L430" s="46">
        <v>2</v>
      </c>
      <c r="M430" s="46"/>
      <c r="N430" s="46">
        <v>2</v>
      </c>
      <c r="O430" s="46">
        <v>3</v>
      </c>
      <c r="P430" s="46">
        <v>3</v>
      </c>
      <c r="Q430" s="46">
        <v>3</v>
      </c>
      <c r="R430" s="46">
        <v>3</v>
      </c>
      <c r="S430" s="46">
        <v>2</v>
      </c>
      <c r="T430" s="46"/>
      <c r="U430" s="46">
        <v>3</v>
      </c>
      <c r="V430" s="46">
        <v>3</v>
      </c>
      <c r="W430" s="46">
        <v>3</v>
      </c>
      <c r="X430" s="46">
        <v>2</v>
      </c>
      <c r="Y430" s="46">
        <v>2</v>
      </c>
      <c r="Z430" s="46">
        <v>2</v>
      </c>
      <c r="AA430" s="46">
        <v>0</v>
      </c>
      <c r="AB430" s="46">
        <v>3</v>
      </c>
      <c r="AC430" s="46">
        <v>3</v>
      </c>
      <c r="AD430" s="46">
        <v>3</v>
      </c>
      <c r="AE430" s="46">
        <v>2</v>
      </c>
      <c r="AF430" s="46">
        <v>2</v>
      </c>
      <c r="AG430" s="46">
        <v>2</v>
      </c>
      <c r="AH430" s="46"/>
      <c r="AI430" s="46">
        <v>2</v>
      </c>
      <c r="AJ430" s="46"/>
      <c r="AK430" s="46"/>
      <c r="AL430" s="46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ht="16" customHeight="1" spans="1:51" x14ac:dyDescent="0.25">
      <c r="A431" s="45"/>
      <c r="B431" s="46" t="s">
        <v>476</v>
      </c>
      <c r="C431" s="46" t="s">
        <v>477</v>
      </c>
      <c r="D431" s="46" t="s">
        <v>29</v>
      </c>
      <c r="E431" s="46" t="s">
        <v>153</v>
      </c>
      <c r="F431" s="46" t="s">
        <v>37</v>
      </c>
      <c r="G431" s="46" t="s">
        <v>36</v>
      </c>
      <c r="H431" s="46" t="s">
        <v>36</v>
      </c>
      <c r="I431" s="46" t="s">
        <v>36</v>
      </c>
      <c r="J431" s="46" t="s">
        <v>36</v>
      </c>
      <c r="K431" s="46" t="s">
        <v>36</v>
      </c>
      <c r="L431" s="46" t="s">
        <v>36</v>
      </c>
      <c r="M431" s="46" t="s">
        <v>37</v>
      </c>
      <c r="N431" s="46" t="s">
        <v>36</v>
      </c>
      <c r="O431" s="46" t="s">
        <v>36</v>
      </c>
      <c r="P431" s="46" t="s">
        <v>36</v>
      </c>
      <c r="Q431" s="46" t="s">
        <v>36</v>
      </c>
      <c r="R431" s="46" t="s">
        <v>36</v>
      </c>
      <c r="S431" s="46" t="s">
        <v>36</v>
      </c>
      <c r="T431" s="46" t="s">
        <v>37</v>
      </c>
      <c r="U431" s="46" t="s">
        <v>36</v>
      </c>
      <c r="V431" s="46" t="s">
        <v>36</v>
      </c>
      <c r="W431" s="46" t="s">
        <v>36</v>
      </c>
      <c r="X431" s="46" t="s">
        <v>36</v>
      </c>
      <c r="Y431" s="46" t="s">
        <v>36</v>
      </c>
      <c r="Z431" s="46" t="s">
        <v>36</v>
      </c>
      <c r="AA431" s="46" t="s">
        <v>37</v>
      </c>
      <c r="AB431" s="46" t="s">
        <v>36</v>
      </c>
      <c r="AC431" s="46" t="s">
        <v>36</v>
      </c>
      <c r="AD431" s="46" t="s">
        <v>36</v>
      </c>
      <c r="AE431" s="46" t="s">
        <v>36</v>
      </c>
      <c r="AF431" s="46" t="s">
        <v>36</v>
      </c>
      <c r="AG431" s="46" t="s">
        <v>36</v>
      </c>
      <c r="AH431" s="46" t="s">
        <v>222</v>
      </c>
      <c r="AI431" s="46" t="s">
        <v>36</v>
      </c>
      <c r="AJ431" s="46">
        <f>=SUM(E432:AI432)</f>
      </c>
      <c r="AK431" s="46">
        <f>=+AY431</f>
      </c>
      <c r="AL431" s="46"/>
      <c r="AM431" s="1"/>
      <c r="AN431" s="1">
        <f>=COUNTIF(E431:AI431,"A")+COUNTIF(E431:AI431,"B")+COUNTIF(E431:AI431,"C")+COUNTIF(E431:AI431,"D")+COUNTIF(E431:AI431,"E")+COUNTIF(E431:AI431,"F")+COUNTIF(E431:AI431,"M")+COUNTIF(E431:AI431,"AB")+COUNTIF(E431:AI431,"UZ")+COUNTIF(E431:AI431,"G")+(COUNTIF(E431:AI431,"RT.")/2)+(COUNTIF(E431:AI431,"ÇRT.")/2)</f>
      </c>
      <c r="AO431" s="1">
        <f>=COUNTIF(E431:AI431,"O")</f>
      </c>
      <c r="AP431" s="1">
        <f>=COUNTIF(E431:AI431,"RT")+(COUNTIF(E431:AI431,"RT.")/2)</f>
      </c>
      <c r="AQ431" s="1">
        <f>=COUNTIF(E431:AI431,"ÇRT")+(COUNTIF(E431:AI431,"ÇRT.")/2)</f>
      </c>
      <c r="AR431" s="1">
        <f>=COUNTIF(E431:AI431,"ÇHT")</f>
      </c>
      <c r="AS431" s="1">
        <f>=COUNTIF(E431:AI431,"Ö")+COUNTIF(E431:AI431,"T")</f>
      </c>
      <c r="AT431" s="1">
        <f>=COUNTIF(E431:AI431,"Y")</f>
      </c>
      <c r="AU431" s="1">
        <f>=COUNTIF(E431:AI431,"R.")</f>
      </c>
      <c r="AV431" s="1">
        <f>=COUNTIF(E431:AI431,"Ü")</f>
      </c>
      <c r="AW431" s="1">
        <f>=COUNTIF(E431:AI431,"R")</f>
      </c>
      <c r="AX431" s="1">
        <f>=COUNTIF(E431:AI431,"DV")</f>
      </c>
      <c r="AY431" s="1">
        <f>=+AN431+AO431+AP431+AQ431+AR431+AS431+AT431+AU431</f>
      </c>
    </row>
    <row r="432" ht="16" customHeight="1" spans="1:51" x14ac:dyDescent="0.25">
      <c r="A432" s="45"/>
      <c r="B432" s="46"/>
      <c r="C432" s="46"/>
      <c r="D432" s="46" t="s">
        <v>33</v>
      </c>
      <c r="E432" s="46"/>
      <c r="F432" s="46"/>
      <c r="G432" s="46">
        <v>2</v>
      </c>
      <c r="H432" s="46">
        <v>3</v>
      </c>
      <c r="I432" s="46">
        <v>3</v>
      </c>
      <c r="J432" s="46">
        <v>2</v>
      </c>
      <c r="K432" s="46">
        <v>3</v>
      </c>
      <c r="L432" s="46">
        <v>2</v>
      </c>
      <c r="M432" s="46">
        <v>0</v>
      </c>
      <c r="N432" s="46">
        <v>2</v>
      </c>
      <c r="O432" s="46">
        <v>3</v>
      </c>
      <c r="P432" s="46">
        <v>3</v>
      </c>
      <c r="Q432" s="46">
        <v>2</v>
      </c>
      <c r="R432" s="46">
        <v>2</v>
      </c>
      <c r="S432" s="46">
        <v>2</v>
      </c>
      <c r="T432" s="46"/>
      <c r="U432" s="46">
        <v>2</v>
      </c>
      <c r="V432" s="46">
        <v>2</v>
      </c>
      <c r="W432" s="46">
        <v>2</v>
      </c>
      <c r="X432" s="46">
        <v>3</v>
      </c>
      <c r="Y432" s="46">
        <v>3</v>
      </c>
      <c r="Z432" s="46">
        <v>2</v>
      </c>
      <c r="AA432" s="46">
        <v>0</v>
      </c>
      <c r="AB432" s="46">
        <v>2</v>
      </c>
      <c r="AC432" s="46">
        <v>2</v>
      </c>
      <c r="AD432" s="46">
        <v>2</v>
      </c>
      <c r="AE432" s="46">
        <v>2</v>
      </c>
      <c r="AF432" s="46">
        <v>2</v>
      </c>
      <c r="AG432" s="46">
        <v>2</v>
      </c>
      <c r="AH432" s="46"/>
      <c r="AI432" s="46">
        <v>2</v>
      </c>
      <c r="AJ432" s="46"/>
      <c r="AK432" s="46"/>
      <c r="AL432" s="46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ht="16" customHeight="1" spans="1:51" x14ac:dyDescent="0.25">
      <c r="A433" s="45"/>
      <c r="B433" s="46" t="s">
        <v>478</v>
      </c>
      <c r="C433" s="46" t="s">
        <v>479</v>
      </c>
      <c r="D433" s="46" t="s">
        <v>29</v>
      </c>
      <c r="E433" s="46"/>
      <c r="F433" s="46"/>
      <c r="G433" s="46" t="s">
        <v>42</v>
      </c>
      <c r="H433" s="46" t="s">
        <v>42</v>
      </c>
      <c r="I433" s="46" t="s">
        <v>42</v>
      </c>
      <c r="J433" s="46" t="s">
        <v>42</v>
      </c>
      <c r="K433" s="46" t="s">
        <v>37</v>
      </c>
      <c r="L433" s="46" t="s">
        <v>42</v>
      </c>
      <c r="M433" s="46" t="s">
        <v>42</v>
      </c>
      <c r="N433" s="46" t="s">
        <v>42</v>
      </c>
      <c r="O433" s="46" t="s">
        <v>42</v>
      </c>
      <c r="P433" s="46" t="s">
        <v>42</v>
      </c>
      <c r="Q433" s="46" t="s">
        <v>42</v>
      </c>
      <c r="R433" s="46" t="s">
        <v>42</v>
      </c>
      <c r="S433" s="46" t="s">
        <v>42</v>
      </c>
      <c r="T433" s="46" t="s">
        <v>37</v>
      </c>
      <c r="U433" s="46" t="s">
        <v>42</v>
      </c>
      <c r="V433" s="46" t="s">
        <v>42</v>
      </c>
      <c r="W433" s="46" t="s">
        <v>42</v>
      </c>
      <c r="X433" s="46" t="s">
        <v>42</v>
      </c>
      <c r="Y433" s="46" t="s">
        <v>42</v>
      </c>
      <c r="Z433" s="46" t="s">
        <v>42</v>
      </c>
      <c r="AA433" s="46" t="s">
        <v>42</v>
      </c>
      <c r="AB433" s="46" t="s">
        <v>37</v>
      </c>
      <c r="AC433" s="46" t="s">
        <v>37</v>
      </c>
      <c r="AD433" s="46" t="s">
        <v>42</v>
      </c>
      <c r="AE433" s="46" t="s">
        <v>42</v>
      </c>
      <c r="AF433" s="46" t="s">
        <v>42</v>
      </c>
      <c r="AG433" s="46" t="s">
        <v>42</v>
      </c>
      <c r="AH433" s="46" t="s">
        <v>43</v>
      </c>
      <c r="AI433" s="46" t="s">
        <v>42</v>
      </c>
      <c r="AJ433" s="46">
        <f>=SUM(E434:AI434)</f>
      </c>
      <c r="AK433" s="46">
        <f>=+AY433</f>
      </c>
      <c r="AL433" s="46"/>
      <c r="AM433" s="1"/>
      <c r="AN433" s="1">
        <f>=COUNTIF(E433:AI433,"A")+COUNTIF(E433:AI433,"B")+COUNTIF(E433:AI433,"C")+COUNTIF(E433:AI433,"D")+COUNTIF(E433:AI433,"E")+COUNTIF(E433:AI433,"F")+COUNTIF(E433:AI433,"M")+COUNTIF(E433:AI433,"AB")+COUNTIF(E433:AI433,"UZ")+COUNTIF(E433:AI433,"G")+(COUNTIF(E433:AI433,"RT.")/2)+(COUNTIF(E433:AI433,"ÇRT.")/2)</f>
      </c>
      <c r="AO433" s="1">
        <f>=COUNTIF(E433:AI433,"O")</f>
      </c>
      <c r="AP433" s="1">
        <f>=COUNTIF(E433:AI433,"RT")+(COUNTIF(E433:AI433,"RT.")/2)</f>
      </c>
      <c r="AQ433" s="1">
        <f>=COUNTIF(E433:AI433,"ÇRT")+(COUNTIF(E433:AI433,"ÇRT.")/2)</f>
      </c>
      <c r="AR433" s="1">
        <f>=COUNTIF(E433:AI433,"ÇHT")</f>
      </c>
      <c r="AS433" s="1">
        <f>=COUNTIF(E433:AI433,"Ö")+COUNTIF(E433:AI433,"T")</f>
      </c>
      <c r="AT433" s="1">
        <f>=COUNTIF(E433:AI433,"Y")</f>
      </c>
      <c r="AU433" s="1">
        <f>=COUNTIF(E433:AI433,"R.")</f>
      </c>
      <c r="AV433" s="1">
        <f>=COUNTIF(E433:AI433,"Ü")</f>
      </c>
      <c r="AW433" s="1">
        <f>=COUNTIF(E433:AI433,"R")</f>
      </c>
      <c r="AX433" s="1">
        <f>=COUNTIF(E433:AI433,"DV")</f>
      </c>
      <c r="AY433" s="1">
        <f>=+AN433+AO433+AP433+AQ433+AR433+AS433+AT433+AU433</f>
      </c>
    </row>
    <row r="434" ht="16" customHeight="1" spans="1:51" x14ac:dyDescent="0.25">
      <c r="A434" s="45"/>
      <c r="B434" s="46"/>
      <c r="C434" s="46"/>
      <c r="D434" s="46" t="s">
        <v>33</v>
      </c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>
        <v>3</v>
      </c>
      <c r="AA434" s="46">
        <v>2</v>
      </c>
      <c r="AB434" s="46"/>
      <c r="AC434" s="46"/>
      <c r="AD434" s="46"/>
      <c r="AE434" s="46"/>
      <c r="AF434" s="46"/>
      <c r="AG434" s="46"/>
      <c r="AH434" s="46"/>
      <c r="AI434" s="46"/>
      <c r="AJ434" s="46"/>
      <c r="AK434" s="46"/>
      <c r="AL434" s="46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ht="16" customHeight="1" spans="1:51" x14ac:dyDescent="0.25">
      <c r="A435" s="45"/>
      <c r="B435" s="46" t="s">
        <v>480</v>
      </c>
      <c r="C435" s="46" t="s">
        <v>481</v>
      </c>
      <c r="D435" s="46" t="s">
        <v>29</v>
      </c>
      <c r="E435" s="46"/>
      <c r="F435" s="46"/>
      <c r="G435" s="46" t="s">
        <v>42</v>
      </c>
      <c r="H435" s="46" t="s">
        <v>42</v>
      </c>
      <c r="I435" s="46" t="s">
        <v>42</v>
      </c>
      <c r="J435" s="46" t="s">
        <v>42</v>
      </c>
      <c r="K435" s="46" t="s">
        <v>42</v>
      </c>
      <c r="L435" s="46" t="s">
        <v>37</v>
      </c>
      <c r="M435" s="46" t="s">
        <v>42</v>
      </c>
      <c r="N435" s="46" t="s">
        <v>42</v>
      </c>
      <c r="O435" s="46" t="s">
        <v>42</v>
      </c>
      <c r="P435" s="46" t="s">
        <v>42</v>
      </c>
      <c r="Q435" s="46" t="s">
        <v>42</v>
      </c>
      <c r="R435" s="46" t="s">
        <v>42</v>
      </c>
      <c r="S435" s="46" t="s">
        <v>37</v>
      </c>
      <c r="T435" s="46" t="s">
        <v>42</v>
      </c>
      <c r="U435" s="46" t="s">
        <v>42</v>
      </c>
      <c r="V435" s="46" t="s">
        <v>42</v>
      </c>
      <c r="W435" s="46" t="s">
        <v>42</v>
      </c>
      <c r="X435" s="46" t="s">
        <v>42</v>
      </c>
      <c r="Y435" s="46" t="s">
        <v>42</v>
      </c>
      <c r="Z435" s="46" t="s">
        <v>37</v>
      </c>
      <c r="AA435" s="46" t="s">
        <v>42</v>
      </c>
      <c r="AB435" s="46" t="s">
        <v>42</v>
      </c>
      <c r="AC435" s="46" t="s">
        <v>42</v>
      </c>
      <c r="AD435" s="46" t="s">
        <v>42</v>
      </c>
      <c r="AE435" s="46" t="s">
        <v>42</v>
      </c>
      <c r="AF435" s="46" t="s">
        <v>42</v>
      </c>
      <c r="AG435" s="46" t="s">
        <v>42</v>
      </c>
      <c r="AH435" s="46" t="s">
        <v>43</v>
      </c>
      <c r="AI435" s="46" t="s">
        <v>42</v>
      </c>
      <c r="AJ435" s="46">
        <f>=SUM(E436:AI436)</f>
      </c>
      <c r="AK435" s="46">
        <f>=+AY435</f>
      </c>
      <c r="AL435" s="46"/>
      <c r="AM435" s="1"/>
      <c r="AN435" s="1">
        <f>=COUNTIF(E435:AI435,"A")+COUNTIF(E435:AI435,"B")+COUNTIF(E435:AI435,"C")+COUNTIF(E435:AI435,"D")+COUNTIF(E435:AI435,"E")+COUNTIF(E435:AI435,"F")+COUNTIF(E435:AI435,"M")+COUNTIF(E435:AI435,"AB")+COUNTIF(E435:AI435,"UZ")+COUNTIF(E435:AI435,"G")+(COUNTIF(E435:AI435,"RT.")/2)+(COUNTIF(E435:AI435,"ÇRT.")/2)</f>
      </c>
      <c r="AO435" s="1">
        <f>=COUNTIF(E435:AI435,"O")</f>
      </c>
      <c r="AP435" s="1">
        <f>=COUNTIF(E435:AI435,"RT")+(COUNTIF(E435:AI435,"RT.")/2)</f>
      </c>
      <c r="AQ435" s="1">
        <f>=COUNTIF(E435:AI435,"ÇRT")+(COUNTIF(E435:AI435,"ÇRT.")/2)</f>
      </c>
      <c r="AR435" s="1">
        <f>=COUNTIF(E435:AI435,"ÇHT")</f>
      </c>
      <c r="AS435" s="1">
        <f>=COUNTIF(E435:AI435,"Ö")+COUNTIF(E435:AI435,"T")</f>
      </c>
      <c r="AT435" s="1">
        <f>=COUNTIF(E435:AI435,"Y")</f>
      </c>
      <c r="AU435" s="1">
        <f>=COUNTIF(E435:AI435,"R.")</f>
      </c>
      <c r="AV435" s="1">
        <f>=COUNTIF(E435:AI435,"Ü")</f>
      </c>
      <c r="AW435" s="1">
        <f>=COUNTIF(E435:AI435,"R")</f>
      </c>
      <c r="AX435" s="1">
        <f>=COUNTIF(E435:AI435,"DV")</f>
      </c>
      <c r="AY435" s="1">
        <f>=+AN435+AO435+AP435+AQ435+AR435+AS435+AT435+AU435</f>
      </c>
    </row>
    <row r="436" ht="16" customHeight="1" spans="1:51" x14ac:dyDescent="0.25">
      <c r="A436" s="45"/>
      <c r="B436" s="46"/>
      <c r="C436" s="46"/>
      <c r="D436" s="46" t="s">
        <v>33</v>
      </c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>
        <v>3</v>
      </c>
      <c r="AB436" s="46">
        <v>2</v>
      </c>
      <c r="AC436" s="46"/>
      <c r="AD436" s="46"/>
      <c r="AE436" s="46"/>
      <c r="AF436" s="46"/>
      <c r="AG436" s="46"/>
      <c r="AH436" s="46"/>
      <c r="AI436" s="46"/>
      <c r="AJ436" s="46"/>
      <c r="AK436" s="46"/>
      <c r="AL436" s="46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ht="16" customHeight="1" spans="1:51" x14ac:dyDescent="0.25">
      <c r="A437" s="45"/>
      <c r="B437" s="46" t="s">
        <v>482</v>
      </c>
      <c r="C437" s="46" t="s">
        <v>483</v>
      </c>
      <c r="D437" s="46" t="s">
        <v>29</v>
      </c>
      <c r="E437" s="46" t="s">
        <v>36</v>
      </c>
      <c r="F437" s="46" t="s">
        <v>37</v>
      </c>
      <c r="G437" s="46" t="s">
        <v>36</v>
      </c>
      <c r="H437" s="46" t="s">
        <v>36</v>
      </c>
      <c r="I437" s="46" t="s">
        <v>36</v>
      </c>
      <c r="J437" s="46" t="s">
        <v>36</v>
      </c>
      <c r="K437" s="46" t="s">
        <v>36</v>
      </c>
      <c r="L437" s="46" t="s">
        <v>36</v>
      </c>
      <c r="M437" s="46" t="s">
        <v>37</v>
      </c>
      <c r="N437" s="46" t="s">
        <v>36</v>
      </c>
      <c r="O437" s="46" t="s">
        <v>36</v>
      </c>
      <c r="P437" s="46" t="s">
        <v>36</v>
      </c>
      <c r="Q437" s="46" t="s">
        <v>337</v>
      </c>
      <c r="R437" s="46" t="s">
        <v>36</v>
      </c>
      <c r="S437" s="46" t="s">
        <v>36</v>
      </c>
      <c r="T437" s="46" t="s">
        <v>222</v>
      </c>
      <c r="U437" s="46" t="s">
        <v>36</v>
      </c>
      <c r="V437" s="46" t="s">
        <v>36</v>
      </c>
      <c r="W437" s="46" t="s">
        <v>36</v>
      </c>
      <c r="X437" s="46" t="s">
        <v>36</v>
      </c>
      <c r="Y437" s="46" t="s">
        <v>36</v>
      </c>
      <c r="Z437" s="46" t="s">
        <v>36</v>
      </c>
      <c r="AA437" s="46" t="s">
        <v>37</v>
      </c>
      <c r="AB437" s="46" t="s">
        <v>36</v>
      </c>
      <c r="AC437" s="46" t="s">
        <v>36</v>
      </c>
      <c r="AD437" s="46" t="s">
        <v>36</v>
      </c>
      <c r="AE437" s="46" t="s">
        <v>36</v>
      </c>
      <c r="AF437" s="46" t="s">
        <v>36</v>
      </c>
      <c r="AG437" s="46" t="s">
        <v>36</v>
      </c>
      <c r="AH437" s="46" t="s">
        <v>222</v>
      </c>
      <c r="AI437" s="46" t="s">
        <v>153</v>
      </c>
      <c r="AJ437" s="46">
        <f>=SUM(E438:AI438)</f>
      </c>
      <c r="AK437" s="46">
        <f>=+AY437</f>
      </c>
      <c r="AL437" s="46"/>
      <c r="AM437" s="1"/>
      <c r="AN437" s="1">
        <f>=COUNTIF(E437:AI437,"A")+COUNTIF(E437:AI437,"B")+COUNTIF(E437:AI437,"C")+COUNTIF(E437:AI437,"D")+COUNTIF(E437:AI437,"E")+COUNTIF(E437:AI437,"F")+COUNTIF(E437:AI437,"M")+COUNTIF(E437:AI437,"AB")+COUNTIF(E437:AI437,"UZ")+COUNTIF(E437:AI437,"G")+(COUNTIF(E437:AI437,"RT.")/2)+(COUNTIF(E437:AI437,"ÇRT.")/2)</f>
      </c>
      <c r="AO437" s="1">
        <f>=COUNTIF(E437:AI437,"O")</f>
      </c>
      <c r="AP437" s="1">
        <f>=COUNTIF(E437:AI437,"RT")+(COUNTIF(E437:AI437,"RT.")/2)</f>
      </c>
      <c r="AQ437" s="1">
        <f>=COUNTIF(E437:AI437,"ÇRT")+(COUNTIF(E437:AI437,"ÇRT.")/2)</f>
      </c>
      <c r="AR437" s="1">
        <f>=COUNTIF(E437:AI437,"ÇHT")</f>
      </c>
      <c r="AS437" s="1">
        <f>=COUNTIF(E437:AI437,"Ö")+COUNTIF(E437:AI437,"T")</f>
      </c>
      <c r="AT437" s="1">
        <f>=COUNTIF(E437:AI437,"Y")</f>
      </c>
      <c r="AU437" s="1">
        <f>=COUNTIF(E437:AI437,"R.")</f>
      </c>
      <c r="AV437" s="1">
        <f>=COUNTIF(E437:AI437,"Ü")</f>
      </c>
      <c r="AW437" s="1">
        <f>=COUNTIF(E437:AI437,"R")</f>
      </c>
      <c r="AX437" s="1">
        <f>=COUNTIF(E437:AI437,"DV")</f>
      </c>
      <c r="AY437" s="1">
        <f>=+AN437+AO437+AP437+AQ437+AR437+AS437+AT437+AU437</f>
      </c>
    </row>
    <row r="438" ht="16" customHeight="1" spans="1:51" x14ac:dyDescent="0.25">
      <c r="A438" s="45"/>
      <c r="B438" s="46"/>
      <c r="C438" s="46"/>
      <c r="D438" s="46" t="s">
        <v>33</v>
      </c>
      <c r="E438" s="46">
        <v>2</v>
      </c>
      <c r="F438" s="46"/>
      <c r="G438" s="46">
        <v>2</v>
      </c>
      <c r="H438" s="46">
        <v>2</v>
      </c>
      <c r="I438" s="46">
        <v>2</v>
      </c>
      <c r="J438" s="46">
        <v>2.5</v>
      </c>
      <c r="K438" s="46">
        <v>2</v>
      </c>
      <c r="L438" s="46">
        <v>2</v>
      </c>
      <c r="M438" s="46">
        <v>0</v>
      </c>
      <c r="N438" s="46">
        <v>2</v>
      </c>
      <c r="O438" s="46">
        <v>2</v>
      </c>
      <c r="P438" s="46">
        <v>2</v>
      </c>
      <c r="Q438" s="46">
        <v>0</v>
      </c>
      <c r="R438" s="46">
        <v>2</v>
      </c>
      <c r="S438" s="46">
        <v>2</v>
      </c>
      <c r="T438" s="46"/>
      <c r="U438" s="46">
        <v>2</v>
      </c>
      <c r="V438" s="46">
        <v>2</v>
      </c>
      <c r="W438" s="46">
        <v>2</v>
      </c>
      <c r="X438" s="46">
        <v>2.5</v>
      </c>
      <c r="Y438" s="46">
        <v>2</v>
      </c>
      <c r="Z438" s="46">
        <v>2</v>
      </c>
      <c r="AA438" s="46"/>
      <c r="AB438" s="46">
        <v>3</v>
      </c>
      <c r="AC438" s="46">
        <v>2.5</v>
      </c>
      <c r="AD438" s="46">
        <v>2.5</v>
      </c>
      <c r="AE438" s="46">
        <v>2</v>
      </c>
      <c r="AF438" s="46">
        <v>2</v>
      </c>
      <c r="AG438" s="46">
        <v>2</v>
      </c>
      <c r="AH438" s="46"/>
      <c r="AI438" s="46">
        <v>0</v>
      </c>
      <c r="AJ438" s="46"/>
      <c r="AK438" s="46"/>
      <c r="AL438" s="46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ht="16" customHeight="1" spans="1:51" x14ac:dyDescent="0.25">
      <c r="A439" s="45"/>
      <c r="B439" s="46" t="s">
        <v>484</v>
      </c>
      <c r="C439" s="46" t="s">
        <v>485</v>
      </c>
      <c r="D439" s="46" t="s">
        <v>29</v>
      </c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  <c r="AC439" s="46" t="s">
        <v>42</v>
      </c>
      <c r="AD439" s="46" t="s">
        <v>42</v>
      </c>
      <c r="AE439" s="46" t="s">
        <v>42</v>
      </c>
      <c r="AF439" s="46" t="s">
        <v>42</v>
      </c>
      <c r="AG439" s="46" t="s">
        <v>42</v>
      </c>
      <c r="AH439" s="46" t="s">
        <v>43</v>
      </c>
      <c r="AI439" s="46" t="s">
        <v>42</v>
      </c>
      <c r="AJ439" s="46">
        <f>=SUM(E440:AI440)</f>
      </c>
      <c r="AK439" s="46">
        <f>=+AY439</f>
      </c>
      <c r="AL439" s="46"/>
      <c r="AM439" s="1"/>
      <c r="AN439" s="1">
        <f>=COUNTIF(E439:AI439,"A")+COUNTIF(E439:AI439,"B")+COUNTIF(E439:AI439,"C")+COUNTIF(E439:AI439,"D")+COUNTIF(E439:AI439,"E")+COUNTIF(E439:AI439,"F")+COUNTIF(E439:AI439,"M")+COUNTIF(E439:AI439,"AB")+COUNTIF(E439:AI439,"UZ")+COUNTIF(E439:AI439,"G")+(COUNTIF(E439:AI439,"RT.")/2)+(COUNTIF(E439:AI439,"ÇRT.")/2)</f>
      </c>
      <c r="AO439" s="1">
        <f>=COUNTIF(E439:AI439,"O")</f>
      </c>
      <c r="AP439" s="1">
        <f>=COUNTIF(E439:AI439,"RT")+(COUNTIF(E439:AI439,"RT.")/2)</f>
      </c>
      <c r="AQ439" s="1">
        <f>=COUNTIF(E439:AI439,"ÇRT")+(COUNTIF(E439:AI439,"ÇRT.")/2)</f>
      </c>
      <c r="AR439" s="1">
        <f>=COUNTIF(E439:AI439,"ÇHT")</f>
      </c>
      <c r="AS439" s="1">
        <f>=COUNTIF(E439:AI439,"Ö")+COUNTIF(E439:AI439,"T")</f>
      </c>
      <c r="AT439" s="1">
        <f>=COUNTIF(E439:AI439,"Y")</f>
      </c>
      <c r="AU439" s="1">
        <f>=COUNTIF(E439:AI439,"R.")</f>
      </c>
      <c r="AV439" s="1">
        <f>=COUNTIF(E439:AI439,"Ü")</f>
      </c>
      <c r="AW439" s="1">
        <f>=COUNTIF(E439:AI439,"R")</f>
      </c>
      <c r="AX439" s="1">
        <f>=COUNTIF(E439:AI439,"DV")</f>
      </c>
      <c r="AY439" s="1">
        <f>=+AN439+AO439+AP439+AQ439+AR439+AS439+AT439+AU439</f>
      </c>
    </row>
    <row r="440" ht="16" customHeight="1" spans="1:51" x14ac:dyDescent="0.25">
      <c r="A440" s="45"/>
      <c r="B440" s="46"/>
      <c r="C440" s="46"/>
      <c r="D440" s="46" t="s">
        <v>33</v>
      </c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  <c r="AC440" s="46">
        <v>3</v>
      </c>
      <c r="AD440" s="46">
        <v>2</v>
      </c>
      <c r="AE440" s="46"/>
      <c r="AF440" s="46"/>
      <c r="AG440" s="46"/>
      <c r="AH440" s="46"/>
      <c r="AI440" s="46"/>
      <c r="AJ440" s="46"/>
      <c r="AK440" s="46"/>
      <c r="AL440" s="46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ht="16" customHeight="1" spans="1:51" x14ac:dyDescent="0.25">
      <c r="A441" s="45"/>
      <c r="B441" s="46" t="s">
        <v>486</v>
      </c>
      <c r="C441" s="46" t="s">
        <v>487</v>
      </c>
      <c r="D441" s="46" t="s">
        <v>29</v>
      </c>
      <c r="E441" s="46" t="s">
        <v>36</v>
      </c>
      <c r="F441" s="46" t="s">
        <v>37</v>
      </c>
      <c r="G441" s="46" t="s">
        <v>36</v>
      </c>
      <c r="H441" s="46" t="s">
        <v>36</v>
      </c>
      <c r="I441" s="46" t="s">
        <v>36</v>
      </c>
      <c r="J441" s="46" t="s">
        <v>36</v>
      </c>
      <c r="K441" s="46" t="s">
        <v>36</v>
      </c>
      <c r="L441" s="46" t="s">
        <v>36</v>
      </c>
      <c r="M441" s="46" t="s">
        <v>37</v>
      </c>
      <c r="N441" s="46" t="s">
        <v>36</v>
      </c>
      <c r="O441" s="46" t="s">
        <v>36</v>
      </c>
      <c r="P441" s="46" t="s">
        <v>36</v>
      </c>
      <c r="Q441" s="46" t="s">
        <v>36</v>
      </c>
      <c r="R441" s="46" t="s">
        <v>36</v>
      </c>
      <c r="S441" s="46" t="s">
        <v>36</v>
      </c>
      <c r="T441" s="46" t="s">
        <v>222</v>
      </c>
      <c r="U441" s="46" t="s">
        <v>36</v>
      </c>
      <c r="V441" s="46" t="s">
        <v>36</v>
      </c>
      <c r="W441" s="46" t="s">
        <v>36</v>
      </c>
      <c r="X441" s="46" t="s">
        <v>36</v>
      </c>
      <c r="Y441" s="46" t="s">
        <v>36</v>
      </c>
      <c r="Z441" s="46" t="s">
        <v>36</v>
      </c>
      <c r="AA441" s="46" t="s">
        <v>222</v>
      </c>
      <c r="AB441" s="46" t="s">
        <v>36</v>
      </c>
      <c r="AC441" s="46" t="s">
        <v>36</v>
      </c>
      <c r="AD441" s="46" t="s">
        <v>36</v>
      </c>
      <c r="AE441" s="46" t="s">
        <v>36</v>
      </c>
      <c r="AF441" s="46" t="s">
        <v>36</v>
      </c>
      <c r="AG441" s="46" t="s">
        <v>36</v>
      </c>
      <c r="AH441" s="46" t="s">
        <v>222</v>
      </c>
      <c r="AI441" s="46" t="s">
        <v>36</v>
      </c>
      <c r="AJ441" s="46">
        <f>=SUM(E442:AI442)</f>
      </c>
      <c r="AK441" s="46">
        <f>=+AY441</f>
      </c>
      <c r="AL441" s="46"/>
      <c r="AM441" s="1"/>
      <c r="AN441" s="1">
        <f>=COUNTIF(E441:AI441,"A")+COUNTIF(E441:AI441,"B")+COUNTIF(E441:AI441,"C")+COUNTIF(E441:AI441,"D")+COUNTIF(E441:AI441,"E")+COUNTIF(E441:AI441,"F")+COUNTIF(E441:AI441,"M")+COUNTIF(E441:AI441,"AB")+COUNTIF(E441:AI441,"UZ")+COUNTIF(E441:AI441,"G")+(COUNTIF(E441:AI441,"RT.")/2)+(COUNTIF(E441:AI441,"ÇRT.")/2)</f>
      </c>
      <c r="AO441" s="1">
        <f>=COUNTIF(E441:AI441,"O")</f>
      </c>
      <c r="AP441" s="1">
        <f>=COUNTIF(E441:AI441,"RT")+(COUNTIF(E441:AI441,"RT.")/2)</f>
      </c>
      <c r="AQ441" s="1">
        <f>=COUNTIF(E441:AI441,"ÇRT")+(COUNTIF(E441:AI441,"ÇRT.")/2)</f>
      </c>
      <c r="AR441" s="1">
        <f>=COUNTIF(E441:AI441,"ÇHT")</f>
      </c>
      <c r="AS441" s="1">
        <f>=COUNTIF(E441:AI441,"Ö")+COUNTIF(E441:AI441,"T")</f>
      </c>
      <c r="AT441" s="1">
        <f>=COUNTIF(E441:AI441,"Y")</f>
      </c>
      <c r="AU441" s="1">
        <f>=COUNTIF(E441:AI441,"R.")</f>
      </c>
      <c r="AV441" s="1">
        <f>=COUNTIF(E441:AI441,"Ü")</f>
      </c>
      <c r="AW441" s="1">
        <f>=COUNTIF(E441:AI441,"R")</f>
      </c>
      <c r="AX441" s="1">
        <f>=COUNTIF(E441:AI441,"DV")</f>
      </c>
      <c r="AY441" s="1">
        <f>=+AN441+AO441+AP441+AQ441+AR441+AS441+AT441+AU441</f>
      </c>
    </row>
    <row r="442" ht="16" customHeight="1" spans="1:51" x14ac:dyDescent="0.25">
      <c r="A442" s="45"/>
      <c r="B442" s="46"/>
      <c r="C442" s="46"/>
      <c r="D442" s="46" t="s">
        <v>33</v>
      </c>
      <c r="E442" s="46">
        <v>2</v>
      </c>
      <c r="F442" s="46"/>
      <c r="G442" s="46">
        <v>2</v>
      </c>
      <c r="H442" s="46">
        <v>2</v>
      </c>
      <c r="I442" s="46">
        <v>2</v>
      </c>
      <c r="J442" s="46">
        <v>2</v>
      </c>
      <c r="K442" s="46">
        <v>2</v>
      </c>
      <c r="L442" s="46">
        <v>2</v>
      </c>
      <c r="M442" s="46"/>
      <c r="N442" s="46">
        <v>3</v>
      </c>
      <c r="O442" s="46">
        <v>3</v>
      </c>
      <c r="P442" s="46">
        <v>3</v>
      </c>
      <c r="Q442" s="46">
        <v>3</v>
      </c>
      <c r="R442" s="46">
        <v>3</v>
      </c>
      <c r="S442" s="46">
        <v>3</v>
      </c>
      <c r="T442" s="46"/>
      <c r="U442" s="46">
        <v>3</v>
      </c>
      <c r="V442" s="46">
        <v>3</v>
      </c>
      <c r="W442" s="46">
        <v>3</v>
      </c>
      <c r="X442" s="46">
        <v>3</v>
      </c>
      <c r="Y442" s="46">
        <v>2</v>
      </c>
      <c r="Z442" s="46">
        <v>2</v>
      </c>
      <c r="AA442" s="46"/>
      <c r="AB442" s="46">
        <v>2</v>
      </c>
      <c r="AC442" s="46">
        <v>2</v>
      </c>
      <c r="AD442" s="46">
        <v>2</v>
      </c>
      <c r="AE442" s="46">
        <v>2</v>
      </c>
      <c r="AF442" s="46">
        <v>2</v>
      </c>
      <c r="AG442" s="46">
        <v>2</v>
      </c>
      <c r="AH442" s="46"/>
      <c r="AI442" s="46">
        <v>2</v>
      </c>
      <c r="AJ442" s="46"/>
      <c r="AK442" s="46"/>
      <c r="AL442" s="46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ht="16" customHeight="1" spans="1:51" x14ac:dyDescent="0.25">
      <c r="A443" s="45"/>
      <c r="B443" s="46" t="s">
        <v>488</v>
      </c>
      <c r="C443" s="46" t="s">
        <v>489</v>
      </c>
      <c r="D443" s="46" t="s">
        <v>29</v>
      </c>
      <c r="E443" s="46" t="s">
        <v>36</v>
      </c>
      <c r="F443" s="46" t="s">
        <v>36</v>
      </c>
      <c r="G443" s="46" t="s">
        <v>36</v>
      </c>
      <c r="H443" s="46" t="s">
        <v>36</v>
      </c>
      <c r="I443" s="46" t="s">
        <v>36</v>
      </c>
      <c r="J443" s="46" t="s">
        <v>36</v>
      </c>
      <c r="K443" s="46" t="s">
        <v>37</v>
      </c>
      <c r="L443" s="46" t="s">
        <v>36</v>
      </c>
      <c r="M443" s="46" t="s">
        <v>36</v>
      </c>
      <c r="N443" s="46" t="s">
        <v>36</v>
      </c>
      <c r="O443" s="46" t="s">
        <v>36</v>
      </c>
      <c r="P443" s="46" t="s">
        <v>36</v>
      </c>
      <c r="Q443" s="46" t="s">
        <v>36</v>
      </c>
      <c r="R443" s="46" t="s">
        <v>37</v>
      </c>
      <c r="S443" s="46" t="s">
        <v>36</v>
      </c>
      <c r="T443" s="46" t="s">
        <v>36</v>
      </c>
      <c r="U443" s="46" t="s">
        <v>36</v>
      </c>
      <c r="V443" s="46" t="s">
        <v>36</v>
      </c>
      <c r="W443" s="46" t="s">
        <v>36</v>
      </c>
      <c r="X443" s="46" t="s">
        <v>36</v>
      </c>
      <c r="Y443" s="46" t="s">
        <v>37</v>
      </c>
      <c r="Z443" s="46" t="s">
        <v>36</v>
      </c>
      <c r="AA443" s="46" t="s">
        <v>36</v>
      </c>
      <c r="AB443" s="46" t="s">
        <v>36</v>
      </c>
      <c r="AC443" s="46" t="s">
        <v>36</v>
      </c>
      <c r="AD443" s="46" t="s">
        <v>36</v>
      </c>
      <c r="AE443" s="46" t="s">
        <v>36</v>
      </c>
      <c r="AF443" s="46" t="s">
        <v>222</v>
      </c>
      <c r="AG443" s="46" t="s">
        <v>36</v>
      </c>
      <c r="AH443" s="46" t="s">
        <v>43</v>
      </c>
      <c r="AI443" s="46" t="s">
        <v>36</v>
      </c>
      <c r="AJ443" s="46">
        <f>=SUM(E444:AI444)</f>
      </c>
      <c r="AK443" s="46">
        <f>=+AY443</f>
      </c>
      <c r="AL443" s="46"/>
      <c r="AM443" s="1"/>
      <c r="AN443" s="1">
        <f>=COUNTIF(E443:AI443,"A")+COUNTIF(E443:AI443,"B")+COUNTIF(E443:AI443,"C")+COUNTIF(E443:AI443,"D")+COUNTIF(E443:AI443,"E")+COUNTIF(E443:AI443,"F")+COUNTIF(E443:AI443,"M")+COUNTIF(E443:AI443,"AB")+COUNTIF(E443:AI443,"UZ")+COUNTIF(E443:AI443,"G")+(COUNTIF(E443:AI443,"RT.")/2)+(COUNTIF(E443:AI443,"ÇRT.")/2)</f>
      </c>
      <c r="AO443" s="1">
        <f>=COUNTIF(E443:AI443,"O")</f>
      </c>
      <c r="AP443" s="1">
        <f>=COUNTIF(E443:AI443,"RT")+(COUNTIF(E443:AI443,"RT.")/2)</f>
      </c>
      <c r="AQ443" s="1">
        <f>=COUNTIF(E443:AI443,"ÇRT")+(COUNTIF(E443:AI443,"ÇRT.")/2)</f>
      </c>
      <c r="AR443" s="1">
        <f>=COUNTIF(E443:AI443,"ÇHT")</f>
      </c>
      <c r="AS443" s="1">
        <f>=COUNTIF(E443:AI443,"Ö")+COUNTIF(E443:AI443,"T")</f>
      </c>
      <c r="AT443" s="1">
        <f>=COUNTIF(E443:AI443,"Y")</f>
      </c>
      <c r="AU443" s="1">
        <f>=COUNTIF(E443:AI443,"R.")</f>
      </c>
      <c r="AV443" s="1">
        <f>=COUNTIF(E443:AI443,"Ü")</f>
      </c>
      <c r="AW443" s="1">
        <f>=COUNTIF(E443:AI443,"R")</f>
      </c>
      <c r="AX443" s="1">
        <f>=COUNTIF(E443:AI443,"DV")</f>
      </c>
      <c r="AY443" s="1">
        <f>=+AN443+AO443+AP443+AQ443+AR443+AS443+AT443+AU443</f>
      </c>
    </row>
    <row r="444" ht="16" customHeight="1" spans="1:51" x14ac:dyDescent="0.25">
      <c r="A444" s="45"/>
      <c r="B444" s="46"/>
      <c r="C444" s="46"/>
      <c r="D444" s="46" t="s">
        <v>33</v>
      </c>
      <c r="E444" s="46">
        <v>3</v>
      </c>
      <c r="F444" s="46">
        <v>0</v>
      </c>
      <c r="G444" s="46">
        <v>3</v>
      </c>
      <c r="H444" s="46">
        <v>3</v>
      </c>
      <c r="I444" s="46">
        <v>3</v>
      </c>
      <c r="J444" s="46">
        <v>3</v>
      </c>
      <c r="K444" s="46"/>
      <c r="L444" s="46">
        <v>3</v>
      </c>
      <c r="M444" s="46">
        <v>0</v>
      </c>
      <c r="N444" s="46">
        <v>3</v>
      </c>
      <c r="O444" s="46">
        <v>3</v>
      </c>
      <c r="P444" s="46">
        <v>3</v>
      </c>
      <c r="Q444" s="46">
        <v>3</v>
      </c>
      <c r="R444" s="46">
        <v>0</v>
      </c>
      <c r="S444" s="46">
        <v>3</v>
      </c>
      <c r="T444" s="46">
        <v>0</v>
      </c>
      <c r="U444" s="46">
        <v>3</v>
      </c>
      <c r="V444" s="46">
        <v>3</v>
      </c>
      <c r="W444" s="46">
        <v>3</v>
      </c>
      <c r="X444" s="46">
        <v>3</v>
      </c>
      <c r="Y444" s="46"/>
      <c r="Z444" s="46">
        <v>3</v>
      </c>
      <c r="AA444" s="46"/>
      <c r="AB444" s="46">
        <v>3</v>
      </c>
      <c r="AC444" s="46">
        <v>3</v>
      </c>
      <c r="AD444" s="46">
        <v>3</v>
      </c>
      <c r="AE444" s="46">
        <v>3</v>
      </c>
      <c r="AF444" s="46">
        <v>0</v>
      </c>
      <c r="AG444" s="46">
        <v>3</v>
      </c>
      <c r="AH444" s="46"/>
      <c r="AI444" s="46">
        <v>3</v>
      </c>
      <c r="AJ444" s="46"/>
      <c r="AK444" s="46"/>
      <c r="AL444" s="46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ht="16" customHeight="1" spans="1:51" x14ac:dyDescent="0.25">
      <c r="A445" s="45"/>
      <c r="B445" s="46" t="s">
        <v>490</v>
      </c>
      <c r="C445" s="46" t="s">
        <v>491</v>
      </c>
      <c r="D445" s="46" t="s">
        <v>29</v>
      </c>
      <c r="E445" s="46" t="s">
        <v>36</v>
      </c>
      <c r="F445" s="46" t="s">
        <v>37</v>
      </c>
      <c r="G445" s="46" t="s">
        <v>36</v>
      </c>
      <c r="H445" s="46" t="s">
        <v>36</v>
      </c>
      <c r="I445" s="46" t="s">
        <v>36</v>
      </c>
      <c r="J445" s="46" t="s">
        <v>337</v>
      </c>
      <c r="K445" s="46" t="s">
        <v>337</v>
      </c>
      <c r="L445" s="46" t="s">
        <v>337</v>
      </c>
      <c r="M445" s="46" t="s">
        <v>37</v>
      </c>
      <c r="N445" s="46" t="s">
        <v>337</v>
      </c>
      <c r="O445" s="46" t="s">
        <v>337</v>
      </c>
      <c r="P445" s="46" t="s">
        <v>337</v>
      </c>
      <c r="Q445" s="46" t="s">
        <v>36</v>
      </c>
      <c r="R445" s="46" t="s">
        <v>36</v>
      </c>
      <c r="S445" s="46" t="s">
        <v>36</v>
      </c>
      <c r="T445" s="46" t="s">
        <v>37</v>
      </c>
      <c r="U445" s="46" t="s">
        <v>36</v>
      </c>
      <c r="V445" s="46" t="s">
        <v>36</v>
      </c>
      <c r="W445" s="46" t="s">
        <v>36</v>
      </c>
      <c r="X445" s="46" t="s">
        <v>36</v>
      </c>
      <c r="Y445" s="46" t="s">
        <v>36</v>
      </c>
      <c r="Z445" s="46" t="s">
        <v>36</v>
      </c>
      <c r="AA445" s="46" t="s">
        <v>37</v>
      </c>
      <c r="AB445" s="46" t="s">
        <v>36</v>
      </c>
      <c r="AC445" s="46" t="s">
        <v>36</v>
      </c>
      <c r="AD445" s="46" t="s">
        <v>36</v>
      </c>
      <c r="AE445" s="46" t="s">
        <v>36</v>
      </c>
      <c r="AF445" s="46" t="s">
        <v>36</v>
      </c>
      <c r="AG445" s="46" t="s">
        <v>36</v>
      </c>
      <c r="AH445" s="46" t="s">
        <v>37</v>
      </c>
      <c r="AI445" s="46" t="s">
        <v>36</v>
      </c>
      <c r="AJ445" s="46">
        <f>=SUM(E446:AI446)</f>
      </c>
      <c r="AK445" s="46">
        <f>=+AY445</f>
      </c>
      <c r="AL445" s="46"/>
      <c r="AM445" s="1"/>
      <c r="AN445" s="1">
        <f>=COUNTIF(E445:AI445,"A")+COUNTIF(E445:AI445,"B")+COUNTIF(E445:AI445,"C")+COUNTIF(E445:AI445,"D")+COUNTIF(E445:AI445,"E")+COUNTIF(E445:AI445,"F")+COUNTIF(E445:AI445,"M")+COUNTIF(E445:AI445,"AB")+COUNTIF(E445:AI445,"UZ")+COUNTIF(E445:AI445,"G")+(COUNTIF(E445:AI445,"RT.")/2)+(COUNTIF(E445:AI445,"ÇRT.")/2)</f>
      </c>
      <c r="AO445" s="1">
        <f>=COUNTIF(E445:AI445,"O")</f>
      </c>
      <c r="AP445" s="1">
        <f>=COUNTIF(E445:AI445,"RT")+(COUNTIF(E445:AI445,"RT.")/2)</f>
      </c>
      <c r="AQ445" s="1">
        <f>=COUNTIF(E445:AI445,"ÇRT")+(COUNTIF(E445:AI445,"ÇRT.")/2)</f>
      </c>
      <c r="AR445" s="1">
        <f>=COUNTIF(E445:AI445,"ÇHT")</f>
      </c>
      <c r="AS445" s="1">
        <f>=COUNTIF(E445:AI445,"Ö")+COUNTIF(E445:AI445,"T")</f>
      </c>
      <c r="AT445" s="1">
        <f>=COUNTIF(E445:AI445,"Y")</f>
      </c>
      <c r="AU445" s="1">
        <f>=COUNTIF(E445:AI445,"R.")</f>
      </c>
      <c r="AV445" s="1">
        <f>=COUNTIF(E445:AI445,"Ü")</f>
      </c>
      <c r="AW445" s="1">
        <f>=COUNTIF(E445:AI445,"R")</f>
      </c>
      <c r="AX445" s="1">
        <f>=COUNTIF(E445:AI445,"DV")</f>
      </c>
      <c r="AY445" s="1">
        <f>=+AN445+AO445+AP445+AQ445+AR445+AS445+AT445+AU445</f>
      </c>
    </row>
    <row r="446" ht="16" customHeight="1" spans="1:51" x14ac:dyDescent="0.25">
      <c r="A446" s="45"/>
      <c r="B446" s="46"/>
      <c r="C446" s="46"/>
      <c r="D446" s="46" t="s">
        <v>33</v>
      </c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  <c r="AE446" s="46"/>
      <c r="AF446" s="46"/>
      <c r="AG446" s="46"/>
      <c r="AH446" s="46"/>
      <c r="AI446" s="46"/>
      <c r="AJ446" s="46"/>
      <c r="AK446" s="46"/>
      <c r="AL446" s="46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ht="16" customHeight="1" spans="1:51" x14ac:dyDescent="0.25">
      <c r="A447" s="45"/>
      <c r="B447" s="46" t="s">
        <v>492</v>
      </c>
      <c r="C447" s="46" t="s">
        <v>493</v>
      </c>
      <c r="D447" s="46" t="s">
        <v>29</v>
      </c>
      <c r="E447" s="46"/>
      <c r="F447" s="46"/>
      <c r="G447" s="46" t="s">
        <v>42</v>
      </c>
      <c r="H447" s="46" t="s">
        <v>42</v>
      </c>
      <c r="I447" s="46" t="s">
        <v>42</v>
      </c>
      <c r="J447" s="46" t="s">
        <v>42</v>
      </c>
      <c r="K447" s="46" t="s">
        <v>42</v>
      </c>
      <c r="L447" s="46" t="s">
        <v>42</v>
      </c>
      <c r="M447" s="46" t="s">
        <v>37</v>
      </c>
      <c r="N447" s="46" t="s">
        <v>42</v>
      </c>
      <c r="O447" s="46" t="s">
        <v>42</v>
      </c>
      <c r="P447" s="46" t="s">
        <v>42</v>
      </c>
      <c r="Q447" s="46" t="s">
        <v>42</v>
      </c>
      <c r="R447" s="46" t="s">
        <v>42</v>
      </c>
      <c r="S447" s="46" t="s">
        <v>37</v>
      </c>
      <c r="T447" s="46" t="s">
        <v>42</v>
      </c>
      <c r="U447" s="46" t="s">
        <v>42</v>
      </c>
      <c r="V447" s="46" t="s">
        <v>42</v>
      </c>
      <c r="W447" s="46" t="s">
        <v>42</v>
      </c>
      <c r="X447" s="46" t="s">
        <v>42</v>
      </c>
      <c r="Y447" s="46" t="s">
        <v>42</v>
      </c>
      <c r="Z447" s="46" t="s">
        <v>37</v>
      </c>
      <c r="AA447" s="46" t="s">
        <v>42</v>
      </c>
      <c r="AB447" s="46" t="s">
        <v>42</v>
      </c>
      <c r="AC447" s="46" t="s">
        <v>42</v>
      </c>
      <c r="AD447" s="46" t="s">
        <v>42</v>
      </c>
      <c r="AE447" s="46" t="s">
        <v>37</v>
      </c>
      <c r="AF447" s="46" t="s">
        <v>42</v>
      </c>
      <c r="AG447" s="46" t="s">
        <v>42</v>
      </c>
      <c r="AH447" s="46" t="s">
        <v>43</v>
      </c>
      <c r="AI447" s="46" t="s">
        <v>42</v>
      </c>
      <c r="AJ447" s="46">
        <f>=SUM(E448:AI448)</f>
      </c>
      <c r="AK447" s="46">
        <f>=+AY447</f>
      </c>
      <c r="AL447" s="46"/>
      <c r="AM447" s="1"/>
      <c r="AN447" s="1">
        <f>=COUNTIF(E447:AI447,"A")+COUNTIF(E447:AI447,"B")+COUNTIF(E447:AI447,"C")+COUNTIF(E447:AI447,"D")+COUNTIF(E447:AI447,"E")+COUNTIF(E447:AI447,"F")+COUNTIF(E447:AI447,"M")+COUNTIF(E447:AI447,"AB")+COUNTIF(E447:AI447,"UZ")+COUNTIF(E447:AI447,"G")+(COUNTIF(E447:AI447,"RT.")/2)+(COUNTIF(E447:AI447,"ÇRT.")/2)</f>
      </c>
      <c r="AO447" s="1">
        <f>=COUNTIF(E447:AI447,"O")</f>
      </c>
      <c r="AP447" s="1">
        <f>=COUNTIF(E447:AI447,"RT")+(COUNTIF(E447:AI447,"RT.")/2)</f>
      </c>
      <c r="AQ447" s="1">
        <f>=COUNTIF(E447:AI447,"ÇRT")+(COUNTIF(E447:AI447,"ÇRT.")/2)</f>
      </c>
      <c r="AR447" s="1">
        <f>=COUNTIF(E447:AI447,"ÇHT")</f>
      </c>
      <c r="AS447" s="1">
        <f>=COUNTIF(E447:AI447,"Ö")+COUNTIF(E447:AI447,"T")</f>
      </c>
      <c r="AT447" s="1">
        <f>=COUNTIF(E447:AI447,"Y")</f>
      </c>
      <c r="AU447" s="1">
        <f>=COUNTIF(E447:AI447,"R.")</f>
      </c>
      <c r="AV447" s="1">
        <f>=COUNTIF(E447:AI447,"Ü")</f>
      </c>
      <c r="AW447" s="1">
        <f>=COUNTIF(E447:AI447,"R")</f>
      </c>
      <c r="AX447" s="1">
        <f>=COUNTIF(E447:AI447,"DV")</f>
      </c>
      <c r="AY447" s="1">
        <f>=+AN447+AO447+AP447+AQ447+AR447+AS447+AT447+AU447</f>
      </c>
    </row>
    <row r="448" ht="16" customHeight="1" spans="1:51" x14ac:dyDescent="0.25">
      <c r="A448" s="45"/>
      <c r="B448" s="46"/>
      <c r="C448" s="46"/>
      <c r="D448" s="46" t="s">
        <v>33</v>
      </c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>
        <v>3</v>
      </c>
      <c r="AB448" s="46">
        <v>2</v>
      </c>
      <c r="AC448" s="46"/>
      <c r="AD448" s="46"/>
      <c r="AE448" s="46"/>
      <c r="AF448" s="46"/>
      <c r="AG448" s="46"/>
      <c r="AH448" s="46"/>
      <c r="AI448" s="46"/>
      <c r="AJ448" s="46"/>
      <c r="AK448" s="46"/>
      <c r="AL448" s="46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ht="16" customHeight="1" spans="1:51" x14ac:dyDescent="0.25">
      <c r="A449" s="45"/>
      <c r="B449" s="46" t="s">
        <v>494</v>
      </c>
      <c r="C449" s="46" t="s">
        <v>495</v>
      </c>
      <c r="D449" s="46" t="s">
        <v>29</v>
      </c>
      <c r="E449" s="46" t="s">
        <v>36</v>
      </c>
      <c r="F449" s="46" t="s">
        <v>37</v>
      </c>
      <c r="G449" s="46" t="s">
        <v>36</v>
      </c>
      <c r="H449" s="46" t="s">
        <v>36</v>
      </c>
      <c r="I449" s="46" t="s">
        <v>36</v>
      </c>
      <c r="J449" s="46" t="s">
        <v>36</v>
      </c>
      <c r="K449" s="46" t="s">
        <v>36</v>
      </c>
      <c r="L449" s="46" t="s">
        <v>36</v>
      </c>
      <c r="M449" s="46" t="s">
        <v>37</v>
      </c>
      <c r="N449" s="46" t="s">
        <v>36</v>
      </c>
      <c r="O449" s="46" t="s">
        <v>36</v>
      </c>
      <c r="P449" s="46" t="s">
        <v>36</v>
      </c>
      <c r="Q449" s="46" t="s">
        <v>36</v>
      </c>
      <c r="R449" s="46" t="s">
        <v>36</v>
      </c>
      <c r="S449" s="46" t="s">
        <v>36</v>
      </c>
      <c r="T449" s="46" t="s">
        <v>37</v>
      </c>
      <c r="U449" s="46" t="s">
        <v>36</v>
      </c>
      <c r="V449" s="46" t="s">
        <v>36</v>
      </c>
      <c r="W449" s="46" t="s">
        <v>36</v>
      </c>
      <c r="X449" s="46" t="s">
        <v>36</v>
      </c>
      <c r="Y449" s="46" t="s">
        <v>36</v>
      </c>
      <c r="Z449" s="46" t="s">
        <v>36</v>
      </c>
      <c r="AA449" s="46" t="s">
        <v>37</v>
      </c>
      <c r="AB449" s="46" t="s">
        <v>36</v>
      </c>
      <c r="AC449" s="46" t="s">
        <v>36</v>
      </c>
      <c r="AD449" s="46" t="s">
        <v>36</v>
      </c>
      <c r="AE449" s="46" t="s">
        <v>36</v>
      </c>
      <c r="AF449" s="46" t="s">
        <v>36</v>
      </c>
      <c r="AG449" s="46" t="s">
        <v>36</v>
      </c>
      <c r="AH449" s="46" t="s">
        <v>222</v>
      </c>
      <c r="AI449" s="46" t="s">
        <v>36</v>
      </c>
      <c r="AJ449" s="46">
        <f>=SUM(E450:AI450)</f>
      </c>
      <c r="AK449" s="46">
        <f>=+AY449</f>
      </c>
      <c r="AL449" s="46"/>
      <c r="AM449" s="1"/>
      <c r="AN449" s="1">
        <f>=COUNTIF(E449:AI449,"A")+COUNTIF(E449:AI449,"B")+COUNTIF(E449:AI449,"C")+COUNTIF(E449:AI449,"D")+COUNTIF(E449:AI449,"E")+COUNTIF(E449:AI449,"F")+COUNTIF(E449:AI449,"M")+COUNTIF(E449:AI449,"AB")+COUNTIF(E449:AI449,"UZ")+COUNTIF(E449:AI449,"G")+(COUNTIF(E449:AI449,"RT.")/2)+(COUNTIF(E449:AI449,"ÇRT.")/2)</f>
      </c>
      <c r="AO449" s="1">
        <f>=COUNTIF(E449:AI449,"O")</f>
      </c>
      <c r="AP449" s="1">
        <f>=COUNTIF(E449:AI449,"RT")+(COUNTIF(E449:AI449,"RT.")/2)</f>
      </c>
      <c r="AQ449" s="1">
        <f>=COUNTIF(E449:AI449,"ÇRT")+(COUNTIF(E449:AI449,"ÇRT.")/2)</f>
      </c>
      <c r="AR449" s="1">
        <f>=COUNTIF(E449:AI449,"ÇHT")</f>
      </c>
      <c r="AS449" s="1">
        <f>=COUNTIF(E449:AI449,"Ö")+COUNTIF(E449:AI449,"T")</f>
      </c>
      <c r="AT449" s="1">
        <f>=COUNTIF(E449:AI449,"Y")</f>
      </c>
      <c r="AU449" s="1">
        <f>=COUNTIF(E449:AI449,"R.")</f>
      </c>
      <c r="AV449" s="1">
        <f>=COUNTIF(E449:AI449,"Ü")</f>
      </c>
      <c r="AW449" s="1">
        <f>=COUNTIF(E449:AI449,"R")</f>
      </c>
      <c r="AX449" s="1">
        <f>=COUNTIF(E449:AI449,"DV")</f>
      </c>
      <c r="AY449" s="1">
        <f>=+AN449+AO449+AP449+AQ449+AR449+AS449+AT449+AU449</f>
      </c>
    </row>
    <row r="450" ht="16" customHeight="1" spans="1:51" x14ac:dyDescent="0.25">
      <c r="A450" s="45"/>
      <c r="B450" s="46"/>
      <c r="C450" s="46"/>
      <c r="D450" s="46" t="s">
        <v>33</v>
      </c>
      <c r="E450" s="46">
        <v>2</v>
      </c>
      <c r="F450" s="46">
        <v>0</v>
      </c>
      <c r="G450" s="46">
        <v>2</v>
      </c>
      <c r="H450" s="46">
        <v>2</v>
      </c>
      <c r="I450" s="46">
        <v>2</v>
      </c>
      <c r="J450" s="46">
        <v>2</v>
      </c>
      <c r="K450" s="46">
        <v>2</v>
      </c>
      <c r="L450" s="46">
        <v>2</v>
      </c>
      <c r="M450" s="46">
        <v>0</v>
      </c>
      <c r="N450" s="46">
        <v>2</v>
      </c>
      <c r="O450" s="46">
        <v>2</v>
      </c>
      <c r="P450" s="46">
        <v>2</v>
      </c>
      <c r="Q450" s="46">
        <v>2</v>
      </c>
      <c r="R450" s="46">
        <v>2</v>
      </c>
      <c r="S450" s="46">
        <v>2</v>
      </c>
      <c r="T450" s="46"/>
      <c r="U450" s="46">
        <v>2</v>
      </c>
      <c r="V450" s="46">
        <v>2</v>
      </c>
      <c r="W450" s="46">
        <v>2</v>
      </c>
      <c r="X450" s="46">
        <v>2</v>
      </c>
      <c r="Y450" s="46">
        <v>2</v>
      </c>
      <c r="Z450" s="46">
        <v>2</v>
      </c>
      <c r="AA450" s="46"/>
      <c r="AB450" s="46">
        <v>2</v>
      </c>
      <c r="AC450" s="46">
        <v>2</v>
      </c>
      <c r="AD450" s="46">
        <v>2</v>
      </c>
      <c r="AE450" s="46">
        <v>2</v>
      </c>
      <c r="AF450" s="46">
        <v>2</v>
      </c>
      <c r="AG450" s="46">
        <v>2</v>
      </c>
      <c r="AH450" s="46"/>
      <c r="AI450" s="46">
        <v>2</v>
      </c>
      <c r="AJ450" s="46"/>
      <c r="AK450" s="46"/>
      <c r="AL450" s="46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ht="16" customHeight="1" spans="1:51" x14ac:dyDescent="0.25">
      <c r="A451" s="45"/>
      <c r="B451" s="46" t="s">
        <v>496</v>
      </c>
      <c r="C451" s="46" t="s">
        <v>497</v>
      </c>
      <c r="D451" s="46" t="s">
        <v>29</v>
      </c>
      <c r="E451" s="46" t="s">
        <v>42</v>
      </c>
      <c r="F451" s="46" t="s">
        <v>37</v>
      </c>
      <c r="G451" s="46" t="s">
        <v>42</v>
      </c>
      <c r="H451" s="46" t="s">
        <v>42</v>
      </c>
      <c r="I451" s="46" t="s">
        <v>42</v>
      </c>
      <c r="J451" s="46" t="s">
        <v>42</v>
      </c>
      <c r="K451" s="46" t="s">
        <v>42</v>
      </c>
      <c r="L451" s="46" t="s">
        <v>42</v>
      </c>
      <c r="M451" s="46" t="s">
        <v>37</v>
      </c>
      <c r="N451" s="46" t="s">
        <v>42</v>
      </c>
      <c r="O451" s="46" t="s">
        <v>42</v>
      </c>
      <c r="P451" s="46" t="s">
        <v>42</v>
      </c>
      <c r="Q451" s="46" t="s">
        <v>42</v>
      </c>
      <c r="R451" s="46" t="s">
        <v>42</v>
      </c>
      <c r="S451" s="46" t="s">
        <v>42</v>
      </c>
      <c r="T451" s="46" t="s">
        <v>37</v>
      </c>
      <c r="U451" s="46" t="s">
        <v>42</v>
      </c>
      <c r="V451" s="46" t="s">
        <v>42</v>
      </c>
      <c r="W451" s="46" t="s">
        <v>42</v>
      </c>
      <c r="X451" s="46" t="s">
        <v>42</v>
      </c>
      <c r="Y451" s="46" t="s">
        <v>42</v>
      </c>
      <c r="Z451" s="46" t="s">
        <v>42</v>
      </c>
      <c r="AA451" s="46" t="s">
        <v>37</v>
      </c>
      <c r="AB451" s="46" t="s">
        <v>42</v>
      </c>
      <c r="AC451" s="46" t="s">
        <v>42</v>
      </c>
      <c r="AD451" s="46" t="s">
        <v>42</v>
      </c>
      <c r="AE451" s="46" t="s">
        <v>42</v>
      </c>
      <c r="AF451" s="46" t="s">
        <v>42</v>
      </c>
      <c r="AG451" s="46" t="s">
        <v>42</v>
      </c>
      <c r="AH451" s="46" t="s">
        <v>37</v>
      </c>
      <c r="AI451" s="46" t="s">
        <v>42</v>
      </c>
      <c r="AJ451" s="46">
        <f>=SUM(E452:AI452)</f>
      </c>
      <c r="AK451" s="46">
        <f>=+AY451</f>
      </c>
      <c r="AL451" s="46"/>
      <c r="AM451" s="1"/>
      <c r="AN451" s="1">
        <f>=COUNTIF(E451:AI451,"A")+COUNTIF(E451:AI451,"B")+COUNTIF(E451:AI451,"C")+COUNTIF(E451:AI451,"D")+COUNTIF(E451:AI451,"E")+COUNTIF(E451:AI451,"F")+COUNTIF(E451:AI451,"M")+COUNTIF(E451:AI451,"AB")+COUNTIF(E451:AI451,"UZ")+COUNTIF(E451:AI451,"G")+(COUNTIF(E451:AI451,"RT.")/2)+(COUNTIF(E451:AI451,"ÇRT.")/2)</f>
      </c>
      <c r="AO451" s="1">
        <f>=COUNTIF(E451:AI451,"O")</f>
      </c>
      <c r="AP451" s="1">
        <f>=COUNTIF(E451:AI451,"RT")+(COUNTIF(E451:AI451,"RT.")/2)</f>
      </c>
      <c r="AQ451" s="1">
        <f>=COUNTIF(E451:AI451,"ÇRT")+(COUNTIF(E451:AI451,"ÇRT.")/2)</f>
      </c>
      <c r="AR451" s="1">
        <f>=COUNTIF(E451:AI451,"ÇHT")</f>
      </c>
      <c r="AS451" s="1">
        <f>=COUNTIF(E451:AI451,"Ö")+COUNTIF(E451:AI451,"T")</f>
      </c>
      <c r="AT451" s="1">
        <f>=COUNTIF(E451:AI451,"Y")</f>
      </c>
      <c r="AU451" s="1">
        <f>=COUNTIF(E451:AI451,"R.")</f>
      </c>
      <c r="AV451" s="1">
        <f>=COUNTIF(E451:AI451,"Ü")</f>
      </c>
      <c r="AW451" s="1">
        <f>=COUNTIF(E451:AI451,"R")</f>
      </c>
      <c r="AX451" s="1">
        <f>=COUNTIF(E451:AI451,"DV")</f>
      </c>
      <c r="AY451" s="1">
        <f>=+AN451+AO451+AP451+AQ451+AR451+AS451+AT451+AU451</f>
      </c>
    </row>
    <row r="452" ht="16" customHeight="1" spans="1:51" x14ac:dyDescent="0.25">
      <c r="A452" s="45"/>
      <c r="B452" s="46"/>
      <c r="C452" s="46"/>
      <c r="D452" s="46" t="s">
        <v>33</v>
      </c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>
        <v>0</v>
      </c>
      <c r="AC452" s="46"/>
      <c r="AD452" s="46"/>
      <c r="AE452" s="46"/>
      <c r="AF452" s="46"/>
      <c r="AG452" s="46"/>
      <c r="AH452" s="46"/>
      <c r="AI452" s="46"/>
      <c r="AJ452" s="46"/>
      <c r="AK452" s="46"/>
      <c r="AL452" s="46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ht="16" customHeight="1" spans="1:51" x14ac:dyDescent="0.25">
      <c r="A453" s="45"/>
      <c r="B453" s="46" t="s">
        <v>498</v>
      </c>
      <c r="C453" s="46" t="s">
        <v>499</v>
      </c>
      <c r="D453" s="46" t="s">
        <v>29</v>
      </c>
      <c r="E453" s="46" t="s">
        <v>36</v>
      </c>
      <c r="F453" s="46" t="s">
        <v>37</v>
      </c>
      <c r="G453" s="46" t="s">
        <v>36</v>
      </c>
      <c r="H453" s="46" t="s">
        <v>36</v>
      </c>
      <c r="I453" s="46" t="s">
        <v>36</v>
      </c>
      <c r="J453" s="46" t="s">
        <v>36</v>
      </c>
      <c r="K453" s="46" t="s">
        <v>36</v>
      </c>
      <c r="L453" s="46" t="s">
        <v>36</v>
      </c>
      <c r="M453" s="46" t="s">
        <v>222</v>
      </c>
      <c r="N453" s="46" t="s">
        <v>36</v>
      </c>
      <c r="O453" s="46" t="s">
        <v>31</v>
      </c>
      <c r="P453" s="46" t="s">
        <v>31</v>
      </c>
      <c r="Q453" s="46" t="s">
        <v>36</v>
      </c>
      <c r="R453" s="46" t="s">
        <v>36</v>
      </c>
      <c r="S453" s="46" t="s">
        <v>36</v>
      </c>
      <c r="T453" s="46" t="s">
        <v>37</v>
      </c>
      <c r="U453" s="46" t="s">
        <v>36</v>
      </c>
      <c r="V453" s="46" t="s">
        <v>36</v>
      </c>
      <c r="W453" s="46" t="s">
        <v>36</v>
      </c>
      <c r="X453" s="46" t="s">
        <v>36</v>
      </c>
      <c r="Y453" s="46" t="s">
        <v>36</v>
      </c>
      <c r="Z453" s="46" t="s">
        <v>36</v>
      </c>
      <c r="AA453" s="46" t="s">
        <v>37</v>
      </c>
      <c r="AB453" s="46" t="s">
        <v>36</v>
      </c>
      <c r="AC453" s="46" t="s">
        <v>36</v>
      </c>
      <c r="AD453" s="46" t="s">
        <v>36</v>
      </c>
      <c r="AE453" s="46" t="s">
        <v>36</v>
      </c>
      <c r="AF453" s="46" t="s">
        <v>36</v>
      </c>
      <c r="AG453" s="46" t="s">
        <v>36</v>
      </c>
      <c r="AH453" s="46" t="s">
        <v>222</v>
      </c>
      <c r="AI453" s="46" t="s">
        <v>36</v>
      </c>
      <c r="AJ453" s="46">
        <f>=SUM(E454:AI454)</f>
      </c>
      <c r="AK453" s="46">
        <f>=+AY453</f>
      </c>
      <c r="AL453" s="46"/>
      <c r="AM453" s="1"/>
      <c r="AN453" s="1">
        <f>=COUNTIF(E453:AI453,"A")+COUNTIF(E453:AI453,"B")+COUNTIF(E453:AI453,"C")+COUNTIF(E453:AI453,"D")+COUNTIF(E453:AI453,"E")+COUNTIF(E453:AI453,"F")+COUNTIF(E453:AI453,"M")+COUNTIF(E453:AI453,"AB")+COUNTIF(E453:AI453,"UZ")+COUNTIF(E453:AI453,"G")+(COUNTIF(E453:AI453,"RT.")/2)+(COUNTIF(E453:AI453,"ÇRT.")/2)</f>
      </c>
      <c r="AO453" s="1">
        <f>=COUNTIF(E453:AI453,"O")</f>
      </c>
      <c r="AP453" s="1">
        <f>=COUNTIF(E453:AI453,"RT")+(COUNTIF(E453:AI453,"RT.")/2)</f>
      </c>
      <c r="AQ453" s="1">
        <f>=COUNTIF(E453:AI453,"ÇRT")+(COUNTIF(E453:AI453,"ÇRT.")/2)</f>
      </c>
      <c r="AR453" s="1">
        <f>=COUNTIF(E453:AI453,"ÇHT")</f>
      </c>
      <c r="AS453" s="1">
        <f>=COUNTIF(E453:AI453,"Ö")+COUNTIF(E453:AI453,"T")</f>
      </c>
      <c r="AT453" s="1">
        <f>=COUNTIF(E453:AI453,"Y")</f>
      </c>
      <c r="AU453" s="1">
        <f>=COUNTIF(E453:AI453,"R.")</f>
      </c>
      <c r="AV453" s="1">
        <f>=COUNTIF(E453:AI453,"Ü")</f>
      </c>
      <c r="AW453" s="1">
        <f>=COUNTIF(E453:AI453,"R")</f>
      </c>
      <c r="AX453" s="1">
        <f>=COUNTIF(E453:AI453,"DV")</f>
      </c>
      <c r="AY453" s="1">
        <f>=+AN453+AO453+AP453+AQ453+AR453+AS453+AT453+AU453</f>
      </c>
    </row>
    <row r="454" ht="16" customHeight="1" spans="1:51" x14ac:dyDescent="0.25">
      <c r="A454" s="45"/>
      <c r="B454" s="46"/>
      <c r="C454" s="46"/>
      <c r="D454" s="46" t="s">
        <v>33</v>
      </c>
      <c r="E454" s="46">
        <v>2</v>
      </c>
      <c r="F454" s="46"/>
      <c r="G454" s="46">
        <v>2</v>
      </c>
      <c r="H454" s="46">
        <v>2</v>
      </c>
      <c r="I454" s="46">
        <v>3</v>
      </c>
      <c r="J454" s="46">
        <v>2</v>
      </c>
      <c r="K454" s="46">
        <v>2</v>
      </c>
      <c r="L454" s="46">
        <v>2</v>
      </c>
      <c r="M454" s="46"/>
      <c r="N454" s="46">
        <v>2</v>
      </c>
      <c r="O454" s="46">
        <v>0</v>
      </c>
      <c r="P454" s="46">
        <v>0</v>
      </c>
      <c r="Q454" s="46">
        <v>3</v>
      </c>
      <c r="R454" s="46">
        <v>3</v>
      </c>
      <c r="S454" s="46">
        <v>2</v>
      </c>
      <c r="T454" s="46"/>
      <c r="U454" s="46">
        <v>3</v>
      </c>
      <c r="V454" s="46">
        <v>3</v>
      </c>
      <c r="W454" s="46">
        <v>3</v>
      </c>
      <c r="X454" s="46">
        <v>3</v>
      </c>
      <c r="Y454" s="46">
        <v>3</v>
      </c>
      <c r="Z454" s="46">
        <v>3</v>
      </c>
      <c r="AA454" s="46"/>
      <c r="AB454" s="46">
        <v>3</v>
      </c>
      <c r="AC454" s="46">
        <v>3</v>
      </c>
      <c r="AD454" s="46">
        <v>3</v>
      </c>
      <c r="AE454" s="46">
        <v>3</v>
      </c>
      <c r="AF454" s="46">
        <v>3</v>
      </c>
      <c r="AG454" s="46">
        <v>3</v>
      </c>
      <c r="AH454" s="46">
        <v>0</v>
      </c>
      <c r="AI454" s="46">
        <v>3</v>
      </c>
      <c r="AJ454" s="46"/>
      <c r="AK454" s="46"/>
      <c r="AL454" s="46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ht="16" customHeight="1" spans="1:51" x14ac:dyDescent="0.25">
      <c r="A455" s="45"/>
      <c r="B455" s="46" t="s">
        <v>500</v>
      </c>
      <c r="C455" s="46" t="s">
        <v>501</v>
      </c>
      <c r="D455" s="46" t="s">
        <v>29</v>
      </c>
      <c r="E455" s="46" t="s">
        <v>36</v>
      </c>
      <c r="F455" s="46" t="s">
        <v>36</v>
      </c>
      <c r="G455" s="46" t="s">
        <v>36</v>
      </c>
      <c r="H455" s="46" t="s">
        <v>36</v>
      </c>
      <c r="I455" s="46" t="s">
        <v>36</v>
      </c>
      <c r="J455" s="46" t="s">
        <v>36</v>
      </c>
      <c r="K455" s="46" t="s">
        <v>37</v>
      </c>
      <c r="L455" s="46" t="s">
        <v>36</v>
      </c>
      <c r="M455" s="46" t="s">
        <v>36</v>
      </c>
      <c r="N455" s="46" t="s">
        <v>36</v>
      </c>
      <c r="O455" s="46" t="s">
        <v>36</v>
      </c>
      <c r="P455" s="46" t="s">
        <v>36</v>
      </c>
      <c r="Q455" s="46" t="s">
        <v>36</v>
      </c>
      <c r="R455" s="46" t="s">
        <v>37</v>
      </c>
      <c r="S455" s="46" t="s">
        <v>36</v>
      </c>
      <c r="T455" s="46" t="s">
        <v>36</v>
      </c>
      <c r="U455" s="46" t="s">
        <v>36</v>
      </c>
      <c r="V455" s="46" t="s">
        <v>36</v>
      </c>
      <c r="W455" s="46" t="s">
        <v>36</v>
      </c>
      <c r="X455" s="46" t="s">
        <v>36</v>
      </c>
      <c r="Y455" s="46" t="s">
        <v>37</v>
      </c>
      <c r="Z455" s="46" t="s">
        <v>36</v>
      </c>
      <c r="AA455" s="46" t="s">
        <v>36</v>
      </c>
      <c r="AB455" s="46" t="s">
        <v>36</v>
      </c>
      <c r="AC455" s="46" t="s">
        <v>36</v>
      </c>
      <c r="AD455" s="46" t="s">
        <v>36</v>
      </c>
      <c r="AE455" s="46" t="s">
        <v>36</v>
      </c>
      <c r="AF455" s="46" t="s">
        <v>222</v>
      </c>
      <c r="AG455" s="46" t="s">
        <v>36</v>
      </c>
      <c r="AH455" s="46" t="s">
        <v>43</v>
      </c>
      <c r="AI455" s="46" t="s">
        <v>36</v>
      </c>
      <c r="AJ455" s="46">
        <f>=SUM(E456:AI456)</f>
      </c>
      <c r="AK455" s="46">
        <f>=+AY455</f>
      </c>
      <c r="AL455" s="46"/>
      <c r="AM455" s="1"/>
      <c r="AN455" s="1">
        <f>=COUNTIF(E455:AI455,"A")+COUNTIF(E455:AI455,"B")+COUNTIF(E455:AI455,"C")+COUNTIF(E455:AI455,"D")+COUNTIF(E455:AI455,"E")+COUNTIF(E455:AI455,"F")+COUNTIF(E455:AI455,"M")+COUNTIF(E455:AI455,"AB")+COUNTIF(E455:AI455,"UZ")+COUNTIF(E455:AI455,"G")+(COUNTIF(E455:AI455,"RT.")/2)+(COUNTIF(E455:AI455,"ÇRT.")/2)</f>
      </c>
      <c r="AO455" s="1">
        <f>=COUNTIF(E455:AI455,"O")</f>
      </c>
      <c r="AP455" s="1">
        <f>=COUNTIF(E455:AI455,"RT")+(COUNTIF(E455:AI455,"RT.")/2)</f>
      </c>
      <c r="AQ455" s="1">
        <f>=COUNTIF(E455:AI455,"ÇRT")+(COUNTIF(E455:AI455,"ÇRT.")/2)</f>
      </c>
      <c r="AR455" s="1">
        <f>=COUNTIF(E455:AI455,"ÇHT")</f>
      </c>
      <c r="AS455" s="1">
        <f>=COUNTIF(E455:AI455,"Ö")+COUNTIF(E455:AI455,"T")</f>
      </c>
      <c r="AT455" s="1">
        <f>=COUNTIF(E455:AI455,"Y")</f>
      </c>
      <c r="AU455" s="1">
        <f>=COUNTIF(E455:AI455,"R.")</f>
      </c>
      <c r="AV455" s="1">
        <f>=COUNTIF(E455:AI455,"Ü")</f>
      </c>
      <c r="AW455" s="1">
        <f>=COUNTIF(E455:AI455,"R")</f>
      </c>
      <c r="AX455" s="1">
        <f>=COUNTIF(E455:AI455,"DV")</f>
      </c>
      <c r="AY455" s="1">
        <f>=+AN455+AO455+AP455+AQ455+AR455+AS455+AT455+AU455</f>
      </c>
    </row>
    <row r="456" ht="16" customHeight="1" spans="1:51" x14ac:dyDescent="0.25">
      <c r="A456" s="45"/>
      <c r="B456" s="46"/>
      <c r="C456" s="46"/>
      <c r="D456" s="46" t="s">
        <v>33</v>
      </c>
      <c r="E456" s="46">
        <v>2</v>
      </c>
      <c r="F456" s="46">
        <v>0</v>
      </c>
      <c r="G456" s="46">
        <v>2</v>
      </c>
      <c r="H456" s="46">
        <v>2</v>
      </c>
      <c r="I456" s="46">
        <v>2</v>
      </c>
      <c r="J456" s="46">
        <v>2</v>
      </c>
      <c r="K456" s="46"/>
      <c r="L456" s="46">
        <v>2</v>
      </c>
      <c r="M456" s="46"/>
      <c r="N456" s="46">
        <v>2</v>
      </c>
      <c r="O456" s="46">
        <v>2</v>
      </c>
      <c r="P456" s="46">
        <v>2</v>
      </c>
      <c r="Q456" s="46">
        <v>2</v>
      </c>
      <c r="R456" s="46">
        <v>0</v>
      </c>
      <c r="S456" s="46">
        <v>2</v>
      </c>
      <c r="T456" s="46"/>
      <c r="U456" s="46">
        <v>2</v>
      </c>
      <c r="V456" s="46">
        <v>2</v>
      </c>
      <c r="W456" s="46">
        <v>2</v>
      </c>
      <c r="X456" s="46">
        <v>2</v>
      </c>
      <c r="Y456" s="46"/>
      <c r="Z456" s="46">
        <v>2</v>
      </c>
      <c r="AA456" s="46"/>
      <c r="AB456" s="46">
        <v>2</v>
      </c>
      <c r="AC456" s="46">
        <v>2</v>
      </c>
      <c r="AD456" s="46">
        <v>2</v>
      </c>
      <c r="AE456" s="46">
        <v>2</v>
      </c>
      <c r="AF456" s="46">
        <v>0</v>
      </c>
      <c r="AG456" s="46">
        <v>2</v>
      </c>
      <c r="AH456" s="46"/>
      <c r="AI456" s="46">
        <v>2</v>
      </c>
      <c r="AJ456" s="46"/>
      <c r="AK456" s="46"/>
      <c r="AL456" s="46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ht="16" customHeight="1" spans="1:51" x14ac:dyDescent="0.25">
      <c r="A457" s="45"/>
      <c r="B457" s="46" t="s">
        <v>502</v>
      </c>
      <c r="C457" s="46" t="s">
        <v>503</v>
      </c>
      <c r="D457" s="46" t="s">
        <v>29</v>
      </c>
      <c r="E457" s="46" t="s">
        <v>36</v>
      </c>
      <c r="F457" s="46" t="s">
        <v>37</v>
      </c>
      <c r="G457" s="46" t="s">
        <v>36</v>
      </c>
      <c r="H457" s="46" t="s">
        <v>36</v>
      </c>
      <c r="I457" s="46" t="s">
        <v>36</v>
      </c>
      <c r="J457" s="46" t="s">
        <v>36</v>
      </c>
      <c r="K457" s="46" t="s">
        <v>36</v>
      </c>
      <c r="L457" s="46" t="s">
        <v>36</v>
      </c>
      <c r="M457" s="46" t="s">
        <v>37</v>
      </c>
      <c r="N457" s="46" t="s">
        <v>36</v>
      </c>
      <c r="O457" s="46" t="s">
        <v>36</v>
      </c>
      <c r="P457" s="46" t="s">
        <v>36</v>
      </c>
      <c r="Q457" s="46" t="s">
        <v>36</v>
      </c>
      <c r="R457" s="46" t="s">
        <v>36</v>
      </c>
      <c r="S457" s="46" t="s">
        <v>36</v>
      </c>
      <c r="T457" s="46" t="s">
        <v>37</v>
      </c>
      <c r="U457" s="46" t="s">
        <v>36</v>
      </c>
      <c r="V457" s="46" t="s">
        <v>36</v>
      </c>
      <c r="W457" s="46" t="s">
        <v>36</v>
      </c>
      <c r="X457" s="46" t="s">
        <v>36</v>
      </c>
      <c r="Y457" s="46" t="s">
        <v>36</v>
      </c>
      <c r="Z457" s="46" t="s">
        <v>36</v>
      </c>
      <c r="AA457" s="46" t="s">
        <v>37</v>
      </c>
      <c r="AB457" s="46" t="s">
        <v>36</v>
      </c>
      <c r="AC457" s="46" t="s">
        <v>36</v>
      </c>
      <c r="AD457" s="46" t="s">
        <v>36</v>
      </c>
      <c r="AE457" s="46" t="s">
        <v>36</v>
      </c>
      <c r="AF457" s="46" t="s">
        <v>36</v>
      </c>
      <c r="AG457" s="46" t="s">
        <v>36</v>
      </c>
      <c r="AH457" s="46" t="s">
        <v>222</v>
      </c>
      <c r="AI457" s="46" t="s">
        <v>36</v>
      </c>
      <c r="AJ457" s="46">
        <f>=SUM(E458:AI458)</f>
      </c>
      <c r="AK457" s="46">
        <f>=+AY457</f>
      </c>
      <c r="AL457" s="46"/>
      <c r="AM457" s="1"/>
      <c r="AN457" s="1">
        <f>=COUNTIF(E457:AI457,"A")+COUNTIF(E457:AI457,"B")+COUNTIF(E457:AI457,"C")+COUNTIF(E457:AI457,"D")+COUNTIF(E457:AI457,"E")+COUNTIF(E457:AI457,"F")+COUNTIF(E457:AI457,"M")+COUNTIF(E457:AI457,"AB")+COUNTIF(E457:AI457,"UZ")+COUNTIF(E457:AI457,"G")+(COUNTIF(E457:AI457,"RT.")/2)+(COUNTIF(E457:AI457,"ÇRT.")/2)</f>
      </c>
      <c r="AO457" s="1">
        <f>=COUNTIF(E457:AI457,"O")</f>
      </c>
      <c r="AP457" s="1">
        <f>=COUNTIF(E457:AI457,"RT")+(COUNTIF(E457:AI457,"RT.")/2)</f>
      </c>
      <c r="AQ457" s="1">
        <f>=COUNTIF(E457:AI457,"ÇRT")+(COUNTIF(E457:AI457,"ÇRT.")/2)</f>
      </c>
      <c r="AR457" s="1">
        <f>=COUNTIF(E457:AI457,"ÇHT")</f>
      </c>
      <c r="AS457" s="1">
        <f>=COUNTIF(E457:AI457,"Ö")+COUNTIF(E457:AI457,"T")</f>
      </c>
      <c r="AT457" s="1">
        <f>=COUNTIF(E457:AI457,"Y")</f>
      </c>
      <c r="AU457" s="1">
        <f>=COUNTIF(E457:AI457,"R.")</f>
      </c>
      <c r="AV457" s="1">
        <f>=COUNTIF(E457:AI457,"Ü")</f>
      </c>
      <c r="AW457" s="1">
        <f>=COUNTIF(E457:AI457,"R")</f>
      </c>
      <c r="AX457" s="1">
        <f>=COUNTIF(E457:AI457,"DV")</f>
      </c>
      <c r="AY457" s="1">
        <f>=+AN457+AO457+AP457+AQ457+AR457+AS457+AT457+AU457</f>
      </c>
    </row>
    <row r="458" ht="16" customHeight="1" spans="1:51" x14ac:dyDescent="0.25">
      <c r="A458" s="45"/>
      <c r="B458" s="46"/>
      <c r="C458" s="46"/>
      <c r="D458" s="46" t="s">
        <v>33</v>
      </c>
      <c r="E458" s="46">
        <v>3</v>
      </c>
      <c r="F458" s="46"/>
      <c r="G458" s="46">
        <v>3</v>
      </c>
      <c r="H458" s="46">
        <v>3</v>
      </c>
      <c r="I458" s="46">
        <v>3</v>
      </c>
      <c r="J458" s="46">
        <v>3</v>
      </c>
      <c r="K458" s="46">
        <v>3</v>
      </c>
      <c r="L458" s="46">
        <v>3</v>
      </c>
      <c r="M458" s="46">
        <v>0</v>
      </c>
      <c r="N458" s="46">
        <v>3</v>
      </c>
      <c r="O458" s="46">
        <v>3</v>
      </c>
      <c r="P458" s="46">
        <v>3</v>
      </c>
      <c r="Q458" s="46">
        <v>3</v>
      </c>
      <c r="R458" s="46">
        <v>3</v>
      </c>
      <c r="S458" s="46">
        <v>3</v>
      </c>
      <c r="T458" s="46"/>
      <c r="U458" s="46">
        <v>3</v>
      </c>
      <c r="V458" s="46">
        <v>3</v>
      </c>
      <c r="W458" s="46">
        <v>3</v>
      </c>
      <c r="X458" s="46">
        <v>3</v>
      </c>
      <c r="Y458" s="46">
        <v>3</v>
      </c>
      <c r="Z458" s="46">
        <v>3</v>
      </c>
      <c r="AA458" s="46">
        <v>0</v>
      </c>
      <c r="AB458" s="46">
        <v>3</v>
      </c>
      <c r="AC458" s="46">
        <v>3</v>
      </c>
      <c r="AD458" s="46">
        <v>3</v>
      </c>
      <c r="AE458" s="46">
        <v>3</v>
      </c>
      <c r="AF458" s="46">
        <v>3</v>
      </c>
      <c r="AG458" s="46">
        <v>3</v>
      </c>
      <c r="AH458" s="46"/>
      <c r="AI458" s="46">
        <v>3</v>
      </c>
      <c r="AJ458" s="46"/>
      <c r="AK458" s="46"/>
      <c r="AL458" s="46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ht="16" customHeight="1" spans="1:51" x14ac:dyDescent="0.25">
      <c r="A459" s="45"/>
      <c r="B459" s="46" t="s">
        <v>504</v>
      </c>
      <c r="C459" s="46" t="s">
        <v>505</v>
      </c>
      <c r="D459" s="46" t="s">
        <v>29</v>
      </c>
      <c r="E459" s="46" t="s">
        <v>36</v>
      </c>
      <c r="F459" s="46" t="s">
        <v>37</v>
      </c>
      <c r="G459" s="46" t="s">
        <v>36</v>
      </c>
      <c r="H459" s="46" t="s">
        <v>36</v>
      </c>
      <c r="I459" s="46" t="s">
        <v>36</v>
      </c>
      <c r="J459" s="46" t="s">
        <v>36</v>
      </c>
      <c r="K459" s="46" t="s">
        <v>36</v>
      </c>
      <c r="L459" s="46" t="s">
        <v>36</v>
      </c>
      <c r="M459" s="46" t="s">
        <v>222</v>
      </c>
      <c r="N459" s="46" t="s">
        <v>36</v>
      </c>
      <c r="O459" s="46" t="s">
        <v>36</v>
      </c>
      <c r="P459" s="46" t="s">
        <v>36</v>
      </c>
      <c r="Q459" s="46" t="s">
        <v>36</v>
      </c>
      <c r="R459" s="46" t="s">
        <v>36</v>
      </c>
      <c r="S459" s="46" t="s">
        <v>36</v>
      </c>
      <c r="T459" s="46" t="s">
        <v>37</v>
      </c>
      <c r="U459" s="46" t="s">
        <v>36</v>
      </c>
      <c r="V459" s="46" t="s">
        <v>153</v>
      </c>
      <c r="W459" s="46" t="s">
        <v>36</v>
      </c>
      <c r="X459" s="46" t="s">
        <v>36</v>
      </c>
      <c r="Y459" s="46" t="s">
        <v>36</v>
      </c>
      <c r="Z459" s="46" t="s">
        <v>36</v>
      </c>
      <c r="AA459" s="46" t="s">
        <v>37</v>
      </c>
      <c r="AB459" s="46" t="s">
        <v>36</v>
      </c>
      <c r="AC459" s="46" t="s">
        <v>36</v>
      </c>
      <c r="AD459" s="46" t="s">
        <v>36</v>
      </c>
      <c r="AE459" s="46" t="s">
        <v>36</v>
      </c>
      <c r="AF459" s="46" t="s">
        <v>36</v>
      </c>
      <c r="AG459" s="46" t="s">
        <v>36</v>
      </c>
      <c r="AH459" s="46" t="s">
        <v>222</v>
      </c>
      <c r="AI459" s="46" t="s">
        <v>36</v>
      </c>
      <c r="AJ459" s="46">
        <f>=SUM(E460:AI460)</f>
      </c>
      <c r="AK459" s="46">
        <f>=+AY459</f>
      </c>
      <c r="AL459" s="46"/>
      <c r="AM459" s="1"/>
      <c r="AN459" s="1">
        <f>=COUNTIF(E459:AI459,"A")+COUNTIF(E459:AI459,"B")+COUNTIF(E459:AI459,"C")+COUNTIF(E459:AI459,"D")+COUNTIF(E459:AI459,"E")+COUNTIF(E459:AI459,"F")+COUNTIF(E459:AI459,"M")+COUNTIF(E459:AI459,"AB")+COUNTIF(E459:AI459,"UZ")+COUNTIF(E459:AI459,"G")+(COUNTIF(E459:AI459,"RT.")/2)+(COUNTIF(E459:AI459,"ÇRT.")/2)</f>
      </c>
      <c r="AO459" s="1">
        <f>=COUNTIF(E459:AI459,"O")</f>
      </c>
      <c r="AP459" s="1">
        <f>=COUNTIF(E459:AI459,"RT")+(COUNTIF(E459:AI459,"RT.")/2)</f>
      </c>
      <c r="AQ459" s="1">
        <f>=COUNTIF(E459:AI459,"ÇRT")+(COUNTIF(E459:AI459,"ÇRT.")/2)</f>
      </c>
      <c r="AR459" s="1">
        <f>=COUNTIF(E459:AI459,"ÇHT")</f>
      </c>
      <c r="AS459" s="1">
        <f>=COUNTIF(E459:AI459,"Ö")+COUNTIF(E459:AI459,"T")</f>
      </c>
      <c r="AT459" s="1">
        <f>=COUNTIF(E459:AI459,"Y")</f>
      </c>
      <c r="AU459" s="1">
        <f>=COUNTIF(E459:AI459,"R.")</f>
      </c>
      <c r="AV459" s="1">
        <f>=COUNTIF(E459:AI459,"Ü")</f>
      </c>
      <c r="AW459" s="1">
        <f>=COUNTIF(E459:AI459,"R")</f>
      </c>
      <c r="AX459" s="1">
        <f>=COUNTIF(E459:AI459,"DV")</f>
      </c>
      <c r="AY459" s="1">
        <f>=+AN459+AO459+AP459+AQ459+AR459+AS459+AT459+AU459</f>
      </c>
    </row>
    <row r="460" ht="16" customHeight="1" spans="1:51" x14ac:dyDescent="0.25">
      <c r="A460" s="45"/>
      <c r="B460" s="46"/>
      <c r="C460" s="46"/>
      <c r="D460" s="46" t="s">
        <v>33</v>
      </c>
      <c r="E460" s="46">
        <v>2</v>
      </c>
      <c r="F460" s="46"/>
      <c r="G460" s="46">
        <v>2</v>
      </c>
      <c r="H460" s="46">
        <v>2</v>
      </c>
      <c r="I460" s="46">
        <v>2</v>
      </c>
      <c r="J460" s="46">
        <v>2</v>
      </c>
      <c r="K460" s="46">
        <v>2</v>
      </c>
      <c r="L460" s="46">
        <v>2</v>
      </c>
      <c r="M460" s="46"/>
      <c r="N460" s="46">
        <v>2</v>
      </c>
      <c r="O460" s="46">
        <v>3</v>
      </c>
      <c r="P460" s="46">
        <v>3</v>
      </c>
      <c r="Q460" s="46">
        <v>3</v>
      </c>
      <c r="R460" s="46">
        <v>3</v>
      </c>
      <c r="S460" s="46">
        <v>2</v>
      </c>
      <c r="T460" s="46"/>
      <c r="U460" s="46">
        <v>2</v>
      </c>
      <c r="V460" s="46">
        <v>0</v>
      </c>
      <c r="W460" s="46">
        <v>3</v>
      </c>
      <c r="X460" s="46">
        <v>2</v>
      </c>
      <c r="Y460" s="46">
        <v>2</v>
      </c>
      <c r="Z460" s="46">
        <v>2</v>
      </c>
      <c r="AA460" s="46"/>
      <c r="AB460" s="46">
        <v>3</v>
      </c>
      <c r="AC460" s="46">
        <v>3</v>
      </c>
      <c r="AD460" s="46">
        <v>3</v>
      </c>
      <c r="AE460" s="46">
        <v>2</v>
      </c>
      <c r="AF460" s="46">
        <v>2</v>
      </c>
      <c r="AG460" s="46">
        <v>2</v>
      </c>
      <c r="AH460" s="46"/>
      <c r="AI460" s="46">
        <v>2</v>
      </c>
      <c r="AJ460" s="46"/>
      <c r="AK460" s="46"/>
      <c r="AL460" s="46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ht="16" customHeight="1" spans="1:51" x14ac:dyDescent="0.25">
      <c r="A461" s="45"/>
      <c r="B461" s="46" t="s">
        <v>506</v>
      </c>
      <c r="C461" s="46" t="s">
        <v>507</v>
      </c>
      <c r="D461" s="46" t="s">
        <v>29</v>
      </c>
      <c r="E461" s="46"/>
      <c r="F461" s="46"/>
      <c r="G461" s="46" t="s">
        <v>42</v>
      </c>
      <c r="H461" s="46" t="s">
        <v>42</v>
      </c>
      <c r="I461" s="46" t="s">
        <v>42</v>
      </c>
      <c r="J461" s="46" t="s">
        <v>42</v>
      </c>
      <c r="K461" s="46" t="s">
        <v>42</v>
      </c>
      <c r="L461" s="46" t="s">
        <v>42</v>
      </c>
      <c r="M461" s="46" t="s">
        <v>37</v>
      </c>
      <c r="N461" s="46" t="s">
        <v>42</v>
      </c>
      <c r="O461" s="46" t="s">
        <v>42</v>
      </c>
      <c r="P461" s="46" t="s">
        <v>42</v>
      </c>
      <c r="Q461" s="46" t="s">
        <v>42</v>
      </c>
      <c r="R461" s="46" t="s">
        <v>42</v>
      </c>
      <c r="S461" s="46" t="s">
        <v>37</v>
      </c>
      <c r="T461" s="46" t="s">
        <v>42</v>
      </c>
      <c r="U461" s="46" t="s">
        <v>42</v>
      </c>
      <c r="V461" s="46" t="s">
        <v>42</v>
      </c>
      <c r="W461" s="46" t="s">
        <v>42</v>
      </c>
      <c r="X461" s="46" t="s">
        <v>42</v>
      </c>
      <c r="Y461" s="46" t="s">
        <v>42</v>
      </c>
      <c r="Z461" s="46" t="s">
        <v>37</v>
      </c>
      <c r="AA461" s="46" t="s">
        <v>42</v>
      </c>
      <c r="AB461" s="46" t="s">
        <v>42</v>
      </c>
      <c r="AC461" s="46" t="s">
        <v>42</v>
      </c>
      <c r="AD461" s="46" t="s">
        <v>37</v>
      </c>
      <c r="AE461" s="46" t="s">
        <v>42</v>
      </c>
      <c r="AF461" s="46" t="s">
        <v>42</v>
      </c>
      <c r="AG461" s="46" t="s">
        <v>42</v>
      </c>
      <c r="AH461" s="46" t="s">
        <v>43</v>
      </c>
      <c r="AI461" s="46" t="s">
        <v>42</v>
      </c>
      <c r="AJ461" s="46">
        <f>=SUM(E462:AI462)</f>
      </c>
      <c r="AK461" s="46">
        <f>=+AY461</f>
      </c>
      <c r="AL461" s="46"/>
      <c r="AM461" s="1"/>
      <c r="AN461" s="1">
        <f>=COUNTIF(E461:AI461,"A")+COUNTIF(E461:AI461,"B")+COUNTIF(E461:AI461,"C")+COUNTIF(E461:AI461,"D")+COUNTIF(E461:AI461,"E")+COUNTIF(E461:AI461,"F")+COUNTIF(E461:AI461,"M")+COUNTIF(E461:AI461,"AB")+COUNTIF(E461:AI461,"UZ")+COUNTIF(E461:AI461,"G")+(COUNTIF(E461:AI461,"RT.")/2)+(COUNTIF(E461:AI461,"ÇRT.")/2)</f>
      </c>
      <c r="AO461" s="1">
        <f>=COUNTIF(E461:AI461,"O")</f>
      </c>
      <c r="AP461" s="1">
        <f>=COUNTIF(E461:AI461,"RT")+(COUNTIF(E461:AI461,"RT.")/2)</f>
      </c>
      <c r="AQ461" s="1">
        <f>=COUNTIF(E461:AI461,"ÇRT")+(COUNTIF(E461:AI461,"ÇRT.")/2)</f>
      </c>
      <c r="AR461" s="1">
        <f>=COUNTIF(E461:AI461,"ÇHT")</f>
      </c>
      <c r="AS461" s="1">
        <f>=COUNTIF(E461:AI461,"Ö")+COUNTIF(E461:AI461,"T")</f>
      </c>
      <c r="AT461" s="1">
        <f>=COUNTIF(E461:AI461,"Y")</f>
      </c>
      <c r="AU461" s="1">
        <f>=COUNTIF(E461:AI461,"R.")</f>
      </c>
      <c r="AV461" s="1">
        <f>=COUNTIF(E461:AI461,"Ü")</f>
      </c>
      <c r="AW461" s="1">
        <f>=COUNTIF(E461:AI461,"R")</f>
      </c>
      <c r="AX461" s="1">
        <f>=COUNTIF(E461:AI461,"DV")</f>
      </c>
      <c r="AY461" s="1">
        <f>=+AN461+AO461+AP461+AQ461+AR461+AS461+AT461+AU461</f>
      </c>
    </row>
    <row r="462" ht="16" customHeight="1" spans="1:51" x14ac:dyDescent="0.25">
      <c r="A462" s="45"/>
      <c r="B462" s="46"/>
      <c r="C462" s="46"/>
      <c r="D462" s="46" t="s">
        <v>33</v>
      </c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>
        <v>3</v>
      </c>
      <c r="AB462" s="46">
        <v>2</v>
      </c>
      <c r="AC462" s="46"/>
      <c r="AD462" s="46"/>
      <c r="AE462" s="46"/>
      <c r="AF462" s="46"/>
      <c r="AG462" s="46"/>
      <c r="AH462" s="46"/>
      <c r="AI462" s="46"/>
      <c r="AJ462" s="46"/>
      <c r="AK462" s="46"/>
      <c r="AL462" s="46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ht="16" customHeight="1" spans="1:51" x14ac:dyDescent="0.25">
      <c r="A463" s="45"/>
      <c r="B463" s="46" t="s">
        <v>508</v>
      </c>
      <c r="C463" s="46" t="s">
        <v>509</v>
      </c>
      <c r="D463" s="46" t="s">
        <v>29</v>
      </c>
      <c r="E463" s="46" t="s">
        <v>36</v>
      </c>
      <c r="F463" s="46" t="s">
        <v>37</v>
      </c>
      <c r="G463" s="46" t="s">
        <v>36</v>
      </c>
      <c r="H463" s="46" t="s">
        <v>36</v>
      </c>
      <c r="I463" s="46" t="s">
        <v>36</v>
      </c>
      <c r="J463" s="46" t="s">
        <v>36</v>
      </c>
      <c r="K463" s="46" t="s">
        <v>36</v>
      </c>
      <c r="L463" s="46" t="s">
        <v>36</v>
      </c>
      <c r="M463" s="46" t="s">
        <v>37</v>
      </c>
      <c r="N463" s="46" t="s">
        <v>36</v>
      </c>
      <c r="O463" s="46" t="s">
        <v>36</v>
      </c>
      <c r="P463" s="46" t="s">
        <v>36</v>
      </c>
      <c r="Q463" s="46" t="s">
        <v>36</v>
      </c>
      <c r="R463" s="46" t="s">
        <v>36</v>
      </c>
      <c r="S463" s="46" t="s">
        <v>36</v>
      </c>
      <c r="T463" s="46" t="s">
        <v>37</v>
      </c>
      <c r="U463" s="46" t="s">
        <v>36</v>
      </c>
      <c r="V463" s="46" t="s">
        <v>36</v>
      </c>
      <c r="W463" s="46" t="s">
        <v>36</v>
      </c>
      <c r="X463" s="46" t="s">
        <v>153</v>
      </c>
      <c r="Y463" s="46" t="s">
        <v>36</v>
      </c>
      <c r="Z463" s="46" t="s">
        <v>36</v>
      </c>
      <c r="AA463" s="46" t="s">
        <v>37</v>
      </c>
      <c r="AB463" s="46" t="s">
        <v>36</v>
      </c>
      <c r="AC463" s="46" t="s">
        <v>36</v>
      </c>
      <c r="AD463" s="46" t="s">
        <v>36</v>
      </c>
      <c r="AE463" s="46" t="s">
        <v>36</v>
      </c>
      <c r="AF463" s="46" t="s">
        <v>36</v>
      </c>
      <c r="AG463" s="46" t="s">
        <v>36</v>
      </c>
      <c r="AH463" s="46" t="s">
        <v>222</v>
      </c>
      <c r="AI463" s="46" t="s">
        <v>36</v>
      </c>
      <c r="AJ463" s="46">
        <f>=SUM(E464:AI464)</f>
      </c>
      <c r="AK463" s="46">
        <f>=+AY463</f>
      </c>
      <c r="AL463" s="46"/>
      <c r="AM463" s="1"/>
      <c r="AN463" s="1">
        <f>=COUNTIF(E463:AI463,"A")+COUNTIF(E463:AI463,"B")+COUNTIF(E463:AI463,"C")+COUNTIF(E463:AI463,"D")+COUNTIF(E463:AI463,"E")+COUNTIF(E463:AI463,"F")+COUNTIF(E463:AI463,"M")+COUNTIF(E463:AI463,"AB")+COUNTIF(E463:AI463,"UZ")+COUNTIF(E463:AI463,"G")+(COUNTIF(E463:AI463,"RT.")/2)+(COUNTIF(E463:AI463,"ÇRT.")/2)</f>
      </c>
      <c r="AO463" s="1">
        <f>=COUNTIF(E463:AI463,"O")</f>
      </c>
      <c r="AP463" s="1">
        <f>=COUNTIF(E463:AI463,"RT")+(COUNTIF(E463:AI463,"RT.")/2)</f>
      </c>
      <c r="AQ463" s="1">
        <f>=COUNTIF(E463:AI463,"ÇRT")+(COUNTIF(E463:AI463,"ÇRT.")/2)</f>
      </c>
      <c r="AR463" s="1">
        <f>=COUNTIF(E463:AI463,"ÇHT")</f>
      </c>
      <c r="AS463" s="1">
        <f>=COUNTIF(E463:AI463,"Ö")+COUNTIF(E463:AI463,"T")</f>
      </c>
      <c r="AT463" s="1">
        <f>=COUNTIF(E463:AI463,"Y")</f>
      </c>
      <c r="AU463" s="1">
        <f>=COUNTIF(E463:AI463,"R.")</f>
      </c>
      <c r="AV463" s="1">
        <f>=COUNTIF(E463:AI463,"Ü")</f>
      </c>
      <c r="AW463" s="1">
        <f>=COUNTIF(E463:AI463,"R")</f>
      </c>
      <c r="AX463" s="1">
        <f>=COUNTIF(E463:AI463,"DV")</f>
      </c>
      <c r="AY463" s="1">
        <f>=+AN463+AO463+AP463+AQ463+AR463+AS463+AT463+AU463</f>
      </c>
    </row>
    <row r="464" ht="16" customHeight="1" spans="1:51" x14ac:dyDescent="0.25">
      <c r="A464" s="45"/>
      <c r="B464" s="46"/>
      <c r="C464" s="46"/>
      <c r="D464" s="46" t="s">
        <v>33</v>
      </c>
      <c r="E464" s="46">
        <v>2</v>
      </c>
      <c r="F464" s="46"/>
      <c r="G464" s="46">
        <v>2</v>
      </c>
      <c r="H464" s="46">
        <v>2</v>
      </c>
      <c r="I464" s="46">
        <v>2</v>
      </c>
      <c r="J464" s="46">
        <v>2</v>
      </c>
      <c r="K464" s="46">
        <v>2</v>
      </c>
      <c r="L464" s="46">
        <v>2</v>
      </c>
      <c r="M464" s="46"/>
      <c r="N464" s="46">
        <v>2</v>
      </c>
      <c r="O464" s="46">
        <v>2</v>
      </c>
      <c r="P464" s="46">
        <v>2</v>
      </c>
      <c r="Q464" s="46">
        <v>2</v>
      </c>
      <c r="R464" s="46">
        <v>2</v>
      </c>
      <c r="S464" s="46">
        <v>2</v>
      </c>
      <c r="T464" s="46"/>
      <c r="U464" s="46">
        <v>2</v>
      </c>
      <c r="V464" s="46">
        <v>2</v>
      </c>
      <c r="W464" s="46">
        <v>2</v>
      </c>
      <c r="X464" s="46">
        <v>0</v>
      </c>
      <c r="Y464" s="46">
        <v>2</v>
      </c>
      <c r="Z464" s="46">
        <v>2</v>
      </c>
      <c r="AA464" s="46"/>
      <c r="AB464" s="46">
        <v>2</v>
      </c>
      <c r="AC464" s="46">
        <v>2</v>
      </c>
      <c r="AD464" s="46">
        <v>2</v>
      </c>
      <c r="AE464" s="46">
        <v>2</v>
      </c>
      <c r="AF464" s="46">
        <v>2</v>
      </c>
      <c r="AG464" s="46">
        <v>2</v>
      </c>
      <c r="AH464" s="46"/>
      <c r="AI464" s="46">
        <v>2</v>
      </c>
      <c r="AJ464" s="46"/>
      <c r="AK464" s="46"/>
      <c r="AL464" s="46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ht="16" customHeight="1" spans="1:51" x14ac:dyDescent="0.25">
      <c r="A465" s="45"/>
      <c r="B465" s="46" t="s">
        <v>510</v>
      </c>
      <c r="C465" s="46" t="s">
        <v>511</v>
      </c>
      <c r="D465" s="46" t="s">
        <v>29</v>
      </c>
      <c r="E465" s="46"/>
      <c r="F465" s="46"/>
      <c r="G465" s="46" t="s">
        <v>42</v>
      </c>
      <c r="H465" s="46" t="s">
        <v>42</v>
      </c>
      <c r="I465" s="46" t="s">
        <v>42</v>
      </c>
      <c r="J465" s="46" t="s">
        <v>42</v>
      </c>
      <c r="K465" s="46" t="s">
        <v>42</v>
      </c>
      <c r="L465" s="46" t="s">
        <v>42</v>
      </c>
      <c r="M465" s="46" t="s">
        <v>37</v>
      </c>
      <c r="N465" s="46" t="s">
        <v>42</v>
      </c>
      <c r="O465" s="46" t="s">
        <v>42</v>
      </c>
      <c r="P465" s="46" t="s">
        <v>42</v>
      </c>
      <c r="Q465" s="46" t="s">
        <v>42</v>
      </c>
      <c r="R465" s="46" t="s">
        <v>42</v>
      </c>
      <c r="S465" s="46" t="s">
        <v>37</v>
      </c>
      <c r="T465" s="46" t="s">
        <v>42</v>
      </c>
      <c r="U465" s="46" t="s">
        <v>42</v>
      </c>
      <c r="V465" s="46" t="s">
        <v>42</v>
      </c>
      <c r="W465" s="46" t="s">
        <v>42</v>
      </c>
      <c r="X465" s="46" t="s">
        <v>42</v>
      </c>
      <c r="Y465" s="46" t="s">
        <v>42</v>
      </c>
      <c r="Z465" s="46" t="s">
        <v>37</v>
      </c>
      <c r="AA465" s="46" t="s">
        <v>42</v>
      </c>
      <c r="AB465" s="46" t="s">
        <v>42</v>
      </c>
      <c r="AC465" s="46" t="s">
        <v>37</v>
      </c>
      <c r="AD465" s="46" t="s">
        <v>42</v>
      </c>
      <c r="AE465" s="46" t="s">
        <v>42</v>
      </c>
      <c r="AF465" s="46" t="s">
        <v>42</v>
      </c>
      <c r="AG465" s="46" t="s">
        <v>42</v>
      </c>
      <c r="AH465" s="46" t="s">
        <v>43</v>
      </c>
      <c r="AI465" s="46" t="s">
        <v>42</v>
      </c>
      <c r="AJ465" s="46">
        <f>=SUM(E466:AI466)</f>
      </c>
      <c r="AK465" s="46">
        <f>=+AY465</f>
      </c>
      <c r="AL465" s="46"/>
      <c r="AM465" s="1"/>
      <c r="AN465" s="1">
        <f>=COUNTIF(E465:AI465,"A")+COUNTIF(E465:AI465,"B")+COUNTIF(E465:AI465,"C")+COUNTIF(E465:AI465,"D")+COUNTIF(E465:AI465,"E")+COUNTIF(E465:AI465,"F")+COUNTIF(E465:AI465,"M")+COUNTIF(E465:AI465,"AB")+COUNTIF(E465:AI465,"UZ")+COUNTIF(E465:AI465,"G")+(COUNTIF(E465:AI465,"RT.")/2)+(COUNTIF(E465:AI465,"ÇRT.")/2)</f>
      </c>
      <c r="AO465" s="1">
        <f>=COUNTIF(E465:AI465,"O")</f>
      </c>
      <c r="AP465" s="1">
        <f>=COUNTIF(E465:AI465,"RT")+(COUNTIF(E465:AI465,"RT.")/2)</f>
      </c>
      <c r="AQ465" s="1">
        <f>=COUNTIF(E465:AI465,"ÇRT")+(COUNTIF(E465:AI465,"ÇRT.")/2)</f>
      </c>
      <c r="AR465" s="1">
        <f>=COUNTIF(E465:AI465,"ÇHT")</f>
      </c>
      <c r="AS465" s="1">
        <f>=COUNTIF(E465:AI465,"Ö")+COUNTIF(E465:AI465,"T")</f>
      </c>
      <c r="AT465" s="1">
        <f>=COUNTIF(E465:AI465,"Y")</f>
      </c>
      <c r="AU465" s="1">
        <f>=COUNTIF(E465:AI465,"R.")</f>
      </c>
      <c r="AV465" s="1">
        <f>=COUNTIF(E465:AI465,"Ü")</f>
      </c>
      <c r="AW465" s="1">
        <f>=COUNTIF(E465:AI465,"R")</f>
      </c>
      <c r="AX465" s="1">
        <f>=COUNTIF(E465:AI465,"DV")</f>
      </c>
      <c r="AY465" s="1">
        <f>=+AN465+AO465+AP465+AQ465+AR465+AS465+AT465+AU465</f>
      </c>
    </row>
    <row r="466" ht="16" customHeight="1" spans="1:51" x14ac:dyDescent="0.25">
      <c r="A466" s="45"/>
      <c r="B466" s="46"/>
      <c r="C466" s="46"/>
      <c r="D466" s="46" t="s">
        <v>33</v>
      </c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>
        <v>3</v>
      </c>
      <c r="AB466" s="46">
        <v>2</v>
      </c>
      <c r="AC466" s="46"/>
      <c r="AD466" s="46"/>
      <c r="AE466" s="46"/>
      <c r="AF466" s="46"/>
      <c r="AG466" s="46"/>
      <c r="AH466" s="46"/>
      <c r="AI466" s="46"/>
      <c r="AJ466" s="46"/>
      <c r="AK466" s="46"/>
      <c r="AL466" s="46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ht="16" customHeight="1" spans="1:51" x14ac:dyDescent="0.25">
      <c r="A467" s="45"/>
      <c r="B467" s="46" t="s">
        <v>512</v>
      </c>
      <c r="C467" s="46" t="s">
        <v>513</v>
      </c>
      <c r="D467" s="46" t="s">
        <v>29</v>
      </c>
      <c r="E467" s="46" t="s">
        <v>36</v>
      </c>
      <c r="F467" s="46" t="s">
        <v>222</v>
      </c>
      <c r="G467" s="46" t="s">
        <v>36</v>
      </c>
      <c r="H467" s="46" t="s">
        <v>36</v>
      </c>
      <c r="I467" s="46" t="s">
        <v>36</v>
      </c>
      <c r="J467" s="46" t="s">
        <v>36</v>
      </c>
      <c r="K467" s="46" t="s">
        <v>36</v>
      </c>
      <c r="L467" s="46" t="s">
        <v>36</v>
      </c>
      <c r="M467" s="46" t="s">
        <v>37</v>
      </c>
      <c r="N467" s="46" t="s">
        <v>36</v>
      </c>
      <c r="O467" s="46" t="s">
        <v>36</v>
      </c>
      <c r="P467" s="46" t="s">
        <v>36</v>
      </c>
      <c r="Q467" s="46" t="s">
        <v>36</v>
      </c>
      <c r="R467" s="46" t="s">
        <v>36</v>
      </c>
      <c r="S467" s="46" t="s">
        <v>36</v>
      </c>
      <c r="T467" s="46" t="s">
        <v>222</v>
      </c>
      <c r="U467" s="46" t="s">
        <v>36</v>
      </c>
      <c r="V467" s="46" t="s">
        <v>36</v>
      </c>
      <c r="W467" s="46" t="s">
        <v>36</v>
      </c>
      <c r="X467" s="46" t="s">
        <v>36</v>
      </c>
      <c r="Y467" s="46" t="s">
        <v>36</v>
      </c>
      <c r="Z467" s="46" t="s">
        <v>36</v>
      </c>
      <c r="AA467" s="46" t="s">
        <v>37</v>
      </c>
      <c r="AB467" s="46" t="s">
        <v>36</v>
      </c>
      <c r="AC467" s="46" t="s">
        <v>36</v>
      </c>
      <c r="AD467" s="46" t="s">
        <v>36</v>
      </c>
      <c r="AE467" s="46" t="s">
        <v>36</v>
      </c>
      <c r="AF467" s="46" t="s">
        <v>36</v>
      </c>
      <c r="AG467" s="46" t="s">
        <v>36</v>
      </c>
      <c r="AH467" s="46" t="s">
        <v>222</v>
      </c>
      <c r="AI467" s="46" t="s">
        <v>36</v>
      </c>
      <c r="AJ467" s="46">
        <f>=SUM(E468:AI468)</f>
      </c>
      <c r="AK467" s="46">
        <f>=+AY467</f>
      </c>
      <c r="AL467" s="46"/>
      <c r="AM467" s="1"/>
      <c r="AN467" s="1">
        <f>=COUNTIF(E467:AI467,"A")+COUNTIF(E467:AI467,"B")+COUNTIF(E467:AI467,"C")+COUNTIF(E467:AI467,"D")+COUNTIF(E467:AI467,"E")+COUNTIF(E467:AI467,"F")+COUNTIF(E467:AI467,"M")+COUNTIF(E467:AI467,"AB")+COUNTIF(E467:AI467,"UZ")+COUNTIF(E467:AI467,"G")+(COUNTIF(E467:AI467,"RT.")/2)+(COUNTIF(E467:AI467,"ÇRT.")/2)</f>
      </c>
      <c r="AO467" s="1">
        <f>=COUNTIF(E467:AI467,"O")</f>
      </c>
      <c r="AP467" s="1">
        <f>=COUNTIF(E467:AI467,"RT")+(COUNTIF(E467:AI467,"RT.")/2)</f>
      </c>
      <c r="AQ467" s="1">
        <f>=COUNTIF(E467:AI467,"ÇRT")+(COUNTIF(E467:AI467,"ÇRT.")/2)</f>
      </c>
      <c r="AR467" s="1">
        <f>=COUNTIF(E467:AI467,"ÇHT")</f>
      </c>
      <c r="AS467" s="1">
        <f>=COUNTIF(E467:AI467,"Ö")+COUNTIF(E467:AI467,"T")</f>
      </c>
      <c r="AT467" s="1">
        <f>=COUNTIF(E467:AI467,"Y")</f>
      </c>
      <c r="AU467" s="1">
        <f>=COUNTIF(E467:AI467,"R.")</f>
      </c>
      <c r="AV467" s="1">
        <f>=COUNTIF(E467:AI467,"Ü")</f>
      </c>
      <c r="AW467" s="1">
        <f>=COUNTIF(E467:AI467,"R")</f>
      </c>
      <c r="AX467" s="1">
        <f>=COUNTIF(E467:AI467,"DV")</f>
      </c>
      <c r="AY467" s="1">
        <f>=+AN467+AO467+AP467+AQ467+AR467+AS467+AT467+AU467</f>
      </c>
    </row>
    <row r="468" ht="16" customHeight="1" spans="1:51" x14ac:dyDescent="0.25">
      <c r="A468" s="45"/>
      <c r="B468" s="46"/>
      <c r="C468" s="46"/>
      <c r="D468" s="46" t="s">
        <v>33</v>
      </c>
      <c r="E468" s="46">
        <v>3</v>
      </c>
      <c r="F468" s="46"/>
      <c r="G468" s="46">
        <v>3</v>
      </c>
      <c r="H468" s="46">
        <v>3</v>
      </c>
      <c r="I468" s="46">
        <v>3</v>
      </c>
      <c r="J468" s="46">
        <v>3</v>
      </c>
      <c r="K468" s="46">
        <v>3</v>
      </c>
      <c r="L468" s="46">
        <v>3</v>
      </c>
      <c r="M468" s="46">
        <v>0</v>
      </c>
      <c r="N468" s="46">
        <v>3</v>
      </c>
      <c r="O468" s="46">
        <v>3</v>
      </c>
      <c r="P468" s="46">
        <v>3</v>
      </c>
      <c r="Q468" s="46">
        <v>3</v>
      </c>
      <c r="R468" s="46">
        <v>3</v>
      </c>
      <c r="S468" s="46">
        <v>3</v>
      </c>
      <c r="T468" s="46"/>
      <c r="U468" s="46">
        <v>3</v>
      </c>
      <c r="V468" s="46">
        <v>3</v>
      </c>
      <c r="W468" s="46">
        <v>3</v>
      </c>
      <c r="X468" s="46">
        <v>3</v>
      </c>
      <c r="Y468" s="46">
        <v>3</v>
      </c>
      <c r="Z468" s="46">
        <v>3</v>
      </c>
      <c r="AA468" s="46"/>
      <c r="AB468" s="46">
        <v>3</v>
      </c>
      <c r="AC468" s="46">
        <v>3</v>
      </c>
      <c r="AD468" s="46">
        <v>3</v>
      </c>
      <c r="AE468" s="46">
        <v>3</v>
      </c>
      <c r="AF468" s="46">
        <v>3</v>
      </c>
      <c r="AG468" s="46">
        <v>3</v>
      </c>
      <c r="AH468" s="46"/>
      <c r="AI468" s="46">
        <v>3</v>
      </c>
      <c r="AJ468" s="46"/>
      <c r="AK468" s="46"/>
      <c r="AL468" s="46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ht="16" customHeight="1" spans="1:51" x14ac:dyDescent="0.25">
      <c r="A469" s="45"/>
      <c r="B469" s="46" t="s">
        <v>514</v>
      </c>
      <c r="C469" s="46" t="s">
        <v>515</v>
      </c>
      <c r="D469" s="46" t="s">
        <v>29</v>
      </c>
      <c r="E469" s="46" t="s">
        <v>36</v>
      </c>
      <c r="F469" s="46" t="s">
        <v>37</v>
      </c>
      <c r="G469" s="46" t="s">
        <v>36</v>
      </c>
      <c r="H469" s="46" t="s">
        <v>36</v>
      </c>
      <c r="I469" s="46" t="s">
        <v>173</v>
      </c>
      <c r="J469" s="46" t="s">
        <v>173</v>
      </c>
      <c r="K469" s="46"/>
      <c r="L469" s="46"/>
      <c r="M469" s="46"/>
      <c r="N469" s="46"/>
      <c r="O469" s="46"/>
      <c r="P469" s="46"/>
      <c r="Q469" s="46"/>
      <c r="R469" s="46"/>
      <c r="S469" s="46"/>
      <c r="T469" s="46" t="s">
        <v>173</v>
      </c>
      <c r="U469" s="46"/>
      <c r="V469" s="46"/>
      <c r="W469" s="46"/>
      <c r="X469" s="46"/>
      <c r="Y469" s="46"/>
      <c r="Z469" s="46"/>
      <c r="AA469" s="46"/>
      <c r="AB469" s="46"/>
      <c r="AC469" s="46"/>
      <c r="AD469" s="46"/>
      <c r="AE469" s="46"/>
      <c r="AF469" s="46"/>
      <c r="AG469" s="46"/>
      <c r="AH469" s="46"/>
      <c r="AI469" s="46"/>
      <c r="AJ469" s="46">
        <f>=SUM(E470:AI470)</f>
      </c>
      <c r="AK469" s="46">
        <f>=+AY469</f>
      </c>
      <c r="AL469" s="46"/>
      <c r="AM469" s="1"/>
      <c r="AN469" s="1">
        <f>=COUNTIF(E469:AI469,"A")+COUNTIF(E469:AI469,"B")+COUNTIF(E469:AI469,"C")+COUNTIF(E469:AI469,"D")+COUNTIF(E469:AI469,"E")+COUNTIF(E469:AI469,"F")+COUNTIF(E469:AI469,"M")+COUNTIF(E469:AI469,"AB")+COUNTIF(E469:AI469,"UZ")+COUNTIF(E469:AI469,"G")+(COUNTIF(E469:AI469,"RT.")/2)+(COUNTIF(E469:AI469,"ÇRT.")/2)</f>
      </c>
      <c r="AO469" s="1">
        <f>=COUNTIF(E469:AI469,"O")</f>
      </c>
      <c r="AP469" s="1">
        <f>=COUNTIF(E469:AI469,"RT")+(COUNTIF(E469:AI469,"RT.")/2)</f>
      </c>
      <c r="AQ469" s="1">
        <f>=COUNTIF(E469:AI469,"ÇRT")+(COUNTIF(E469:AI469,"ÇRT.")/2)</f>
      </c>
      <c r="AR469" s="1">
        <f>=COUNTIF(E469:AI469,"ÇHT")</f>
      </c>
      <c r="AS469" s="1">
        <f>=COUNTIF(E469:AI469,"Ö")+COUNTIF(E469:AI469,"T")</f>
      </c>
      <c r="AT469" s="1">
        <f>=COUNTIF(E469:AI469,"Y")</f>
      </c>
      <c r="AU469" s="1">
        <f>=COUNTIF(E469:AI469,"R.")</f>
      </c>
      <c r="AV469" s="1">
        <f>=COUNTIF(E469:AI469,"Ü")</f>
      </c>
      <c r="AW469" s="1">
        <f>=COUNTIF(E469:AI469,"R")</f>
      </c>
      <c r="AX469" s="1">
        <f>=COUNTIF(E469:AI469,"DV")</f>
      </c>
      <c r="AY469" s="1">
        <f>=+AN469+AO469+AP469+AQ469+AR469+AS469+AT469+AU469</f>
      </c>
    </row>
    <row r="470" ht="16" customHeight="1" spans="1:51" x14ac:dyDescent="0.25">
      <c r="A470" s="45"/>
      <c r="B470" s="46"/>
      <c r="C470" s="46"/>
      <c r="D470" s="46" t="s">
        <v>33</v>
      </c>
      <c r="E470" s="46">
        <v>2</v>
      </c>
      <c r="F470" s="46"/>
      <c r="G470" s="46">
        <v>2</v>
      </c>
      <c r="H470" s="46">
        <v>2</v>
      </c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  <c r="AC470" s="46"/>
      <c r="AD470" s="46"/>
      <c r="AE470" s="46"/>
      <c r="AF470" s="46"/>
      <c r="AG470" s="46"/>
      <c r="AH470" s="46"/>
      <c r="AI470" s="46"/>
      <c r="AJ470" s="46"/>
      <c r="AK470" s="46"/>
      <c r="AL470" s="46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ht="16" customHeight="1" spans="1:51" x14ac:dyDescent="0.25">
      <c r="A471" s="45"/>
      <c r="B471" s="46" t="s">
        <v>516</v>
      </c>
      <c r="C471" s="46" t="s">
        <v>517</v>
      </c>
      <c r="D471" s="46" t="s">
        <v>29</v>
      </c>
      <c r="E471" s="46" t="s">
        <v>42</v>
      </c>
      <c r="F471" s="46" t="s">
        <v>222</v>
      </c>
      <c r="G471" s="46" t="s">
        <v>42</v>
      </c>
      <c r="H471" s="46" t="s">
        <v>42</v>
      </c>
      <c r="I471" s="46" t="s">
        <v>42</v>
      </c>
      <c r="J471" s="46" t="s">
        <v>42</v>
      </c>
      <c r="K471" s="46" t="s">
        <v>42</v>
      </c>
      <c r="L471" s="46" t="s">
        <v>42</v>
      </c>
      <c r="M471" s="46" t="s">
        <v>37</v>
      </c>
      <c r="N471" s="46" t="s">
        <v>42</v>
      </c>
      <c r="O471" s="46" t="s">
        <v>42</v>
      </c>
      <c r="P471" s="46" t="s">
        <v>42</v>
      </c>
      <c r="Q471" s="46" t="s">
        <v>42</v>
      </c>
      <c r="R471" s="46" t="s">
        <v>42</v>
      </c>
      <c r="S471" s="46" t="s">
        <v>42</v>
      </c>
      <c r="T471" s="46" t="s">
        <v>37</v>
      </c>
      <c r="U471" s="46" t="s">
        <v>42</v>
      </c>
      <c r="V471" s="46" t="s">
        <v>42</v>
      </c>
      <c r="W471" s="46" t="s">
        <v>42</v>
      </c>
      <c r="X471" s="46" t="s">
        <v>42</v>
      </c>
      <c r="Y471" s="46" t="s">
        <v>42</v>
      </c>
      <c r="Z471" s="46" t="s">
        <v>42</v>
      </c>
      <c r="AA471" s="46" t="s">
        <v>37</v>
      </c>
      <c r="AB471" s="46" t="s">
        <v>42</v>
      </c>
      <c r="AC471" s="46" t="s">
        <v>42</v>
      </c>
      <c r="AD471" s="46" t="s">
        <v>42</v>
      </c>
      <c r="AE471" s="46" t="s">
        <v>42</v>
      </c>
      <c r="AF471" s="46" t="s">
        <v>42</v>
      </c>
      <c r="AG471" s="46" t="s">
        <v>42</v>
      </c>
      <c r="AH471" s="46" t="s">
        <v>222</v>
      </c>
      <c r="AI471" s="46" t="s">
        <v>42</v>
      </c>
      <c r="AJ471" s="46">
        <f>=SUM(E472:AI472)</f>
      </c>
      <c r="AK471" s="46">
        <f>=+AY471</f>
      </c>
      <c r="AL471" s="46"/>
      <c r="AM471" s="1"/>
      <c r="AN471" s="1">
        <f>=COUNTIF(E471:AI471,"A")+COUNTIF(E471:AI471,"B")+COUNTIF(E471:AI471,"C")+COUNTIF(E471:AI471,"D")+COUNTIF(E471:AI471,"E")+COUNTIF(E471:AI471,"F")+COUNTIF(E471:AI471,"M")+COUNTIF(E471:AI471,"AB")+COUNTIF(E471:AI471,"UZ")+COUNTIF(E471:AI471,"G")+(COUNTIF(E471:AI471,"RT.")/2)+(COUNTIF(E471:AI471,"ÇRT.")/2)</f>
      </c>
      <c r="AO471" s="1">
        <f>=COUNTIF(E471:AI471,"O")</f>
      </c>
      <c r="AP471" s="1">
        <f>=COUNTIF(E471:AI471,"RT")+(COUNTIF(E471:AI471,"RT.")/2)</f>
      </c>
      <c r="AQ471" s="1">
        <f>=COUNTIF(E471:AI471,"ÇRT")+(COUNTIF(E471:AI471,"ÇRT.")/2)</f>
      </c>
      <c r="AR471" s="1">
        <f>=COUNTIF(E471:AI471,"ÇHT")</f>
      </c>
      <c r="AS471" s="1">
        <f>=COUNTIF(E471:AI471,"Ö")+COUNTIF(E471:AI471,"T")</f>
      </c>
      <c r="AT471" s="1">
        <f>=COUNTIF(E471:AI471,"Y")</f>
      </c>
      <c r="AU471" s="1">
        <f>=COUNTIF(E471:AI471,"R.")</f>
      </c>
      <c r="AV471" s="1">
        <f>=COUNTIF(E471:AI471,"Ü")</f>
      </c>
      <c r="AW471" s="1">
        <f>=COUNTIF(E471:AI471,"R")</f>
      </c>
      <c r="AX471" s="1">
        <f>=COUNTIF(E471:AI471,"DV")</f>
      </c>
      <c r="AY471" s="1">
        <f>=+AN471+AO471+AP471+AQ471+AR471+AS471+AT471+AU471</f>
      </c>
    </row>
    <row r="472" ht="16" customHeight="1" spans="1:51" x14ac:dyDescent="0.25">
      <c r="A472" s="45"/>
      <c r="B472" s="46"/>
      <c r="C472" s="46"/>
      <c r="D472" s="46" t="s">
        <v>33</v>
      </c>
      <c r="E472" s="46"/>
      <c r="F472" s="46"/>
      <c r="G472" s="46">
        <v>3</v>
      </c>
      <c r="H472" s="46">
        <v>3</v>
      </c>
      <c r="I472" s="46">
        <v>3</v>
      </c>
      <c r="J472" s="46">
        <v>3</v>
      </c>
      <c r="K472" s="46">
        <v>3</v>
      </c>
      <c r="L472" s="46">
        <v>3</v>
      </c>
      <c r="M472" s="46"/>
      <c r="N472" s="46">
        <v>3</v>
      </c>
      <c r="O472" s="46">
        <v>3</v>
      </c>
      <c r="P472" s="46">
        <v>3</v>
      </c>
      <c r="Q472" s="46"/>
      <c r="R472" s="46">
        <v>3</v>
      </c>
      <c r="S472" s="46">
        <v>3</v>
      </c>
      <c r="T472" s="46"/>
      <c r="U472" s="46">
        <v>3</v>
      </c>
      <c r="V472" s="46">
        <v>2.5</v>
      </c>
      <c r="W472" s="46"/>
      <c r="X472" s="46"/>
      <c r="Y472" s="46">
        <v>3</v>
      </c>
      <c r="Z472" s="46">
        <v>3</v>
      </c>
      <c r="AA472" s="46"/>
      <c r="AB472" s="46">
        <v>3</v>
      </c>
      <c r="AC472" s="46">
        <v>3</v>
      </c>
      <c r="AD472" s="46">
        <v>3</v>
      </c>
      <c r="AE472" s="46">
        <v>3</v>
      </c>
      <c r="AF472" s="46">
        <v>2.5</v>
      </c>
      <c r="AG472" s="46"/>
      <c r="AH472" s="46"/>
      <c r="AI472" s="46"/>
      <c r="AJ472" s="46"/>
      <c r="AK472" s="46"/>
      <c r="AL472" s="46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ht="16" customHeight="1" spans="1:51" x14ac:dyDescent="0.25">
      <c r="A473" s="45"/>
      <c r="B473" s="46" t="s">
        <v>518</v>
      </c>
      <c r="C473" s="46" t="s">
        <v>519</v>
      </c>
      <c r="D473" s="46" t="s">
        <v>29</v>
      </c>
      <c r="E473" s="46" t="s">
        <v>36</v>
      </c>
      <c r="F473" s="46" t="s">
        <v>37</v>
      </c>
      <c r="G473" s="46" t="s">
        <v>36</v>
      </c>
      <c r="H473" s="46" t="s">
        <v>36</v>
      </c>
      <c r="I473" s="46" t="s">
        <v>36</v>
      </c>
      <c r="J473" s="46" t="s">
        <v>36</v>
      </c>
      <c r="K473" s="46" t="s">
        <v>36</v>
      </c>
      <c r="L473" s="46" t="s">
        <v>36</v>
      </c>
      <c r="M473" s="46" t="s">
        <v>222</v>
      </c>
      <c r="N473" s="46" t="s">
        <v>36</v>
      </c>
      <c r="O473" s="46" t="s">
        <v>36</v>
      </c>
      <c r="P473" s="46" t="s">
        <v>36</v>
      </c>
      <c r="Q473" s="46" t="s">
        <v>36</v>
      </c>
      <c r="R473" s="46" t="s">
        <v>36</v>
      </c>
      <c r="S473" s="46" t="s">
        <v>36</v>
      </c>
      <c r="T473" s="46" t="s">
        <v>222</v>
      </c>
      <c r="U473" s="46" t="s">
        <v>36</v>
      </c>
      <c r="V473" s="46" t="s">
        <v>36</v>
      </c>
      <c r="W473" s="46" t="s">
        <v>36</v>
      </c>
      <c r="X473" s="46" t="s">
        <v>36</v>
      </c>
      <c r="Y473" s="46" t="s">
        <v>36</v>
      </c>
      <c r="Z473" s="46" t="s">
        <v>36</v>
      </c>
      <c r="AA473" s="46" t="s">
        <v>222</v>
      </c>
      <c r="AB473" s="46" t="s">
        <v>36</v>
      </c>
      <c r="AC473" s="46" t="s">
        <v>36</v>
      </c>
      <c r="AD473" s="46" t="s">
        <v>36</v>
      </c>
      <c r="AE473" s="46" t="s">
        <v>36</v>
      </c>
      <c r="AF473" s="46" t="s">
        <v>36</v>
      </c>
      <c r="AG473" s="46" t="s">
        <v>36</v>
      </c>
      <c r="AH473" s="46" t="s">
        <v>222</v>
      </c>
      <c r="AI473" s="46" t="s">
        <v>36</v>
      </c>
      <c r="AJ473" s="46">
        <f>=SUM(E474:AI474)</f>
      </c>
      <c r="AK473" s="46">
        <f>=+AY473</f>
      </c>
      <c r="AL473" s="46"/>
      <c r="AM473" s="1"/>
      <c r="AN473" s="1">
        <f>=COUNTIF(E473:AI473,"A")+COUNTIF(E473:AI473,"B")+COUNTIF(E473:AI473,"C")+COUNTIF(E473:AI473,"D")+COUNTIF(E473:AI473,"E")+COUNTIF(E473:AI473,"F")+COUNTIF(E473:AI473,"M")+COUNTIF(E473:AI473,"AB")+COUNTIF(E473:AI473,"UZ")+COUNTIF(E473:AI473,"G")+(COUNTIF(E473:AI473,"RT.")/2)+(COUNTIF(E473:AI473,"ÇRT.")/2)</f>
      </c>
      <c r="AO473" s="1">
        <f>=COUNTIF(E473:AI473,"O")</f>
      </c>
      <c r="AP473" s="1">
        <f>=COUNTIF(E473:AI473,"RT")+(COUNTIF(E473:AI473,"RT.")/2)</f>
      </c>
      <c r="AQ473" s="1">
        <f>=COUNTIF(E473:AI473,"ÇRT")+(COUNTIF(E473:AI473,"ÇRT.")/2)</f>
      </c>
      <c r="AR473" s="1">
        <f>=COUNTIF(E473:AI473,"ÇHT")</f>
      </c>
      <c r="AS473" s="1">
        <f>=COUNTIF(E473:AI473,"Ö")+COUNTIF(E473:AI473,"T")</f>
      </c>
      <c r="AT473" s="1">
        <f>=COUNTIF(E473:AI473,"Y")</f>
      </c>
      <c r="AU473" s="1">
        <f>=COUNTIF(E473:AI473,"R.")</f>
      </c>
      <c r="AV473" s="1">
        <f>=COUNTIF(E473:AI473,"Ü")</f>
      </c>
      <c r="AW473" s="1">
        <f>=COUNTIF(E473:AI473,"R")</f>
      </c>
      <c r="AX473" s="1">
        <f>=COUNTIF(E473:AI473,"DV")</f>
      </c>
      <c r="AY473" s="1">
        <f>=+AN473+AO473+AP473+AQ473+AR473+AS473+AT473+AU473</f>
      </c>
    </row>
    <row r="474" ht="16" customHeight="1" spans="1:51" x14ac:dyDescent="0.25">
      <c r="A474" s="45"/>
      <c r="B474" s="46"/>
      <c r="C474" s="46"/>
      <c r="D474" s="46" t="s">
        <v>33</v>
      </c>
      <c r="E474" s="46">
        <v>2</v>
      </c>
      <c r="F474" s="46"/>
      <c r="G474" s="46">
        <v>2</v>
      </c>
      <c r="H474" s="46">
        <v>2</v>
      </c>
      <c r="I474" s="46">
        <v>2</v>
      </c>
      <c r="J474" s="46">
        <v>2</v>
      </c>
      <c r="K474" s="46">
        <v>2</v>
      </c>
      <c r="L474" s="46">
        <v>2</v>
      </c>
      <c r="M474" s="46"/>
      <c r="N474" s="46">
        <v>2</v>
      </c>
      <c r="O474" s="46">
        <v>3</v>
      </c>
      <c r="P474" s="46">
        <v>3</v>
      </c>
      <c r="Q474" s="46">
        <v>3</v>
      </c>
      <c r="R474" s="46">
        <v>3</v>
      </c>
      <c r="S474" s="46">
        <v>2</v>
      </c>
      <c r="T474" s="46"/>
      <c r="U474" s="46">
        <v>3</v>
      </c>
      <c r="V474" s="46">
        <v>3</v>
      </c>
      <c r="W474" s="46">
        <v>3</v>
      </c>
      <c r="X474" s="46">
        <v>2</v>
      </c>
      <c r="Y474" s="46">
        <v>2</v>
      </c>
      <c r="Z474" s="46">
        <v>2</v>
      </c>
      <c r="AA474" s="46"/>
      <c r="AB474" s="46">
        <v>2</v>
      </c>
      <c r="AC474" s="46">
        <v>2</v>
      </c>
      <c r="AD474" s="46">
        <v>2</v>
      </c>
      <c r="AE474" s="46">
        <v>2</v>
      </c>
      <c r="AF474" s="46">
        <v>2</v>
      </c>
      <c r="AG474" s="46">
        <v>2</v>
      </c>
      <c r="AH474" s="46"/>
      <c r="AI474" s="46">
        <v>2</v>
      </c>
      <c r="AJ474" s="46"/>
      <c r="AK474" s="46"/>
      <c r="AL474" s="46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ht="16" customHeight="1" spans="1:51" x14ac:dyDescent="0.25">
      <c r="A475" s="45"/>
      <c r="B475" s="46" t="s">
        <v>520</v>
      </c>
      <c r="C475" s="46" t="s">
        <v>521</v>
      </c>
      <c r="D475" s="46" t="s">
        <v>29</v>
      </c>
      <c r="E475" s="46" t="s">
        <v>36</v>
      </c>
      <c r="F475" s="46" t="s">
        <v>36</v>
      </c>
      <c r="G475" s="46" t="s">
        <v>36</v>
      </c>
      <c r="H475" s="46" t="s">
        <v>36</v>
      </c>
      <c r="I475" s="46" t="s">
        <v>36</v>
      </c>
      <c r="J475" s="46" t="s">
        <v>36</v>
      </c>
      <c r="K475" s="46" t="s">
        <v>37</v>
      </c>
      <c r="L475" s="46" t="s">
        <v>36</v>
      </c>
      <c r="M475" s="46" t="s">
        <v>36</v>
      </c>
      <c r="N475" s="46" t="s">
        <v>36</v>
      </c>
      <c r="O475" s="46" t="s">
        <v>36</v>
      </c>
      <c r="P475" s="46" t="s">
        <v>36</v>
      </c>
      <c r="Q475" s="46" t="s">
        <v>36</v>
      </c>
      <c r="R475" s="46" t="s">
        <v>37</v>
      </c>
      <c r="S475" s="46" t="s">
        <v>36</v>
      </c>
      <c r="T475" s="46" t="s">
        <v>36</v>
      </c>
      <c r="U475" s="46" t="s">
        <v>36</v>
      </c>
      <c r="V475" s="46" t="s">
        <v>36</v>
      </c>
      <c r="W475" s="46" t="s">
        <v>36</v>
      </c>
      <c r="X475" s="46" t="s">
        <v>36</v>
      </c>
      <c r="Y475" s="46" t="s">
        <v>37</v>
      </c>
      <c r="Z475" s="46" t="s">
        <v>36</v>
      </c>
      <c r="AA475" s="46" t="s">
        <v>36</v>
      </c>
      <c r="AB475" s="46" t="s">
        <v>36</v>
      </c>
      <c r="AC475" s="46" t="s">
        <v>36</v>
      </c>
      <c r="AD475" s="46" t="s">
        <v>36</v>
      </c>
      <c r="AE475" s="46" t="s">
        <v>36</v>
      </c>
      <c r="AF475" s="46" t="s">
        <v>222</v>
      </c>
      <c r="AG475" s="46" t="s">
        <v>36</v>
      </c>
      <c r="AH475" s="46" t="s">
        <v>43</v>
      </c>
      <c r="AI475" s="46" t="s">
        <v>36</v>
      </c>
      <c r="AJ475" s="46">
        <f>=SUM(E476:AI476)</f>
      </c>
      <c r="AK475" s="46">
        <f>=+AY475</f>
      </c>
      <c r="AL475" s="46"/>
      <c r="AM475" s="1"/>
      <c r="AN475" s="1">
        <f>=COUNTIF(E475:AI475,"A")+COUNTIF(E475:AI475,"B")+COUNTIF(E475:AI475,"C")+COUNTIF(E475:AI475,"D")+COUNTIF(E475:AI475,"E")+COUNTIF(E475:AI475,"F")+COUNTIF(E475:AI475,"M")+COUNTIF(E475:AI475,"AB")+COUNTIF(E475:AI475,"UZ")+COUNTIF(E475:AI475,"G")+(COUNTIF(E475:AI475,"RT.")/2)+(COUNTIF(E475:AI475,"ÇRT.")/2)</f>
      </c>
      <c r="AO475" s="1">
        <f>=COUNTIF(E475:AI475,"O")</f>
      </c>
      <c r="AP475" s="1">
        <f>=COUNTIF(E475:AI475,"RT")+(COUNTIF(E475:AI475,"RT.")/2)</f>
      </c>
      <c r="AQ475" s="1">
        <f>=COUNTIF(E475:AI475,"ÇRT")+(COUNTIF(E475:AI475,"ÇRT.")/2)</f>
      </c>
      <c r="AR475" s="1">
        <f>=COUNTIF(E475:AI475,"ÇHT")</f>
      </c>
      <c r="AS475" s="1">
        <f>=COUNTIF(E475:AI475,"Ö")+COUNTIF(E475:AI475,"T")</f>
      </c>
      <c r="AT475" s="1">
        <f>=COUNTIF(E475:AI475,"Y")</f>
      </c>
      <c r="AU475" s="1">
        <f>=COUNTIF(E475:AI475,"R.")</f>
      </c>
      <c r="AV475" s="1">
        <f>=COUNTIF(E475:AI475,"Ü")</f>
      </c>
      <c r="AW475" s="1">
        <f>=COUNTIF(E475:AI475,"R")</f>
      </c>
      <c r="AX475" s="1">
        <f>=COUNTIF(E475:AI475,"DV")</f>
      </c>
      <c r="AY475" s="1">
        <f>=+AN475+AO475+AP475+AQ475+AR475+AS475+AT475+AU475</f>
      </c>
    </row>
    <row r="476" ht="16" customHeight="1" spans="1:51" x14ac:dyDescent="0.25">
      <c r="A476" s="45"/>
      <c r="B476" s="46"/>
      <c r="C476" s="46"/>
      <c r="D476" s="46" t="s">
        <v>33</v>
      </c>
      <c r="E476" s="46">
        <v>2</v>
      </c>
      <c r="F476" s="46"/>
      <c r="G476" s="46">
        <v>2</v>
      </c>
      <c r="H476" s="46">
        <v>2</v>
      </c>
      <c r="I476" s="46">
        <v>2</v>
      </c>
      <c r="J476" s="46">
        <v>2</v>
      </c>
      <c r="K476" s="46"/>
      <c r="L476" s="46">
        <v>2</v>
      </c>
      <c r="M476" s="46">
        <v>0</v>
      </c>
      <c r="N476" s="46">
        <v>2</v>
      </c>
      <c r="O476" s="46">
        <v>2</v>
      </c>
      <c r="P476" s="46">
        <v>2</v>
      </c>
      <c r="Q476" s="46">
        <v>2</v>
      </c>
      <c r="R476" s="46"/>
      <c r="S476" s="46">
        <v>2</v>
      </c>
      <c r="T476" s="46"/>
      <c r="U476" s="46">
        <v>2</v>
      </c>
      <c r="V476" s="46">
        <v>2</v>
      </c>
      <c r="W476" s="46">
        <v>2</v>
      </c>
      <c r="X476" s="46">
        <v>2</v>
      </c>
      <c r="Y476" s="46">
        <v>0</v>
      </c>
      <c r="Z476" s="46">
        <v>2</v>
      </c>
      <c r="AA476" s="46"/>
      <c r="AB476" s="46">
        <v>2</v>
      </c>
      <c r="AC476" s="46">
        <v>2</v>
      </c>
      <c r="AD476" s="46">
        <v>2</v>
      </c>
      <c r="AE476" s="46">
        <v>2</v>
      </c>
      <c r="AF476" s="46">
        <v>0</v>
      </c>
      <c r="AG476" s="46">
        <v>2</v>
      </c>
      <c r="AH476" s="46"/>
      <c r="AI476" s="46">
        <v>2</v>
      </c>
      <c r="AJ476" s="46"/>
      <c r="AK476" s="46"/>
      <c r="AL476" s="46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ht="16" customHeight="1" spans="1:51" x14ac:dyDescent="0.25">
      <c r="A477" s="45"/>
      <c r="B477" s="46" t="s">
        <v>522</v>
      </c>
      <c r="C477" s="46" t="s">
        <v>523</v>
      </c>
      <c r="D477" s="46" t="s">
        <v>29</v>
      </c>
      <c r="E477" s="46" t="s">
        <v>42</v>
      </c>
      <c r="F477" s="46" t="s">
        <v>37</v>
      </c>
      <c r="G477" s="46" t="s">
        <v>42</v>
      </c>
      <c r="H477" s="46" t="s">
        <v>42</v>
      </c>
      <c r="I477" s="46" t="s">
        <v>42</v>
      </c>
      <c r="J477" s="46" t="s">
        <v>42</v>
      </c>
      <c r="K477" s="46" t="s">
        <v>42</v>
      </c>
      <c r="L477" s="46" t="s">
        <v>42</v>
      </c>
      <c r="M477" s="46" t="s">
        <v>37</v>
      </c>
      <c r="N477" s="46" t="s">
        <v>42</v>
      </c>
      <c r="O477" s="46" t="s">
        <v>42</v>
      </c>
      <c r="P477" s="46" t="s">
        <v>42</v>
      </c>
      <c r="Q477" s="46" t="s">
        <v>42</v>
      </c>
      <c r="R477" s="46" t="s">
        <v>42</v>
      </c>
      <c r="S477" s="46" t="s">
        <v>42</v>
      </c>
      <c r="T477" s="46" t="s">
        <v>37</v>
      </c>
      <c r="U477" s="46" t="s">
        <v>42</v>
      </c>
      <c r="V477" s="46" t="s">
        <v>42</v>
      </c>
      <c r="W477" s="46" t="s">
        <v>42</v>
      </c>
      <c r="X477" s="46" t="s">
        <v>42</v>
      </c>
      <c r="Y477" s="46" t="s">
        <v>42</v>
      </c>
      <c r="Z477" s="46" t="s">
        <v>42</v>
      </c>
      <c r="AA477" s="46" t="s">
        <v>37</v>
      </c>
      <c r="AB477" s="46" t="s">
        <v>42</v>
      </c>
      <c r="AC477" s="46" t="s">
        <v>42</v>
      </c>
      <c r="AD477" s="46" t="s">
        <v>42</v>
      </c>
      <c r="AE477" s="46" t="s">
        <v>42</v>
      </c>
      <c r="AF477" s="46" t="s">
        <v>42</v>
      </c>
      <c r="AG477" s="46" t="s">
        <v>42</v>
      </c>
      <c r="AH477" s="46" t="s">
        <v>37</v>
      </c>
      <c r="AI477" s="46" t="s">
        <v>42</v>
      </c>
      <c r="AJ477" s="46">
        <f>=SUM(E478:AI478)</f>
      </c>
      <c r="AK477" s="46">
        <f>=+AY477</f>
      </c>
      <c r="AL477" s="46"/>
      <c r="AM477" s="1"/>
      <c r="AN477" s="1">
        <f>=COUNTIF(E477:AI477,"A")+COUNTIF(E477:AI477,"B")+COUNTIF(E477:AI477,"C")+COUNTIF(E477:AI477,"D")+COUNTIF(E477:AI477,"E")+COUNTIF(E477:AI477,"F")+COUNTIF(E477:AI477,"M")+COUNTIF(E477:AI477,"AB")+COUNTIF(E477:AI477,"UZ")+COUNTIF(E477:AI477,"G")+(COUNTIF(E477:AI477,"RT.")/2)+(COUNTIF(E477:AI477,"ÇRT.")/2)</f>
      </c>
      <c r="AO477" s="1">
        <f>=COUNTIF(E477:AI477,"O")</f>
      </c>
      <c r="AP477" s="1">
        <f>=COUNTIF(E477:AI477,"RT")+(COUNTIF(E477:AI477,"RT.")/2)</f>
      </c>
      <c r="AQ477" s="1">
        <f>=COUNTIF(E477:AI477,"ÇRT")+(COUNTIF(E477:AI477,"ÇRT.")/2)</f>
      </c>
      <c r="AR477" s="1">
        <f>=COUNTIF(E477:AI477,"ÇHT")</f>
      </c>
      <c r="AS477" s="1">
        <f>=COUNTIF(E477:AI477,"Ö")+COUNTIF(E477:AI477,"T")</f>
      </c>
      <c r="AT477" s="1">
        <f>=COUNTIF(E477:AI477,"Y")</f>
      </c>
      <c r="AU477" s="1">
        <f>=COUNTIF(E477:AI477,"R.")</f>
      </c>
      <c r="AV477" s="1">
        <f>=COUNTIF(E477:AI477,"Ü")</f>
      </c>
      <c r="AW477" s="1">
        <f>=COUNTIF(E477:AI477,"R")</f>
      </c>
      <c r="AX477" s="1">
        <f>=COUNTIF(E477:AI477,"DV")</f>
      </c>
      <c r="AY477" s="1">
        <f>=+AN477+AO477+AP477+AQ477+AR477+AS477+AT477+AU477</f>
      </c>
    </row>
    <row r="478" ht="16" customHeight="1" spans="1:51" x14ac:dyDescent="0.25">
      <c r="A478" s="45"/>
      <c r="B478" s="46"/>
      <c r="C478" s="46"/>
      <c r="D478" s="46" t="s">
        <v>33</v>
      </c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  <c r="AC478" s="46"/>
      <c r="AD478" s="46"/>
      <c r="AE478" s="46"/>
      <c r="AF478" s="46"/>
      <c r="AG478" s="46"/>
      <c r="AH478" s="46"/>
      <c r="AI478" s="46"/>
      <c r="AJ478" s="46"/>
      <c r="AK478" s="46"/>
      <c r="AL478" s="46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ht="16" customHeight="1" spans="1:51" x14ac:dyDescent="0.25">
      <c r="A479" s="45"/>
      <c r="B479" s="46" t="s">
        <v>524</v>
      </c>
      <c r="C479" s="46" t="s">
        <v>525</v>
      </c>
      <c r="D479" s="46" t="s">
        <v>29</v>
      </c>
      <c r="E479" s="46" t="s">
        <v>36</v>
      </c>
      <c r="F479" s="46" t="s">
        <v>37</v>
      </c>
      <c r="G479" s="46" t="s">
        <v>36</v>
      </c>
      <c r="H479" s="46" t="s">
        <v>36</v>
      </c>
      <c r="I479" s="46" t="s">
        <v>36</v>
      </c>
      <c r="J479" s="46" t="s">
        <v>36</v>
      </c>
      <c r="K479" s="46" t="s">
        <v>36</v>
      </c>
      <c r="L479" s="46" t="s">
        <v>36</v>
      </c>
      <c r="M479" s="46" t="s">
        <v>37</v>
      </c>
      <c r="N479" s="46" t="s">
        <v>36</v>
      </c>
      <c r="O479" s="46" t="s">
        <v>36</v>
      </c>
      <c r="P479" s="46" t="s">
        <v>36</v>
      </c>
      <c r="Q479" s="46" t="s">
        <v>36</v>
      </c>
      <c r="R479" s="46" t="s">
        <v>36</v>
      </c>
      <c r="S479" s="46" t="s">
        <v>36</v>
      </c>
      <c r="T479" s="46" t="s">
        <v>37</v>
      </c>
      <c r="U479" s="46" t="s">
        <v>36</v>
      </c>
      <c r="V479" s="46" t="s">
        <v>36</v>
      </c>
      <c r="W479" s="46" t="s">
        <v>36</v>
      </c>
      <c r="X479" s="46" t="s">
        <v>36</v>
      </c>
      <c r="Y479" s="46" t="s">
        <v>36</v>
      </c>
      <c r="Z479" s="46" t="s">
        <v>36</v>
      </c>
      <c r="AA479" s="46" t="s">
        <v>37</v>
      </c>
      <c r="AB479" s="46" t="s">
        <v>36</v>
      </c>
      <c r="AC479" s="46" t="s">
        <v>36</v>
      </c>
      <c r="AD479" s="46" t="s">
        <v>36</v>
      </c>
      <c r="AE479" s="46" t="s">
        <v>36</v>
      </c>
      <c r="AF479" s="46" t="s">
        <v>36</v>
      </c>
      <c r="AG479" s="46" t="s">
        <v>337</v>
      </c>
      <c r="AH479" s="46" t="s">
        <v>37</v>
      </c>
      <c r="AI479" s="46" t="s">
        <v>31</v>
      </c>
      <c r="AJ479" s="46">
        <f>=SUM(E480:AI480)</f>
      </c>
      <c r="AK479" s="46">
        <f>=+AY479</f>
      </c>
      <c r="AL479" s="46"/>
      <c r="AM479" s="1"/>
      <c r="AN479" s="1">
        <f>=COUNTIF(E479:AI479,"A")+COUNTIF(E479:AI479,"B")+COUNTIF(E479:AI479,"C")+COUNTIF(E479:AI479,"D")+COUNTIF(E479:AI479,"E")+COUNTIF(E479:AI479,"F")+COUNTIF(E479:AI479,"M")+COUNTIF(E479:AI479,"AB")+COUNTIF(E479:AI479,"UZ")+COUNTIF(E479:AI479,"G")+(COUNTIF(E479:AI479,"RT.")/2)+(COUNTIF(E479:AI479,"ÇRT.")/2)</f>
      </c>
      <c r="AO479" s="1">
        <f>=COUNTIF(E479:AI479,"O")</f>
      </c>
      <c r="AP479" s="1">
        <f>=COUNTIF(E479:AI479,"RT")+(COUNTIF(E479:AI479,"RT.")/2)</f>
      </c>
      <c r="AQ479" s="1">
        <f>=COUNTIF(E479:AI479,"ÇRT")+(COUNTIF(E479:AI479,"ÇRT.")/2)</f>
      </c>
      <c r="AR479" s="1">
        <f>=COUNTIF(E479:AI479,"ÇHT")</f>
      </c>
      <c r="AS479" s="1">
        <f>=COUNTIF(E479:AI479,"Ö")+COUNTIF(E479:AI479,"T")</f>
      </c>
      <c r="AT479" s="1">
        <f>=COUNTIF(E479:AI479,"Y")</f>
      </c>
      <c r="AU479" s="1">
        <f>=COUNTIF(E479:AI479,"R.")</f>
      </c>
      <c r="AV479" s="1">
        <f>=COUNTIF(E479:AI479,"Ü")</f>
      </c>
      <c r="AW479" s="1">
        <f>=COUNTIF(E479:AI479,"R")</f>
      </c>
      <c r="AX479" s="1">
        <f>=COUNTIF(E479:AI479,"DV")</f>
      </c>
      <c r="AY479" s="1">
        <f>=+AN479+AO479+AP479+AQ479+AR479+AS479+AT479+AU479</f>
      </c>
    </row>
    <row r="480" ht="16" customHeight="1" spans="1:51" x14ac:dyDescent="0.25">
      <c r="A480" s="45"/>
      <c r="B480" s="46"/>
      <c r="C480" s="46"/>
      <c r="D480" s="46" t="s">
        <v>33</v>
      </c>
      <c r="E480" s="46">
        <v>2</v>
      </c>
      <c r="F480" s="46"/>
      <c r="G480" s="46">
        <v>2</v>
      </c>
      <c r="H480" s="46">
        <v>2</v>
      </c>
      <c r="I480" s="46">
        <v>2</v>
      </c>
      <c r="J480" s="46">
        <v>2</v>
      </c>
      <c r="K480" s="46">
        <v>2</v>
      </c>
      <c r="L480" s="46">
        <v>2</v>
      </c>
      <c r="M480" s="46"/>
      <c r="N480" s="46">
        <v>2</v>
      </c>
      <c r="O480" s="46">
        <v>2</v>
      </c>
      <c r="P480" s="46">
        <v>2</v>
      </c>
      <c r="Q480" s="46">
        <v>2</v>
      </c>
      <c r="R480" s="46">
        <v>2</v>
      </c>
      <c r="S480" s="46">
        <v>2</v>
      </c>
      <c r="T480" s="46"/>
      <c r="U480" s="46">
        <v>2</v>
      </c>
      <c r="V480" s="46">
        <v>2</v>
      </c>
      <c r="W480" s="46">
        <v>2</v>
      </c>
      <c r="X480" s="46">
        <v>2</v>
      </c>
      <c r="Y480" s="46">
        <v>2</v>
      </c>
      <c r="Z480" s="46">
        <v>2</v>
      </c>
      <c r="AA480" s="46"/>
      <c r="AB480" s="46">
        <v>2</v>
      </c>
      <c r="AC480" s="46">
        <v>2</v>
      </c>
      <c r="AD480" s="46">
        <v>2</v>
      </c>
      <c r="AE480" s="46">
        <v>2</v>
      </c>
      <c r="AF480" s="46">
        <v>2</v>
      </c>
      <c r="AG480" s="46">
        <v>0</v>
      </c>
      <c r="AH480" s="46"/>
      <c r="AI480" s="46">
        <v>0</v>
      </c>
      <c r="AJ480" s="46"/>
      <c r="AK480" s="46"/>
      <c r="AL480" s="46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ht="16" customHeight="1" spans="1:51" x14ac:dyDescent="0.25">
      <c r="A481" s="45"/>
      <c r="B481" s="46" t="s">
        <v>526</v>
      </c>
      <c r="C481" s="46" t="s">
        <v>527</v>
      </c>
      <c r="D481" s="46" t="s">
        <v>29</v>
      </c>
      <c r="E481" s="46"/>
      <c r="F481" s="46"/>
      <c r="G481" s="46" t="s">
        <v>42</v>
      </c>
      <c r="H481" s="46" t="s">
        <v>42</v>
      </c>
      <c r="I481" s="46" t="s">
        <v>42</v>
      </c>
      <c r="J481" s="46" t="s">
        <v>42</v>
      </c>
      <c r="K481" s="46" t="s">
        <v>42</v>
      </c>
      <c r="L481" s="46" t="s">
        <v>37</v>
      </c>
      <c r="M481" s="46" t="s">
        <v>42</v>
      </c>
      <c r="N481" s="46" t="s">
        <v>42</v>
      </c>
      <c r="O481" s="46" t="s">
        <v>42</v>
      </c>
      <c r="P481" s="46" t="s">
        <v>42</v>
      </c>
      <c r="Q481" s="46" t="s">
        <v>42</v>
      </c>
      <c r="R481" s="46" t="s">
        <v>42</v>
      </c>
      <c r="S481" s="46" t="s">
        <v>42</v>
      </c>
      <c r="T481" s="46" t="s">
        <v>37</v>
      </c>
      <c r="U481" s="46" t="s">
        <v>42</v>
      </c>
      <c r="V481" s="46" t="s">
        <v>42</v>
      </c>
      <c r="W481" s="46" t="s">
        <v>42</v>
      </c>
      <c r="X481" s="46" t="s">
        <v>42</v>
      </c>
      <c r="Y481" s="46" t="s">
        <v>42</v>
      </c>
      <c r="Z481" s="46" t="s">
        <v>42</v>
      </c>
      <c r="AA481" s="46" t="s">
        <v>37</v>
      </c>
      <c r="AB481" s="46" t="s">
        <v>42</v>
      </c>
      <c r="AC481" s="46" t="s">
        <v>42</v>
      </c>
      <c r="AD481" s="46" t="s">
        <v>37</v>
      </c>
      <c r="AE481" s="46" t="s">
        <v>42</v>
      </c>
      <c r="AF481" s="46" t="s">
        <v>42</v>
      </c>
      <c r="AG481" s="46" t="s">
        <v>42</v>
      </c>
      <c r="AH481" s="46" t="s">
        <v>43</v>
      </c>
      <c r="AI481" s="46" t="s">
        <v>42</v>
      </c>
      <c r="AJ481" s="46">
        <f>=SUM(E482:AI482)</f>
      </c>
      <c r="AK481" s="46">
        <f>=+AY481</f>
      </c>
      <c r="AL481" s="46"/>
      <c r="AM481" s="1"/>
      <c r="AN481" s="1">
        <f>=COUNTIF(E481:AI481,"A")+COUNTIF(E481:AI481,"B")+COUNTIF(E481:AI481,"C")+COUNTIF(E481:AI481,"D")+COUNTIF(E481:AI481,"E")+COUNTIF(E481:AI481,"F")+COUNTIF(E481:AI481,"M")+COUNTIF(E481:AI481,"AB")+COUNTIF(E481:AI481,"UZ")+COUNTIF(E481:AI481,"G")+(COUNTIF(E481:AI481,"RT.")/2)+(COUNTIF(E481:AI481,"ÇRT.")/2)</f>
      </c>
      <c r="AO481" s="1">
        <f>=COUNTIF(E481:AI481,"O")</f>
      </c>
      <c r="AP481" s="1">
        <f>=COUNTIF(E481:AI481,"RT")+(COUNTIF(E481:AI481,"RT.")/2)</f>
      </c>
      <c r="AQ481" s="1">
        <f>=COUNTIF(E481:AI481,"ÇRT")+(COUNTIF(E481:AI481,"ÇRT.")/2)</f>
      </c>
      <c r="AR481" s="1">
        <f>=COUNTIF(E481:AI481,"ÇHT")</f>
      </c>
      <c r="AS481" s="1">
        <f>=COUNTIF(E481:AI481,"Ö")+COUNTIF(E481:AI481,"T")</f>
      </c>
      <c r="AT481" s="1">
        <f>=COUNTIF(E481:AI481,"Y")</f>
      </c>
      <c r="AU481" s="1">
        <f>=COUNTIF(E481:AI481,"R.")</f>
      </c>
      <c r="AV481" s="1">
        <f>=COUNTIF(E481:AI481,"Ü")</f>
      </c>
      <c r="AW481" s="1">
        <f>=COUNTIF(E481:AI481,"R")</f>
      </c>
      <c r="AX481" s="1">
        <f>=COUNTIF(E481:AI481,"DV")</f>
      </c>
      <c r="AY481" s="1">
        <f>=+AN481+AO481+AP481+AQ481+AR481+AS481+AT481+AU481</f>
      </c>
    </row>
    <row r="482" ht="16" customHeight="1" spans="1:51" x14ac:dyDescent="0.25">
      <c r="A482" s="45"/>
      <c r="B482" s="46"/>
      <c r="C482" s="46"/>
      <c r="D482" s="46" t="s">
        <v>33</v>
      </c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>
        <v>3</v>
      </c>
      <c r="AA482" s="46"/>
      <c r="AB482" s="46">
        <v>2</v>
      </c>
      <c r="AC482" s="46"/>
      <c r="AD482" s="46"/>
      <c r="AE482" s="46"/>
      <c r="AF482" s="46"/>
      <c r="AG482" s="46"/>
      <c r="AH482" s="46"/>
      <c r="AI482" s="46"/>
      <c r="AJ482" s="46"/>
      <c r="AK482" s="46"/>
      <c r="AL482" s="46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ht="16" customHeight="1" spans="1:51" x14ac:dyDescent="0.25">
      <c r="A483" s="45"/>
      <c r="B483" s="46" t="s">
        <v>528</v>
      </c>
      <c r="C483" s="46" t="s">
        <v>529</v>
      </c>
      <c r="D483" s="46" t="s">
        <v>29</v>
      </c>
      <c r="E483" s="46" t="s">
        <v>36</v>
      </c>
      <c r="F483" s="46" t="s">
        <v>37</v>
      </c>
      <c r="G483" s="46" t="s">
        <v>36</v>
      </c>
      <c r="H483" s="46" t="s">
        <v>36</v>
      </c>
      <c r="I483" s="46" t="s">
        <v>36</v>
      </c>
      <c r="J483" s="46" t="s">
        <v>36</v>
      </c>
      <c r="K483" s="46" t="s">
        <v>36</v>
      </c>
      <c r="L483" s="46" t="s">
        <v>36</v>
      </c>
      <c r="M483" s="46" t="s">
        <v>222</v>
      </c>
      <c r="N483" s="46" t="s">
        <v>36</v>
      </c>
      <c r="O483" s="46" t="s">
        <v>36</v>
      </c>
      <c r="P483" s="46" t="s">
        <v>36</v>
      </c>
      <c r="Q483" s="46" t="s">
        <v>36</v>
      </c>
      <c r="R483" s="46" t="s">
        <v>36</v>
      </c>
      <c r="S483" s="46" t="s">
        <v>36</v>
      </c>
      <c r="T483" s="46" t="s">
        <v>37</v>
      </c>
      <c r="U483" s="46" t="s">
        <v>36</v>
      </c>
      <c r="V483" s="46" t="s">
        <v>36</v>
      </c>
      <c r="W483" s="46" t="s">
        <v>36</v>
      </c>
      <c r="X483" s="46" t="s">
        <v>36</v>
      </c>
      <c r="Y483" s="46" t="s">
        <v>36</v>
      </c>
      <c r="Z483" s="46" t="s">
        <v>36</v>
      </c>
      <c r="AA483" s="46" t="s">
        <v>37</v>
      </c>
      <c r="AB483" s="46" t="s">
        <v>36</v>
      </c>
      <c r="AC483" s="46" t="s">
        <v>36</v>
      </c>
      <c r="AD483" s="46" t="s">
        <v>36</v>
      </c>
      <c r="AE483" s="46" t="s">
        <v>36</v>
      </c>
      <c r="AF483" s="46" t="s">
        <v>36</v>
      </c>
      <c r="AG483" s="46" t="s">
        <v>36</v>
      </c>
      <c r="AH483" s="46" t="s">
        <v>222</v>
      </c>
      <c r="AI483" s="46" t="s">
        <v>36</v>
      </c>
      <c r="AJ483" s="46">
        <f>=SUM(E484:AI484)</f>
      </c>
      <c r="AK483" s="46">
        <f>=+AY483</f>
      </c>
      <c r="AL483" s="46"/>
      <c r="AM483" s="1"/>
      <c r="AN483" s="1">
        <f>=COUNTIF(E483:AI483,"A")+COUNTIF(E483:AI483,"B")+COUNTIF(E483:AI483,"C")+COUNTIF(E483:AI483,"D")+COUNTIF(E483:AI483,"E")+COUNTIF(E483:AI483,"F")+COUNTIF(E483:AI483,"M")+COUNTIF(E483:AI483,"AB")+COUNTIF(E483:AI483,"UZ")+COUNTIF(E483:AI483,"G")+(COUNTIF(E483:AI483,"RT.")/2)+(COUNTIF(E483:AI483,"ÇRT.")/2)</f>
      </c>
      <c r="AO483" s="1">
        <f>=COUNTIF(E483:AI483,"O")</f>
      </c>
      <c r="AP483" s="1">
        <f>=COUNTIF(E483:AI483,"RT")+(COUNTIF(E483:AI483,"RT.")/2)</f>
      </c>
      <c r="AQ483" s="1">
        <f>=COUNTIF(E483:AI483,"ÇRT")+(COUNTIF(E483:AI483,"ÇRT.")/2)</f>
      </c>
      <c r="AR483" s="1">
        <f>=COUNTIF(E483:AI483,"ÇHT")</f>
      </c>
      <c r="AS483" s="1">
        <f>=COUNTIF(E483:AI483,"Ö")+COUNTIF(E483:AI483,"T")</f>
      </c>
      <c r="AT483" s="1">
        <f>=COUNTIF(E483:AI483,"Y")</f>
      </c>
      <c r="AU483" s="1">
        <f>=COUNTIF(E483:AI483,"R.")</f>
      </c>
      <c r="AV483" s="1">
        <f>=COUNTIF(E483:AI483,"Ü")</f>
      </c>
      <c r="AW483" s="1">
        <f>=COUNTIF(E483:AI483,"R")</f>
      </c>
      <c r="AX483" s="1">
        <f>=COUNTIF(E483:AI483,"DV")</f>
      </c>
      <c r="AY483" s="1">
        <f>=+AN483+AO483+AP483+AQ483+AR483+AS483+AT483+AU483</f>
      </c>
    </row>
    <row r="484" ht="16" customHeight="1" spans="1:51" x14ac:dyDescent="0.25">
      <c r="A484" s="45"/>
      <c r="B484" s="46"/>
      <c r="C484" s="46"/>
      <c r="D484" s="46" t="s">
        <v>33</v>
      </c>
      <c r="E484" s="46">
        <v>3</v>
      </c>
      <c r="F484" s="46"/>
      <c r="G484" s="46">
        <v>3</v>
      </c>
      <c r="H484" s="46">
        <v>3</v>
      </c>
      <c r="I484" s="46">
        <v>3</v>
      </c>
      <c r="J484" s="46">
        <v>3</v>
      </c>
      <c r="K484" s="46">
        <v>3</v>
      </c>
      <c r="L484" s="46">
        <v>3</v>
      </c>
      <c r="M484" s="46">
        <v>0</v>
      </c>
      <c r="N484" s="46">
        <v>3</v>
      </c>
      <c r="O484" s="46">
        <v>3</v>
      </c>
      <c r="P484" s="46">
        <v>3</v>
      </c>
      <c r="Q484" s="46">
        <v>3</v>
      </c>
      <c r="R484" s="46">
        <v>3</v>
      </c>
      <c r="S484" s="46">
        <v>3</v>
      </c>
      <c r="T484" s="46">
        <v>0</v>
      </c>
      <c r="U484" s="46">
        <v>3</v>
      </c>
      <c r="V484" s="46">
        <v>3</v>
      </c>
      <c r="W484" s="46">
        <v>3</v>
      </c>
      <c r="X484" s="46">
        <v>3</v>
      </c>
      <c r="Y484" s="46">
        <v>3</v>
      </c>
      <c r="Z484" s="46">
        <v>3</v>
      </c>
      <c r="AA484" s="46">
        <v>0</v>
      </c>
      <c r="AB484" s="46">
        <v>3</v>
      </c>
      <c r="AC484" s="46">
        <v>3</v>
      </c>
      <c r="AD484" s="46">
        <v>3</v>
      </c>
      <c r="AE484" s="46">
        <v>3</v>
      </c>
      <c r="AF484" s="46">
        <v>3</v>
      </c>
      <c r="AG484" s="46">
        <v>3</v>
      </c>
      <c r="AH484" s="46"/>
      <c r="AI484" s="46">
        <v>3</v>
      </c>
      <c r="AJ484" s="46"/>
      <c r="AK484" s="46"/>
      <c r="AL484" s="46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ht="16" customHeight="1" spans="1:51" x14ac:dyDescent="0.25">
      <c r="A485" s="45" t="s">
        <v>530</v>
      </c>
      <c r="B485" s="46" t="s">
        <v>531</v>
      </c>
      <c r="C485" s="46" t="s">
        <v>532</v>
      </c>
      <c r="D485" s="46" t="s">
        <v>29</v>
      </c>
      <c r="E485" s="46" t="s">
        <v>36</v>
      </c>
      <c r="F485" s="46" t="s">
        <v>37</v>
      </c>
      <c r="G485" s="46" t="s">
        <v>36</v>
      </c>
      <c r="H485" s="46" t="s">
        <v>36</v>
      </c>
      <c r="I485" s="46" t="s">
        <v>36</v>
      </c>
      <c r="J485" s="46" t="s">
        <v>36</v>
      </c>
      <c r="K485" s="46" t="s">
        <v>36</v>
      </c>
      <c r="L485" s="46" t="s">
        <v>36</v>
      </c>
      <c r="M485" s="46" t="s">
        <v>37</v>
      </c>
      <c r="N485" s="46" t="s">
        <v>36</v>
      </c>
      <c r="O485" s="46" t="s">
        <v>36</v>
      </c>
      <c r="P485" s="46" t="s">
        <v>36</v>
      </c>
      <c r="Q485" s="46" t="s">
        <v>36</v>
      </c>
      <c r="R485" s="46" t="s">
        <v>36</v>
      </c>
      <c r="S485" s="46" t="s">
        <v>36</v>
      </c>
      <c r="T485" s="46" t="s">
        <v>37</v>
      </c>
      <c r="U485" s="46" t="s">
        <v>36</v>
      </c>
      <c r="V485" s="46" t="s">
        <v>36</v>
      </c>
      <c r="W485" s="46" t="s">
        <v>36</v>
      </c>
      <c r="X485" s="46" t="s">
        <v>36</v>
      </c>
      <c r="Y485" s="46" t="s">
        <v>36</v>
      </c>
      <c r="Z485" s="46" t="s">
        <v>36</v>
      </c>
      <c r="AA485" s="46" t="s">
        <v>37</v>
      </c>
      <c r="AB485" s="46" t="s">
        <v>36</v>
      </c>
      <c r="AC485" s="46" t="s">
        <v>36</v>
      </c>
      <c r="AD485" s="46" t="s">
        <v>36</v>
      </c>
      <c r="AE485" s="46" t="s">
        <v>36</v>
      </c>
      <c r="AF485" s="46" t="s">
        <v>36</v>
      </c>
      <c r="AG485" s="46" t="s">
        <v>36</v>
      </c>
      <c r="AH485" s="46" t="s">
        <v>37</v>
      </c>
      <c r="AI485" s="46" t="s">
        <v>36</v>
      </c>
      <c r="AJ485" s="46">
        <f>=SUM(E486:AI486)</f>
      </c>
      <c r="AK485" s="46">
        <f>=+AY485</f>
      </c>
      <c r="AL485" s="46"/>
      <c r="AM485" s="1"/>
      <c r="AN485" s="1">
        <f>=COUNTIF(E485:AI485,"A")+COUNTIF(E485:AI485,"B")+COUNTIF(E485:AI485,"C")+COUNTIF(E485:AI485,"D")+COUNTIF(E485:AI485,"E")+COUNTIF(E485:AI485,"F")+COUNTIF(E485:AI485,"M")+COUNTIF(E485:AI485,"AB")+COUNTIF(E485:AI485,"UZ")+COUNTIF(E485:AI485,"G")+(COUNTIF(E485:AI485,"RT.")/2)+(COUNTIF(E485:AI485,"ÇRT.")/2)</f>
      </c>
      <c r="AO485" s="1">
        <f>=COUNTIF(E485:AI485,"O")</f>
      </c>
      <c r="AP485" s="1">
        <f>=COUNTIF(E485:AI485,"RT")+(COUNTIF(E485:AI485,"RT.")/2)</f>
      </c>
      <c r="AQ485" s="1">
        <f>=COUNTIF(E485:AI485,"ÇRT")+(COUNTIF(E485:AI485,"ÇRT.")/2)</f>
      </c>
      <c r="AR485" s="1">
        <f>=COUNTIF(E485:AI485,"ÇHT")</f>
      </c>
      <c r="AS485" s="1">
        <f>=COUNTIF(E485:AI485,"Ö")+COUNTIF(E485:AI485,"T")</f>
      </c>
      <c r="AT485" s="1">
        <f>=COUNTIF(E485:AI485,"Y")</f>
      </c>
      <c r="AU485" s="1">
        <f>=COUNTIF(E485:AI485,"R.")</f>
      </c>
      <c r="AV485" s="1">
        <f>=COUNTIF(E485:AI485,"Ü")</f>
      </c>
      <c r="AW485" s="1">
        <f>=COUNTIF(E485:AI485,"R")</f>
      </c>
      <c r="AX485" s="1">
        <f>=COUNTIF(E485:AI485,"DV")</f>
      </c>
      <c r="AY485" s="1">
        <f>=+AN485+AO485+AP485+AQ485+AR485+AS485+AT485+AU485</f>
      </c>
    </row>
    <row r="486" ht="16" customHeight="1" spans="1:51" x14ac:dyDescent="0.25">
      <c r="A486" s="45"/>
      <c r="B486" s="46"/>
      <c r="C486" s="46"/>
      <c r="D486" s="46" t="s">
        <v>33</v>
      </c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  <c r="AC486" s="46"/>
      <c r="AD486" s="46"/>
      <c r="AE486" s="46"/>
      <c r="AF486" s="46"/>
      <c r="AG486" s="46"/>
      <c r="AH486" s="46"/>
      <c r="AI486" s="46"/>
      <c r="AJ486" s="46"/>
      <c r="AK486" s="46"/>
      <c r="AL486" s="46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ht="16" customHeight="1" spans="1:51" x14ac:dyDescent="0.25">
      <c r="A487" s="45"/>
      <c r="B487" s="46" t="s">
        <v>533</v>
      </c>
      <c r="C487" s="46" t="s">
        <v>534</v>
      </c>
      <c r="D487" s="46" t="s">
        <v>29</v>
      </c>
      <c r="E487" s="46" t="s">
        <v>36</v>
      </c>
      <c r="F487" s="46" t="s">
        <v>37</v>
      </c>
      <c r="G487" s="46" t="s">
        <v>36</v>
      </c>
      <c r="H487" s="46" t="s">
        <v>36</v>
      </c>
      <c r="I487" s="46" t="s">
        <v>36</v>
      </c>
      <c r="J487" s="46" t="s">
        <v>36</v>
      </c>
      <c r="K487" s="46" t="s">
        <v>36</v>
      </c>
      <c r="L487" s="46" t="s">
        <v>36</v>
      </c>
      <c r="M487" s="46" t="s">
        <v>37</v>
      </c>
      <c r="N487" s="46" t="s">
        <v>36</v>
      </c>
      <c r="O487" s="46" t="s">
        <v>36</v>
      </c>
      <c r="P487" s="46" t="s">
        <v>36</v>
      </c>
      <c r="Q487" s="46" t="s">
        <v>36</v>
      </c>
      <c r="R487" s="46" t="s">
        <v>36</v>
      </c>
      <c r="S487" s="46" t="s">
        <v>36</v>
      </c>
      <c r="T487" s="46" t="s">
        <v>37</v>
      </c>
      <c r="U487" s="46" t="s">
        <v>36</v>
      </c>
      <c r="V487" s="46" t="s">
        <v>36</v>
      </c>
      <c r="W487" s="46" t="s">
        <v>36</v>
      </c>
      <c r="X487" s="46" t="s">
        <v>36</v>
      </c>
      <c r="Y487" s="46" t="s">
        <v>36</v>
      </c>
      <c r="Z487" s="46" t="s">
        <v>36</v>
      </c>
      <c r="AA487" s="46" t="s">
        <v>37</v>
      </c>
      <c r="AB487" s="46" t="s">
        <v>36</v>
      </c>
      <c r="AC487" s="46" t="s">
        <v>36</v>
      </c>
      <c r="AD487" s="46" t="s">
        <v>36</v>
      </c>
      <c r="AE487" s="46" t="s">
        <v>36</v>
      </c>
      <c r="AF487" s="46" t="s">
        <v>36</v>
      </c>
      <c r="AG487" s="46" t="s">
        <v>36</v>
      </c>
      <c r="AH487" s="46" t="s">
        <v>37</v>
      </c>
      <c r="AI487" s="46" t="s">
        <v>36</v>
      </c>
      <c r="AJ487" s="46">
        <f>=SUM(E488:AI488)</f>
      </c>
      <c r="AK487" s="46">
        <f>=+AY487</f>
      </c>
      <c r="AL487" s="46"/>
      <c r="AM487" s="1"/>
      <c r="AN487" s="1">
        <f>=COUNTIF(E487:AI487,"A")+COUNTIF(E487:AI487,"B")+COUNTIF(E487:AI487,"C")+COUNTIF(E487:AI487,"D")+COUNTIF(E487:AI487,"E")+COUNTIF(E487:AI487,"F")+COUNTIF(E487:AI487,"M")+COUNTIF(E487:AI487,"AB")+COUNTIF(E487:AI487,"UZ")+COUNTIF(E487:AI487,"G")+(COUNTIF(E487:AI487,"RT.")/2)+(COUNTIF(E487:AI487,"ÇRT.")/2)</f>
      </c>
      <c r="AO487" s="1">
        <f>=COUNTIF(E487:AI487,"O")</f>
      </c>
      <c r="AP487" s="1">
        <f>=COUNTIF(E487:AI487,"RT")+(COUNTIF(E487:AI487,"RT.")/2)</f>
      </c>
      <c r="AQ487" s="1">
        <f>=COUNTIF(E487:AI487,"ÇRT")+(COUNTIF(E487:AI487,"ÇRT.")/2)</f>
      </c>
      <c r="AR487" s="1">
        <f>=COUNTIF(E487:AI487,"ÇHT")</f>
      </c>
      <c r="AS487" s="1">
        <f>=COUNTIF(E487:AI487,"Ö")+COUNTIF(E487:AI487,"T")</f>
      </c>
      <c r="AT487" s="1">
        <f>=COUNTIF(E487:AI487,"Y")</f>
      </c>
      <c r="AU487" s="1">
        <f>=COUNTIF(E487:AI487,"R.")</f>
      </c>
      <c r="AV487" s="1">
        <f>=COUNTIF(E487:AI487,"Ü")</f>
      </c>
      <c r="AW487" s="1">
        <f>=COUNTIF(E487:AI487,"R")</f>
      </c>
      <c r="AX487" s="1">
        <f>=COUNTIF(E487:AI487,"DV")</f>
      </c>
      <c r="AY487" s="1">
        <f>=+AN487+AO487+AP487+AQ487+AR487+AS487+AT487+AU487</f>
      </c>
    </row>
    <row r="488" ht="16" customHeight="1" spans="1:51" x14ac:dyDescent="0.25">
      <c r="A488" s="45"/>
      <c r="B488" s="46"/>
      <c r="C488" s="46"/>
      <c r="D488" s="46" t="s">
        <v>33</v>
      </c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  <c r="AC488" s="46"/>
      <c r="AD488" s="46"/>
      <c r="AE488" s="46"/>
      <c r="AF488" s="46"/>
      <c r="AG488" s="46"/>
      <c r="AH488" s="46"/>
      <c r="AI488" s="46"/>
      <c r="AJ488" s="46"/>
      <c r="AK488" s="46"/>
      <c r="AL488" s="46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ht="16" customHeight="1" spans="1:51" x14ac:dyDescent="0.25">
      <c r="A489" s="45"/>
      <c r="B489" s="46" t="s">
        <v>535</v>
      </c>
      <c r="C489" s="46" t="s">
        <v>536</v>
      </c>
      <c r="D489" s="46" t="s">
        <v>29</v>
      </c>
      <c r="E489" s="46" t="s">
        <v>36</v>
      </c>
      <c r="F489" s="46" t="s">
        <v>37</v>
      </c>
      <c r="G489" s="46" t="s">
        <v>36</v>
      </c>
      <c r="H489" s="46" t="s">
        <v>36</v>
      </c>
      <c r="I489" s="46" t="s">
        <v>36</v>
      </c>
      <c r="J489" s="46" t="s">
        <v>36</v>
      </c>
      <c r="K489" s="46" t="s">
        <v>36</v>
      </c>
      <c r="L489" s="46" t="s">
        <v>36</v>
      </c>
      <c r="M489" s="46" t="s">
        <v>37</v>
      </c>
      <c r="N489" s="46" t="s">
        <v>36</v>
      </c>
      <c r="O489" s="46" t="s">
        <v>36</v>
      </c>
      <c r="P489" s="46" t="s">
        <v>36</v>
      </c>
      <c r="Q489" s="46" t="s">
        <v>36</v>
      </c>
      <c r="R489" s="46" t="s">
        <v>36</v>
      </c>
      <c r="S489" s="46" t="s">
        <v>36</v>
      </c>
      <c r="T489" s="46" t="s">
        <v>37</v>
      </c>
      <c r="U489" s="46" t="s">
        <v>36</v>
      </c>
      <c r="V489" s="46" t="s">
        <v>36</v>
      </c>
      <c r="W489" s="46" t="s">
        <v>36</v>
      </c>
      <c r="X489" s="46" t="s">
        <v>36</v>
      </c>
      <c r="Y489" s="46" t="s">
        <v>36</v>
      </c>
      <c r="Z489" s="46" t="s">
        <v>36</v>
      </c>
      <c r="AA489" s="46" t="s">
        <v>37</v>
      </c>
      <c r="AB489" s="46" t="s">
        <v>36</v>
      </c>
      <c r="AC489" s="46" t="s">
        <v>36</v>
      </c>
      <c r="AD489" s="46" t="s">
        <v>36</v>
      </c>
      <c r="AE489" s="46" t="s">
        <v>36</v>
      </c>
      <c r="AF489" s="46" t="s">
        <v>36</v>
      </c>
      <c r="AG489" s="46" t="s">
        <v>36</v>
      </c>
      <c r="AH489" s="46" t="s">
        <v>37</v>
      </c>
      <c r="AI489" s="46" t="s">
        <v>36</v>
      </c>
      <c r="AJ489" s="46">
        <f>=SUM(E490:AI490)</f>
      </c>
      <c r="AK489" s="46">
        <f>=+AY489</f>
      </c>
      <c r="AL489" s="46"/>
      <c r="AM489" s="1"/>
      <c r="AN489" s="1">
        <f>=COUNTIF(E489:AI489,"A")+COUNTIF(E489:AI489,"B")+COUNTIF(E489:AI489,"C")+COUNTIF(E489:AI489,"D")+COUNTIF(E489:AI489,"E")+COUNTIF(E489:AI489,"F")+COUNTIF(E489:AI489,"M")+COUNTIF(E489:AI489,"AB")+COUNTIF(E489:AI489,"UZ")+COUNTIF(E489:AI489,"G")+(COUNTIF(E489:AI489,"RT.")/2)+(COUNTIF(E489:AI489,"ÇRT.")/2)</f>
      </c>
      <c r="AO489" s="1">
        <f>=COUNTIF(E489:AI489,"O")</f>
      </c>
      <c r="AP489" s="1">
        <f>=COUNTIF(E489:AI489,"RT")+(COUNTIF(E489:AI489,"RT.")/2)</f>
      </c>
      <c r="AQ489" s="1">
        <f>=COUNTIF(E489:AI489,"ÇRT")+(COUNTIF(E489:AI489,"ÇRT.")/2)</f>
      </c>
      <c r="AR489" s="1">
        <f>=COUNTIF(E489:AI489,"ÇHT")</f>
      </c>
      <c r="AS489" s="1">
        <f>=COUNTIF(E489:AI489,"Ö")+COUNTIF(E489:AI489,"T")</f>
      </c>
      <c r="AT489" s="1">
        <f>=COUNTIF(E489:AI489,"Y")</f>
      </c>
      <c r="AU489" s="1">
        <f>=COUNTIF(E489:AI489,"R.")</f>
      </c>
      <c r="AV489" s="1">
        <f>=COUNTIF(E489:AI489,"Ü")</f>
      </c>
      <c r="AW489" s="1">
        <f>=COUNTIF(E489:AI489,"R")</f>
      </c>
      <c r="AX489" s="1">
        <f>=COUNTIF(E489:AI489,"DV")</f>
      </c>
      <c r="AY489" s="1">
        <f>=+AN489+AO489+AP489+AQ489+AR489+AS489+AT489+AU489</f>
      </c>
    </row>
    <row r="490" ht="16" customHeight="1" spans="1:51" x14ac:dyDescent="0.25">
      <c r="A490" s="45"/>
      <c r="B490" s="46"/>
      <c r="C490" s="46"/>
      <c r="D490" s="46" t="s">
        <v>33</v>
      </c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  <c r="AC490" s="46">
        <v>0</v>
      </c>
      <c r="AD490" s="46"/>
      <c r="AE490" s="46"/>
      <c r="AF490" s="46"/>
      <c r="AG490" s="46"/>
      <c r="AH490" s="46"/>
      <c r="AI490" s="46"/>
      <c r="AJ490" s="46"/>
      <c r="AK490" s="46"/>
      <c r="AL490" s="46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ht="16" customHeight="1" spans="1:51" x14ac:dyDescent="0.25">
      <c r="A491" s="45"/>
      <c r="B491" s="46" t="s">
        <v>537</v>
      </c>
      <c r="C491" s="46" t="s">
        <v>538</v>
      </c>
      <c r="D491" s="46" t="s">
        <v>29</v>
      </c>
      <c r="E491" s="46" t="s">
        <v>36</v>
      </c>
      <c r="F491" s="46" t="s">
        <v>37</v>
      </c>
      <c r="G491" s="46" t="s">
        <v>36</v>
      </c>
      <c r="H491" s="46" t="s">
        <v>36</v>
      </c>
      <c r="I491" s="46" t="s">
        <v>36</v>
      </c>
      <c r="J491" s="46" t="s">
        <v>36</v>
      </c>
      <c r="K491" s="46" t="s">
        <v>36</v>
      </c>
      <c r="L491" s="46" t="s">
        <v>36</v>
      </c>
      <c r="M491" s="46" t="s">
        <v>37</v>
      </c>
      <c r="N491" s="46" t="s">
        <v>36</v>
      </c>
      <c r="O491" s="46" t="s">
        <v>36</v>
      </c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  <c r="AC491" s="46"/>
      <c r="AD491" s="46"/>
      <c r="AE491" s="46"/>
      <c r="AF491" s="46"/>
      <c r="AG491" s="46"/>
      <c r="AH491" s="46"/>
      <c r="AI491" s="46"/>
      <c r="AJ491" s="46">
        <f>=SUM(E492:AI492)</f>
      </c>
      <c r="AK491" s="46">
        <f>=+AY491</f>
      </c>
      <c r="AL491" s="46"/>
      <c r="AM491" s="1"/>
      <c r="AN491" s="1">
        <f>=COUNTIF(E491:AI491,"A")+COUNTIF(E491:AI491,"B")+COUNTIF(E491:AI491,"C")+COUNTIF(E491:AI491,"D")+COUNTIF(E491:AI491,"E")+COUNTIF(E491:AI491,"F")+COUNTIF(E491:AI491,"M")+COUNTIF(E491:AI491,"AB")+COUNTIF(E491:AI491,"UZ")+COUNTIF(E491:AI491,"G")+(COUNTIF(E491:AI491,"RT.")/2)+(COUNTIF(E491:AI491,"ÇRT.")/2)</f>
      </c>
      <c r="AO491" s="1">
        <f>=COUNTIF(E491:AI491,"O")</f>
      </c>
      <c r="AP491" s="1">
        <f>=COUNTIF(E491:AI491,"RT")+(COUNTIF(E491:AI491,"RT.")/2)</f>
      </c>
      <c r="AQ491" s="1">
        <f>=COUNTIF(E491:AI491,"ÇRT")+(COUNTIF(E491:AI491,"ÇRT.")/2)</f>
      </c>
      <c r="AR491" s="1">
        <f>=COUNTIF(E491:AI491,"ÇHT")</f>
      </c>
      <c r="AS491" s="1">
        <f>=COUNTIF(E491:AI491,"Ö")+COUNTIF(E491:AI491,"T")</f>
      </c>
      <c r="AT491" s="1">
        <f>=COUNTIF(E491:AI491,"Y")</f>
      </c>
      <c r="AU491" s="1">
        <f>=COUNTIF(E491:AI491,"R.")</f>
      </c>
      <c r="AV491" s="1">
        <f>=COUNTIF(E491:AI491,"Ü")</f>
      </c>
      <c r="AW491" s="1">
        <f>=COUNTIF(E491:AI491,"R")</f>
      </c>
      <c r="AX491" s="1">
        <f>=COUNTIF(E491:AI491,"DV")</f>
      </c>
      <c r="AY491" s="1">
        <f>=+AN491+AO491+AP491+AQ491+AR491+AS491+AT491+AU491</f>
      </c>
    </row>
    <row r="492" ht="16" customHeight="1" spans="1:51" x14ac:dyDescent="0.25">
      <c r="A492" s="45"/>
      <c r="B492" s="46"/>
      <c r="C492" s="46"/>
      <c r="D492" s="46" t="s">
        <v>33</v>
      </c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  <c r="AC492" s="46"/>
      <c r="AD492" s="46"/>
      <c r="AE492" s="46"/>
      <c r="AF492" s="46"/>
      <c r="AG492" s="46"/>
      <c r="AH492" s="46"/>
      <c r="AI492" s="46"/>
      <c r="AJ492" s="46"/>
      <c r="AK492" s="46"/>
      <c r="AL492" s="46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ht="16" customHeight="1" spans="1:51" x14ac:dyDescent="0.25">
      <c r="A493" s="45"/>
      <c r="B493" s="46" t="s">
        <v>539</v>
      </c>
      <c r="C493" s="46" t="s">
        <v>540</v>
      </c>
      <c r="D493" s="46" t="s">
        <v>29</v>
      </c>
      <c r="E493" s="46" t="s">
        <v>36</v>
      </c>
      <c r="F493" s="46" t="s">
        <v>37</v>
      </c>
      <c r="G493" s="46" t="s">
        <v>36</v>
      </c>
      <c r="H493" s="46" t="s">
        <v>36</v>
      </c>
      <c r="I493" s="46" t="s">
        <v>36</v>
      </c>
      <c r="J493" s="46" t="s">
        <v>173</v>
      </c>
      <c r="K493" s="46" t="s">
        <v>173</v>
      </c>
      <c r="L493" s="46" t="s">
        <v>173</v>
      </c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  <c r="AC493" s="46"/>
      <c r="AD493" s="46"/>
      <c r="AE493" s="46"/>
      <c r="AF493" s="46"/>
      <c r="AG493" s="46"/>
      <c r="AH493" s="46"/>
      <c r="AI493" s="46"/>
      <c r="AJ493" s="46">
        <f>=SUM(E494:AI494)</f>
      </c>
      <c r="AK493" s="46">
        <f>=+AY493</f>
      </c>
      <c r="AL493" s="46"/>
      <c r="AM493" s="1"/>
      <c r="AN493" s="1">
        <f>=COUNTIF(E493:AI493,"A")+COUNTIF(E493:AI493,"B")+COUNTIF(E493:AI493,"C")+COUNTIF(E493:AI493,"D")+COUNTIF(E493:AI493,"E")+COUNTIF(E493:AI493,"F")+COUNTIF(E493:AI493,"M")+COUNTIF(E493:AI493,"AB")+COUNTIF(E493:AI493,"UZ")+COUNTIF(E493:AI493,"G")+(COUNTIF(E493:AI493,"RT.")/2)+(COUNTIF(E493:AI493,"ÇRT.")/2)</f>
      </c>
      <c r="AO493" s="1">
        <f>=COUNTIF(E493:AI493,"O")</f>
      </c>
      <c r="AP493" s="1">
        <f>=COUNTIF(E493:AI493,"RT")+(COUNTIF(E493:AI493,"RT.")/2)</f>
      </c>
      <c r="AQ493" s="1">
        <f>=COUNTIF(E493:AI493,"ÇRT")+(COUNTIF(E493:AI493,"ÇRT.")/2)</f>
      </c>
      <c r="AR493" s="1">
        <f>=COUNTIF(E493:AI493,"ÇHT")</f>
      </c>
      <c r="AS493" s="1">
        <f>=COUNTIF(E493:AI493,"Ö")+COUNTIF(E493:AI493,"T")</f>
      </c>
      <c r="AT493" s="1">
        <f>=COUNTIF(E493:AI493,"Y")</f>
      </c>
      <c r="AU493" s="1">
        <f>=COUNTIF(E493:AI493,"R.")</f>
      </c>
      <c r="AV493" s="1">
        <f>=COUNTIF(E493:AI493,"Ü")</f>
      </c>
      <c r="AW493" s="1">
        <f>=COUNTIF(E493:AI493,"R")</f>
      </c>
      <c r="AX493" s="1">
        <f>=COUNTIF(E493:AI493,"DV")</f>
      </c>
      <c r="AY493" s="1">
        <f>=+AN493+AO493+AP493+AQ493+AR493+AS493+AT493+AU493</f>
      </c>
    </row>
    <row r="494" ht="16" customHeight="1" spans="1:51" x14ac:dyDescent="0.25">
      <c r="A494" s="45"/>
      <c r="B494" s="46"/>
      <c r="C494" s="46"/>
      <c r="D494" s="46" t="s">
        <v>33</v>
      </c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  <c r="AC494" s="46"/>
      <c r="AD494" s="46"/>
      <c r="AE494" s="46"/>
      <c r="AF494" s="46"/>
      <c r="AG494" s="46"/>
      <c r="AH494" s="46"/>
      <c r="AI494" s="46"/>
      <c r="AJ494" s="46"/>
      <c r="AK494" s="46"/>
      <c r="AL494" s="46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ht="16" customHeight="1" spans="1:51" x14ac:dyDescent="0.25">
      <c r="A495" s="45" t="s">
        <v>541</v>
      </c>
      <c r="B495" s="46"/>
      <c r="C495" s="46" t="s">
        <v>542</v>
      </c>
      <c r="D495" s="46" t="s">
        <v>29</v>
      </c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  <c r="AC495" s="46"/>
      <c r="AD495" s="46"/>
      <c r="AE495" s="46"/>
      <c r="AF495" s="46"/>
      <c r="AG495" s="46"/>
      <c r="AH495" s="46"/>
      <c r="AI495" s="46"/>
      <c r="AJ495" s="46">
        <f>=SUM(E496:AI496)</f>
      </c>
      <c r="AK495" s="46">
        <f>=+AY495</f>
      </c>
      <c r="AL495" s="46"/>
      <c r="AM495" s="1"/>
      <c r="AN495" s="1">
        <f>=COUNTIF(E495:AI495,"A")+COUNTIF(E495:AI495,"B")+COUNTIF(E495:AI495,"C")+COUNTIF(E495:AI495,"D")+COUNTIF(E495:AI495,"E")+COUNTIF(E495:AI495,"F")+COUNTIF(E495:AI495,"M")+COUNTIF(E495:AI495,"AB")+COUNTIF(E495:AI495,"UZ")+COUNTIF(E495:AI495,"G")+(COUNTIF(E495:AI495,"RT.")/2)+(COUNTIF(E495:AI495,"ÇRT.")/2)</f>
      </c>
      <c r="AO495" s="1">
        <f>=COUNTIF(E495:AI495,"O")</f>
      </c>
      <c r="AP495" s="1">
        <f>=COUNTIF(E495:AI495,"RT")+(COUNTIF(E495:AI495,"RT.")/2)</f>
      </c>
      <c r="AQ495" s="1">
        <f>=COUNTIF(E495:AI495,"ÇRT")+(COUNTIF(E495:AI495,"ÇRT.")/2)</f>
      </c>
      <c r="AR495" s="1">
        <f>=COUNTIF(E495:AI495,"ÇHT")</f>
      </c>
      <c r="AS495" s="1">
        <f>=COUNTIF(E495:AI495,"Ö")+COUNTIF(E495:AI495,"T")</f>
      </c>
      <c r="AT495" s="1">
        <f>=COUNTIF(E495:AI495,"Y")</f>
      </c>
      <c r="AU495" s="1">
        <f>=COUNTIF(E495:AI495,"R.")</f>
      </c>
      <c r="AV495" s="1">
        <f>=COUNTIF(E495:AI495,"Ü")</f>
      </c>
      <c r="AW495" s="1">
        <f>=COUNTIF(E495:AI495,"R")</f>
      </c>
      <c r="AX495" s="1">
        <f>=COUNTIF(E495:AI495,"DV")</f>
      </c>
      <c r="AY495" s="1">
        <f>=+AN495+AO495+AP495+AQ495+AR495+AS495+AT495+AU495</f>
      </c>
    </row>
    <row r="496" ht="16" customHeight="1" spans="1:51" x14ac:dyDescent="0.25">
      <c r="A496" s="45"/>
      <c r="B496" s="46"/>
      <c r="C496" s="46"/>
      <c r="D496" s="46" t="s">
        <v>33</v>
      </c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  <c r="AC496" s="46"/>
      <c r="AD496" s="46"/>
      <c r="AE496" s="46"/>
      <c r="AF496" s="46"/>
      <c r="AG496" s="46"/>
      <c r="AH496" s="46"/>
      <c r="AI496" s="46"/>
      <c r="AJ496" s="46"/>
      <c r="AK496" s="46"/>
      <c r="AL496" s="46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ht="16" customHeight="1" spans="1:51" x14ac:dyDescent="0.25">
      <c r="A497" s="45"/>
      <c r="B497" s="46" t="s">
        <v>543</v>
      </c>
      <c r="C497" s="46" t="s">
        <v>544</v>
      </c>
      <c r="D497" s="46" t="s">
        <v>29</v>
      </c>
      <c r="E497" s="46" t="s">
        <v>36</v>
      </c>
      <c r="F497" s="46" t="s">
        <v>37</v>
      </c>
      <c r="G497" s="46" t="s">
        <v>36</v>
      </c>
      <c r="H497" s="46" t="s">
        <v>36</v>
      </c>
      <c r="I497" s="46" t="s">
        <v>36</v>
      </c>
      <c r="J497" s="46" t="s">
        <v>36</v>
      </c>
      <c r="K497" s="46" t="s">
        <v>36</v>
      </c>
      <c r="L497" s="46" t="s">
        <v>36</v>
      </c>
      <c r="M497" s="46" t="s">
        <v>37</v>
      </c>
      <c r="N497" s="46" t="s">
        <v>36</v>
      </c>
      <c r="O497" s="46" t="s">
        <v>36</v>
      </c>
      <c r="P497" s="46" t="s">
        <v>36</v>
      </c>
      <c r="Q497" s="46" t="s">
        <v>36</v>
      </c>
      <c r="R497" s="46" t="s">
        <v>36</v>
      </c>
      <c r="S497" s="46" t="s">
        <v>36</v>
      </c>
      <c r="T497" s="46" t="s">
        <v>37</v>
      </c>
      <c r="U497" s="46" t="s">
        <v>36</v>
      </c>
      <c r="V497" s="46" t="s">
        <v>36</v>
      </c>
      <c r="W497" s="46" t="s">
        <v>36</v>
      </c>
      <c r="X497" s="46" t="s">
        <v>36</v>
      </c>
      <c r="Y497" s="46" t="s">
        <v>36</v>
      </c>
      <c r="Z497" s="46" t="s">
        <v>36</v>
      </c>
      <c r="AA497" s="46" t="s">
        <v>37</v>
      </c>
      <c r="AB497" s="46" t="s">
        <v>36</v>
      </c>
      <c r="AC497" s="46" t="s">
        <v>36</v>
      </c>
      <c r="AD497" s="46" t="s">
        <v>36</v>
      </c>
      <c r="AE497" s="46" t="s">
        <v>36</v>
      </c>
      <c r="AF497" s="46" t="s">
        <v>36</v>
      </c>
      <c r="AG497" s="46" t="s">
        <v>36</v>
      </c>
      <c r="AH497" s="46" t="s">
        <v>37</v>
      </c>
      <c r="AI497" s="46" t="s">
        <v>36</v>
      </c>
      <c r="AJ497" s="46">
        <f>=SUM(E498:AI498)</f>
      </c>
      <c r="AK497" s="46">
        <f>=+AY497</f>
      </c>
      <c r="AL497" s="46"/>
      <c r="AM497" s="1"/>
      <c r="AN497" s="1">
        <f>=COUNTIF(E497:AI497,"A")+COUNTIF(E497:AI497,"B")+COUNTIF(E497:AI497,"C")+COUNTIF(E497:AI497,"D")+COUNTIF(E497:AI497,"E")+COUNTIF(E497:AI497,"F")+COUNTIF(E497:AI497,"M")+COUNTIF(E497:AI497,"AB")+COUNTIF(E497:AI497,"UZ")+COUNTIF(E497:AI497,"G")+(COUNTIF(E497:AI497,"RT.")/2)+(COUNTIF(E497:AI497,"ÇRT.")/2)</f>
      </c>
      <c r="AO497" s="1">
        <f>=COUNTIF(E497:AI497,"O")</f>
      </c>
      <c r="AP497" s="1">
        <f>=COUNTIF(E497:AI497,"RT")+(COUNTIF(E497:AI497,"RT.")/2)</f>
      </c>
      <c r="AQ497" s="1">
        <f>=COUNTIF(E497:AI497,"ÇRT")+(COUNTIF(E497:AI497,"ÇRT.")/2)</f>
      </c>
      <c r="AR497" s="1">
        <f>=COUNTIF(E497:AI497,"ÇHT")</f>
      </c>
      <c r="AS497" s="1">
        <f>=COUNTIF(E497:AI497,"Ö")+COUNTIF(E497:AI497,"T")</f>
      </c>
      <c r="AT497" s="1">
        <f>=COUNTIF(E497:AI497,"Y")</f>
      </c>
      <c r="AU497" s="1">
        <f>=COUNTIF(E497:AI497,"R.")</f>
      </c>
      <c r="AV497" s="1">
        <f>=COUNTIF(E497:AI497,"Ü")</f>
      </c>
      <c r="AW497" s="1">
        <f>=COUNTIF(E497:AI497,"R")</f>
      </c>
      <c r="AX497" s="1">
        <f>=COUNTIF(E497:AI497,"DV")</f>
      </c>
      <c r="AY497" s="1">
        <f>=+AN497+AO497+AP497+AQ497+AR497+AS497+AT497+AU497</f>
      </c>
    </row>
    <row r="498" ht="16" customHeight="1" spans="1:51" x14ac:dyDescent="0.25">
      <c r="A498" s="45"/>
      <c r="B498" s="46"/>
      <c r="C498" s="46"/>
      <c r="D498" s="46" t="s">
        <v>33</v>
      </c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  <c r="AC498" s="46"/>
      <c r="AD498" s="46"/>
      <c r="AE498" s="46"/>
      <c r="AF498" s="46"/>
      <c r="AG498" s="46"/>
      <c r="AH498" s="46"/>
      <c r="AI498" s="46"/>
      <c r="AJ498" s="46"/>
      <c r="AK498" s="46"/>
      <c r="AL498" s="46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ht="16" customHeight="1" spans="1:51" x14ac:dyDescent="0.25">
      <c r="A499" s="45"/>
      <c r="B499" s="46"/>
      <c r="C499" s="46" t="s">
        <v>545</v>
      </c>
      <c r="D499" s="46" t="s">
        <v>29</v>
      </c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  <c r="AC499" s="46"/>
      <c r="AD499" s="46"/>
      <c r="AE499" s="46"/>
      <c r="AF499" s="46"/>
      <c r="AG499" s="46"/>
      <c r="AH499" s="46"/>
      <c r="AI499" s="46"/>
      <c r="AJ499" s="46">
        <f>=SUM(E500:AI500)</f>
      </c>
      <c r="AK499" s="46">
        <f>=+AY499</f>
      </c>
      <c r="AL499" s="46"/>
      <c r="AM499" s="1"/>
      <c r="AN499" s="1">
        <f>=COUNTIF(E499:AI499,"A")+COUNTIF(E499:AI499,"B")+COUNTIF(E499:AI499,"C")+COUNTIF(E499:AI499,"D")+COUNTIF(E499:AI499,"E")+COUNTIF(E499:AI499,"F")+COUNTIF(E499:AI499,"M")+COUNTIF(E499:AI499,"AB")+COUNTIF(E499:AI499,"UZ")+COUNTIF(E499:AI499,"G")+(COUNTIF(E499:AI499,"RT.")/2)+(COUNTIF(E499:AI499,"ÇRT.")/2)</f>
      </c>
      <c r="AO499" s="1">
        <f>=COUNTIF(E499:AI499,"O")</f>
      </c>
      <c r="AP499" s="1">
        <f>=COUNTIF(E499:AI499,"RT")+(COUNTIF(E499:AI499,"RT.")/2)</f>
      </c>
      <c r="AQ499" s="1">
        <f>=COUNTIF(E499:AI499,"ÇRT")+(COUNTIF(E499:AI499,"ÇRT.")/2)</f>
      </c>
      <c r="AR499" s="1">
        <f>=COUNTIF(E499:AI499,"ÇHT")</f>
      </c>
      <c r="AS499" s="1">
        <f>=COUNTIF(E499:AI499,"Ö")+COUNTIF(E499:AI499,"T")</f>
      </c>
      <c r="AT499" s="1">
        <f>=COUNTIF(E499:AI499,"Y")</f>
      </c>
      <c r="AU499" s="1">
        <f>=COUNTIF(E499:AI499,"R.")</f>
      </c>
      <c r="AV499" s="1">
        <f>=COUNTIF(E499:AI499,"Ü")</f>
      </c>
      <c r="AW499" s="1">
        <f>=COUNTIF(E499:AI499,"R")</f>
      </c>
      <c r="AX499" s="1">
        <f>=COUNTIF(E499:AI499,"DV")</f>
      </c>
      <c r="AY499" s="1">
        <f>=+AN499+AO499+AP499+AQ499+AR499+AS499+AT499+AU499</f>
      </c>
    </row>
    <row r="500" ht="16" customHeight="1" spans="1:51" x14ac:dyDescent="0.25">
      <c r="A500" s="45"/>
      <c r="B500" s="46"/>
      <c r="C500" s="46"/>
      <c r="D500" s="46" t="s">
        <v>33</v>
      </c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  <c r="AC500" s="46"/>
      <c r="AD500" s="46"/>
      <c r="AE500" s="46"/>
      <c r="AF500" s="46"/>
      <c r="AG500" s="46"/>
      <c r="AH500" s="46"/>
      <c r="AI500" s="46"/>
      <c r="AJ500" s="46"/>
      <c r="AK500" s="46"/>
      <c r="AL500" s="46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  <row r="501" ht="16" customHeight="1" spans="1:51" x14ac:dyDescent="0.25">
      <c r="A501" s="45"/>
      <c r="B501" s="46"/>
      <c r="C501" s="46" t="s">
        <v>546</v>
      </c>
      <c r="D501" s="46" t="s">
        <v>29</v>
      </c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  <c r="AC501" s="46"/>
      <c r="AD501" s="46"/>
      <c r="AE501" s="46"/>
      <c r="AF501" s="46"/>
      <c r="AG501" s="46"/>
      <c r="AH501" s="46"/>
      <c r="AI501" s="46"/>
      <c r="AJ501" s="46">
        <f>=SUM(E502:AI502)</f>
      </c>
      <c r="AK501" s="46">
        <f>=+AY501</f>
      </c>
      <c r="AL501" s="46"/>
      <c r="AM501" s="1"/>
      <c r="AN501" s="1">
        <f>=COUNTIF(E501:AI501,"A")+COUNTIF(E501:AI501,"B")+COUNTIF(E501:AI501,"C")+COUNTIF(E501:AI501,"D")+COUNTIF(E501:AI501,"E")+COUNTIF(E501:AI501,"F")+COUNTIF(E501:AI501,"M")+COUNTIF(E501:AI501,"AB")+COUNTIF(E501:AI501,"UZ")+COUNTIF(E501:AI501,"G")+(COUNTIF(E501:AI501,"RT.")/2)+(COUNTIF(E501:AI501,"ÇRT.")/2)</f>
      </c>
      <c r="AO501" s="1">
        <f>=COUNTIF(E501:AI501,"O")</f>
      </c>
      <c r="AP501" s="1">
        <f>=COUNTIF(E501:AI501,"RT")+(COUNTIF(E501:AI501,"RT.")/2)</f>
      </c>
      <c r="AQ501" s="1">
        <f>=COUNTIF(E501:AI501,"ÇRT")+(COUNTIF(E501:AI501,"ÇRT.")/2)</f>
      </c>
      <c r="AR501" s="1">
        <f>=COUNTIF(E501:AI501,"ÇHT")</f>
      </c>
      <c r="AS501" s="1">
        <f>=COUNTIF(E501:AI501,"Ö")+COUNTIF(E501:AI501,"T")</f>
      </c>
      <c r="AT501" s="1">
        <f>=COUNTIF(E501:AI501,"Y")</f>
      </c>
      <c r="AU501" s="1">
        <f>=COUNTIF(E501:AI501,"R.")</f>
      </c>
      <c r="AV501" s="1">
        <f>=COUNTIF(E501:AI501,"Ü")</f>
      </c>
      <c r="AW501" s="1">
        <f>=COUNTIF(E501:AI501,"R")</f>
      </c>
      <c r="AX501" s="1">
        <f>=COUNTIF(E501:AI501,"DV")</f>
      </c>
      <c r="AY501" s="1">
        <f>=+AN501+AO501+AP501+AQ501+AR501+AS501+AT501+AU501</f>
      </c>
    </row>
    <row r="502" ht="16" customHeight="1" spans="1:51" x14ac:dyDescent="0.25">
      <c r="A502" s="45"/>
      <c r="B502" s="46"/>
      <c r="C502" s="46"/>
      <c r="D502" s="46" t="s">
        <v>33</v>
      </c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  <c r="AB502" s="46"/>
      <c r="AC502" s="46"/>
      <c r="AD502" s="46"/>
      <c r="AE502" s="46"/>
      <c r="AF502" s="46"/>
      <c r="AG502" s="46"/>
      <c r="AH502" s="46"/>
      <c r="AI502" s="46"/>
      <c r="AJ502" s="46"/>
      <c r="AK502" s="46"/>
      <c r="AL502" s="46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</row>
    <row r="503" ht="16" customHeight="1" spans="1:51" x14ac:dyDescent="0.25">
      <c r="A503" s="45"/>
      <c r="B503" s="46"/>
      <c r="C503" s="46" t="s">
        <v>547</v>
      </c>
      <c r="D503" s="46" t="s">
        <v>29</v>
      </c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  <c r="AB503" s="46"/>
      <c r="AC503" s="46"/>
      <c r="AD503" s="46"/>
      <c r="AE503" s="46"/>
      <c r="AF503" s="46"/>
      <c r="AG503" s="46"/>
      <c r="AH503" s="46"/>
      <c r="AI503" s="46"/>
      <c r="AJ503" s="46">
        <f>=SUM(E504:AI504)</f>
      </c>
      <c r="AK503" s="46">
        <f>=+AY503</f>
      </c>
      <c r="AL503" s="46"/>
      <c r="AM503" s="1"/>
      <c r="AN503" s="1">
        <f>=COUNTIF(E503:AI503,"A")+COUNTIF(E503:AI503,"B")+COUNTIF(E503:AI503,"C")+COUNTIF(E503:AI503,"D")+COUNTIF(E503:AI503,"E")+COUNTIF(E503:AI503,"F")+COUNTIF(E503:AI503,"M")+COUNTIF(E503:AI503,"AB")+COUNTIF(E503:AI503,"UZ")+COUNTIF(E503:AI503,"G")+(COUNTIF(E503:AI503,"RT.")/2)+(COUNTIF(E503:AI503,"ÇRT.")/2)</f>
      </c>
      <c r="AO503" s="1">
        <f>=COUNTIF(E503:AI503,"O")</f>
      </c>
      <c r="AP503" s="1">
        <f>=COUNTIF(E503:AI503,"RT")+(COUNTIF(E503:AI503,"RT.")/2)</f>
      </c>
      <c r="AQ503" s="1">
        <f>=COUNTIF(E503:AI503,"ÇRT")+(COUNTIF(E503:AI503,"ÇRT.")/2)</f>
      </c>
      <c r="AR503" s="1">
        <f>=COUNTIF(E503:AI503,"ÇHT")</f>
      </c>
      <c r="AS503" s="1">
        <f>=COUNTIF(E503:AI503,"Ö")+COUNTIF(E503:AI503,"T")</f>
      </c>
      <c r="AT503" s="1">
        <f>=COUNTIF(E503:AI503,"Y")</f>
      </c>
      <c r="AU503" s="1">
        <f>=COUNTIF(E503:AI503,"R.")</f>
      </c>
      <c r="AV503" s="1">
        <f>=COUNTIF(E503:AI503,"Ü")</f>
      </c>
      <c r="AW503" s="1">
        <f>=COUNTIF(E503:AI503,"R")</f>
      </c>
      <c r="AX503" s="1">
        <f>=COUNTIF(E503:AI503,"DV")</f>
      </c>
      <c r="AY503" s="1">
        <f>=+AN503+AO503+AP503+AQ503+AR503+AS503+AT503+AU503</f>
      </c>
    </row>
    <row r="504" ht="16" customHeight="1" spans="1:51" x14ac:dyDescent="0.25">
      <c r="A504" s="45"/>
      <c r="B504" s="46"/>
      <c r="C504" s="46"/>
      <c r="D504" s="46" t="s">
        <v>33</v>
      </c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  <c r="AB504" s="46"/>
      <c r="AC504" s="46"/>
      <c r="AD504" s="46"/>
      <c r="AE504" s="46"/>
      <c r="AF504" s="46"/>
      <c r="AG504" s="46"/>
      <c r="AH504" s="46"/>
      <c r="AI504" s="46"/>
      <c r="AJ504" s="46"/>
      <c r="AK504" s="46"/>
      <c r="AL504" s="46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</row>
    <row r="505" ht="16" customHeight="1" spans="1:51" x14ac:dyDescent="0.25">
      <c r="A505" s="45"/>
      <c r="B505" s="46"/>
      <c r="C505" s="46" t="s">
        <v>548</v>
      </c>
      <c r="D505" s="46" t="s">
        <v>29</v>
      </c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  <c r="AB505" s="46"/>
      <c r="AC505" s="46"/>
      <c r="AD505" s="46"/>
      <c r="AE505" s="46"/>
      <c r="AF505" s="46"/>
      <c r="AG505" s="46"/>
      <c r="AH505" s="46"/>
      <c r="AI505" s="46"/>
      <c r="AJ505" s="46">
        <f>=SUM(E506:AI506)</f>
      </c>
      <c r="AK505" s="46">
        <f>=+AY505</f>
      </c>
      <c r="AL505" s="46"/>
      <c r="AM505" s="1"/>
      <c r="AN505" s="1">
        <f>=COUNTIF(E505:AI505,"A")+COUNTIF(E505:AI505,"B")+COUNTIF(E505:AI505,"C")+COUNTIF(E505:AI505,"D")+COUNTIF(E505:AI505,"E")+COUNTIF(E505:AI505,"F")+COUNTIF(E505:AI505,"M")+COUNTIF(E505:AI505,"AB")+COUNTIF(E505:AI505,"UZ")+COUNTIF(E505:AI505,"G")+(COUNTIF(E505:AI505,"RT.")/2)+(COUNTIF(E505:AI505,"ÇRT.")/2)</f>
      </c>
      <c r="AO505" s="1">
        <f>=COUNTIF(E505:AI505,"O")</f>
      </c>
      <c r="AP505" s="1">
        <f>=COUNTIF(E505:AI505,"RT")+(COUNTIF(E505:AI505,"RT.")/2)</f>
      </c>
      <c r="AQ505" s="1">
        <f>=COUNTIF(E505:AI505,"ÇRT")+(COUNTIF(E505:AI505,"ÇRT.")/2)</f>
      </c>
      <c r="AR505" s="1">
        <f>=COUNTIF(E505:AI505,"ÇHT")</f>
      </c>
      <c r="AS505" s="1">
        <f>=COUNTIF(E505:AI505,"Ö")+COUNTIF(E505:AI505,"T")</f>
      </c>
      <c r="AT505" s="1">
        <f>=COUNTIF(E505:AI505,"Y")</f>
      </c>
      <c r="AU505" s="1">
        <f>=COUNTIF(E505:AI505,"R.")</f>
      </c>
      <c r="AV505" s="1">
        <f>=COUNTIF(E505:AI505,"Ü")</f>
      </c>
      <c r="AW505" s="1">
        <f>=COUNTIF(E505:AI505,"R")</f>
      </c>
      <c r="AX505" s="1">
        <f>=COUNTIF(E505:AI505,"DV")</f>
      </c>
      <c r="AY505" s="1">
        <f>=+AN505+AO505+AP505+AQ505+AR505+AS505+AT505+AU505</f>
      </c>
    </row>
    <row r="506" ht="16" customHeight="1" spans="1:51" x14ac:dyDescent="0.25">
      <c r="A506" s="45"/>
      <c r="B506" s="46"/>
      <c r="C506" s="46"/>
      <c r="D506" s="46" t="s">
        <v>33</v>
      </c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  <c r="AB506" s="46"/>
      <c r="AC506" s="46"/>
      <c r="AD506" s="46"/>
      <c r="AE506" s="46"/>
      <c r="AF506" s="46"/>
      <c r="AG506" s="46"/>
      <c r="AH506" s="46"/>
      <c r="AI506" s="46"/>
      <c r="AJ506" s="46"/>
      <c r="AK506" s="46"/>
      <c r="AL506" s="46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</row>
    <row r="507" ht="16" customHeight="1" spans="1:51" x14ac:dyDescent="0.25">
      <c r="A507" s="45"/>
      <c r="B507" s="46"/>
      <c r="C507" s="46" t="s">
        <v>549</v>
      </c>
      <c r="D507" s="46" t="s">
        <v>29</v>
      </c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  <c r="AB507" s="46"/>
      <c r="AC507" s="46"/>
      <c r="AD507" s="46"/>
      <c r="AE507" s="46"/>
      <c r="AF507" s="46"/>
      <c r="AG507" s="46"/>
      <c r="AH507" s="46"/>
      <c r="AI507" s="46"/>
      <c r="AJ507" s="46">
        <f>=SUM(E508:AI508)</f>
      </c>
      <c r="AK507" s="46">
        <f>=+AY507</f>
      </c>
      <c r="AL507" s="46"/>
      <c r="AM507" s="1"/>
      <c r="AN507" s="1">
        <f>=COUNTIF(E507:AI507,"A")+COUNTIF(E507:AI507,"B")+COUNTIF(E507:AI507,"C")+COUNTIF(E507:AI507,"D")+COUNTIF(E507:AI507,"E")+COUNTIF(E507:AI507,"F")+COUNTIF(E507:AI507,"M")+COUNTIF(E507:AI507,"AB")+COUNTIF(E507:AI507,"UZ")+COUNTIF(E507:AI507,"G")+(COUNTIF(E507:AI507,"RT.")/2)+(COUNTIF(E507:AI507,"ÇRT.")/2)</f>
      </c>
      <c r="AO507" s="1">
        <f>=COUNTIF(E507:AI507,"O")</f>
      </c>
      <c r="AP507" s="1">
        <f>=COUNTIF(E507:AI507,"RT")+(COUNTIF(E507:AI507,"RT.")/2)</f>
      </c>
      <c r="AQ507" s="1">
        <f>=COUNTIF(E507:AI507,"ÇRT")+(COUNTIF(E507:AI507,"ÇRT.")/2)</f>
      </c>
      <c r="AR507" s="1">
        <f>=COUNTIF(E507:AI507,"ÇHT")</f>
      </c>
      <c r="AS507" s="1">
        <f>=COUNTIF(E507:AI507,"Ö")+COUNTIF(E507:AI507,"T")</f>
      </c>
      <c r="AT507" s="1">
        <f>=COUNTIF(E507:AI507,"Y")</f>
      </c>
      <c r="AU507" s="1">
        <f>=COUNTIF(E507:AI507,"R.")</f>
      </c>
      <c r="AV507" s="1">
        <f>=COUNTIF(E507:AI507,"Ü")</f>
      </c>
      <c r="AW507" s="1">
        <f>=COUNTIF(E507:AI507,"R")</f>
      </c>
      <c r="AX507" s="1">
        <f>=COUNTIF(E507:AI507,"DV")</f>
      </c>
      <c r="AY507" s="1">
        <f>=+AN507+AO507+AP507+AQ507+AR507+AS507+AT507+AU507</f>
      </c>
    </row>
    <row r="508" ht="16" customHeight="1" spans="1:51" x14ac:dyDescent="0.25">
      <c r="A508" s="45"/>
      <c r="B508" s="46"/>
      <c r="C508" s="46"/>
      <c r="D508" s="46" t="s">
        <v>33</v>
      </c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  <c r="AB508" s="46"/>
      <c r="AC508" s="46"/>
      <c r="AD508" s="46"/>
      <c r="AE508" s="46"/>
      <c r="AF508" s="46"/>
      <c r="AG508" s="46"/>
      <c r="AH508" s="46"/>
      <c r="AI508" s="46"/>
      <c r="AJ508" s="46"/>
      <c r="AK508" s="46"/>
      <c r="AL508" s="46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</row>
    <row r="509" ht="16" customHeight="1" spans="1:51" x14ac:dyDescent="0.25">
      <c r="A509" s="45"/>
      <c r="B509" s="46"/>
      <c r="C509" s="46" t="s">
        <v>550</v>
      </c>
      <c r="D509" s="46" t="s">
        <v>29</v>
      </c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  <c r="AC509" s="46"/>
      <c r="AD509" s="46"/>
      <c r="AE509" s="46"/>
      <c r="AF509" s="46"/>
      <c r="AG509" s="46"/>
      <c r="AH509" s="46"/>
      <c r="AI509" s="46"/>
      <c r="AJ509" s="46">
        <f>=SUM(E510:AI510)</f>
      </c>
      <c r="AK509" s="46">
        <f>=+AY509</f>
      </c>
      <c r="AL509" s="46"/>
      <c r="AM509" s="1"/>
      <c r="AN509" s="1">
        <f>=COUNTIF(E509:AI509,"A")+COUNTIF(E509:AI509,"B")+COUNTIF(E509:AI509,"C")+COUNTIF(E509:AI509,"D")+COUNTIF(E509:AI509,"E")+COUNTIF(E509:AI509,"F")+COUNTIF(E509:AI509,"M")+COUNTIF(E509:AI509,"AB")+COUNTIF(E509:AI509,"UZ")+COUNTIF(E509:AI509,"G")+(COUNTIF(E509:AI509,"RT.")/2)+(COUNTIF(E509:AI509,"ÇRT.")/2)</f>
      </c>
      <c r="AO509" s="1">
        <f>=COUNTIF(E509:AI509,"O")</f>
      </c>
      <c r="AP509" s="1">
        <f>=COUNTIF(E509:AI509,"RT")+(COUNTIF(E509:AI509,"RT.")/2)</f>
      </c>
      <c r="AQ509" s="1">
        <f>=COUNTIF(E509:AI509,"ÇRT")+(COUNTIF(E509:AI509,"ÇRT.")/2)</f>
      </c>
      <c r="AR509" s="1">
        <f>=COUNTIF(E509:AI509,"ÇHT")</f>
      </c>
      <c r="AS509" s="1">
        <f>=COUNTIF(E509:AI509,"Ö")+COUNTIF(E509:AI509,"T")</f>
      </c>
      <c r="AT509" s="1">
        <f>=COUNTIF(E509:AI509,"Y")</f>
      </c>
      <c r="AU509" s="1">
        <f>=COUNTIF(E509:AI509,"R.")</f>
      </c>
      <c r="AV509" s="1">
        <f>=COUNTIF(E509:AI509,"Ü")</f>
      </c>
      <c r="AW509" s="1">
        <f>=COUNTIF(E509:AI509,"R")</f>
      </c>
      <c r="AX509" s="1">
        <f>=COUNTIF(E509:AI509,"DV")</f>
      </c>
      <c r="AY509" s="1">
        <f>=+AN509+AO509+AP509+AQ509+AR509+AS509+AT509+AU509</f>
      </c>
    </row>
    <row r="510" ht="16" customHeight="1" spans="1:51" x14ac:dyDescent="0.25">
      <c r="A510" s="45"/>
      <c r="B510" s="46"/>
      <c r="C510" s="46"/>
      <c r="D510" s="46" t="s">
        <v>33</v>
      </c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  <c r="AB510" s="46"/>
      <c r="AC510" s="46"/>
      <c r="AD510" s="46"/>
      <c r="AE510" s="46"/>
      <c r="AF510" s="46"/>
      <c r="AG510" s="46"/>
      <c r="AH510" s="46"/>
      <c r="AI510" s="46"/>
      <c r="AJ510" s="46"/>
      <c r="AK510" s="46"/>
      <c r="AL510" s="46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</row>
    <row r="511" ht="16" customHeight="1" spans="1:51" x14ac:dyDescent="0.25">
      <c r="A511" s="45" t="s">
        <v>551</v>
      </c>
      <c r="B511" s="46" t="s">
        <v>552</v>
      </c>
      <c r="C511" s="46" t="s">
        <v>553</v>
      </c>
      <c r="D511" s="46" t="s">
        <v>29</v>
      </c>
      <c r="E511" s="46" t="s">
        <v>42</v>
      </c>
      <c r="F511" s="46" t="s">
        <v>37</v>
      </c>
      <c r="G511" s="46" t="s">
        <v>42</v>
      </c>
      <c r="H511" s="46" t="s">
        <v>42</v>
      </c>
      <c r="I511" s="46" t="s">
        <v>42</v>
      </c>
      <c r="J511" s="46" t="s">
        <v>42</v>
      </c>
      <c r="K511" s="46" t="s">
        <v>42</v>
      </c>
      <c r="L511" s="46" t="s">
        <v>42</v>
      </c>
      <c r="M511" s="46" t="s">
        <v>37</v>
      </c>
      <c r="N511" s="46" t="s">
        <v>42</v>
      </c>
      <c r="O511" s="46" t="s">
        <v>42</v>
      </c>
      <c r="P511" s="46" t="s">
        <v>42</v>
      </c>
      <c r="Q511" s="46" t="s">
        <v>42</v>
      </c>
      <c r="R511" s="46" t="s">
        <v>42</v>
      </c>
      <c r="S511" s="46" t="s">
        <v>42</v>
      </c>
      <c r="T511" s="46" t="s">
        <v>37</v>
      </c>
      <c r="U511" s="46" t="s">
        <v>42</v>
      </c>
      <c r="V511" s="46" t="s">
        <v>42</v>
      </c>
      <c r="W511" s="46" t="s">
        <v>42</v>
      </c>
      <c r="X511" s="46" t="s">
        <v>42</v>
      </c>
      <c r="Y511" s="46" t="s">
        <v>42</v>
      </c>
      <c r="Z511" s="46" t="s">
        <v>42</v>
      </c>
      <c r="AA511" s="46" t="s">
        <v>37</v>
      </c>
      <c r="AB511" s="46" t="s">
        <v>42</v>
      </c>
      <c r="AC511" s="46" t="s">
        <v>42</v>
      </c>
      <c r="AD511" s="46" t="s">
        <v>42</v>
      </c>
      <c r="AE511" s="46" t="s">
        <v>42</v>
      </c>
      <c r="AF511" s="46" t="s">
        <v>42</v>
      </c>
      <c r="AG511" s="46" t="s">
        <v>42</v>
      </c>
      <c r="AH511" s="46" t="s">
        <v>37</v>
      </c>
      <c r="AI511" s="46" t="s">
        <v>42</v>
      </c>
      <c r="AJ511" s="46">
        <f>=SUM(E512:AI512)</f>
      </c>
      <c r="AK511" s="46">
        <f>=+AY511</f>
      </c>
      <c r="AL511" s="46"/>
      <c r="AM511" s="1"/>
      <c r="AN511" s="1">
        <f>=COUNTIF(E511:AI511,"A")+COUNTIF(E511:AI511,"B")+COUNTIF(E511:AI511,"C")+COUNTIF(E511:AI511,"D")+COUNTIF(E511:AI511,"E")+COUNTIF(E511:AI511,"F")+COUNTIF(E511:AI511,"M")+COUNTIF(E511:AI511,"AB")+COUNTIF(E511:AI511,"UZ")+COUNTIF(E511:AI511,"G")+(COUNTIF(E511:AI511,"RT.")/2)+(COUNTIF(E511:AI511,"ÇRT.")/2)</f>
      </c>
      <c r="AO511" s="1">
        <f>=COUNTIF(E511:AI511,"O")</f>
      </c>
      <c r="AP511" s="1">
        <f>=COUNTIF(E511:AI511,"RT")+(COUNTIF(E511:AI511,"RT.")/2)</f>
      </c>
      <c r="AQ511" s="1">
        <f>=COUNTIF(E511:AI511,"ÇRT")+(COUNTIF(E511:AI511,"ÇRT.")/2)</f>
      </c>
      <c r="AR511" s="1">
        <f>=COUNTIF(E511:AI511,"ÇHT")</f>
      </c>
      <c r="AS511" s="1">
        <f>=COUNTIF(E511:AI511,"Ö")+COUNTIF(E511:AI511,"T")</f>
      </c>
      <c r="AT511" s="1">
        <f>=COUNTIF(E511:AI511,"Y")</f>
      </c>
      <c r="AU511" s="1">
        <f>=COUNTIF(E511:AI511,"R.")</f>
      </c>
      <c r="AV511" s="1">
        <f>=COUNTIF(E511:AI511,"Ü")</f>
      </c>
      <c r="AW511" s="1">
        <f>=COUNTIF(E511:AI511,"R")</f>
      </c>
      <c r="AX511" s="1">
        <f>=COUNTIF(E511:AI511,"DV")</f>
      </c>
      <c r="AY511" s="1">
        <f>=+AN511+AO511+AP511+AQ511+AR511+AS511+AT511+AU511</f>
      </c>
    </row>
    <row r="512" ht="16" customHeight="1" spans="1:51" x14ac:dyDescent="0.25">
      <c r="A512" s="45"/>
      <c r="B512" s="46"/>
      <c r="C512" s="46"/>
      <c r="D512" s="46" t="s">
        <v>33</v>
      </c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  <c r="AB512" s="46"/>
      <c r="AC512" s="46"/>
      <c r="AD512" s="46"/>
      <c r="AE512" s="46"/>
      <c r="AF512" s="46"/>
      <c r="AG512" s="46"/>
      <c r="AH512" s="46"/>
      <c r="AI512" s="46"/>
      <c r="AJ512" s="46"/>
      <c r="AK512" s="46"/>
      <c r="AL512" s="46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</row>
    <row r="513" ht="16" customHeight="1" spans="1:51" x14ac:dyDescent="0.25">
      <c r="A513" s="45"/>
      <c r="B513" s="46" t="s">
        <v>554</v>
      </c>
      <c r="C513" s="46" t="s">
        <v>555</v>
      </c>
      <c r="D513" s="46" t="s">
        <v>29</v>
      </c>
      <c r="E513" s="46" t="s">
        <v>42</v>
      </c>
      <c r="F513" s="46" t="s">
        <v>37</v>
      </c>
      <c r="G513" s="46" t="s">
        <v>42</v>
      </c>
      <c r="H513" s="46" t="s">
        <v>42</v>
      </c>
      <c r="I513" s="46" t="s">
        <v>42</v>
      </c>
      <c r="J513" s="46" t="s">
        <v>42</v>
      </c>
      <c r="K513" s="46" t="s">
        <v>42</v>
      </c>
      <c r="L513" s="46" t="s">
        <v>153</v>
      </c>
      <c r="M513" s="46" t="s">
        <v>37</v>
      </c>
      <c r="N513" s="46" t="s">
        <v>31</v>
      </c>
      <c r="O513" s="46" t="s">
        <v>42</v>
      </c>
      <c r="P513" s="46" t="s">
        <v>42</v>
      </c>
      <c r="Q513" s="46" t="s">
        <v>42</v>
      </c>
      <c r="R513" s="46" t="s">
        <v>42</v>
      </c>
      <c r="S513" s="46" t="s">
        <v>42</v>
      </c>
      <c r="T513" s="46" t="s">
        <v>37</v>
      </c>
      <c r="U513" s="46" t="s">
        <v>42</v>
      </c>
      <c r="V513" s="46" t="s">
        <v>42</v>
      </c>
      <c r="W513" s="46" t="s">
        <v>42</v>
      </c>
      <c r="X513" s="46" t="s">
        <v>42</v>
      </c>
      <c r="Y513" s="46" t="s">
        <v>42</v>
      </c>
      <c r="Z513" s="46" t="s">
        <v>42</v>
      </c>
      <c r="AA513" s="46" t="s">
        <v>37</v>
      </c>
      <c r="AB513" s="46" t="s">
        <v>42</v>
      </c>
      <c r="AC513" s="46" t="s">
        <v>42</v>
      </c>
      <c r="AD513" s="46" t="s">
        <v>42</v>
      </c>
      <c r="AE513" s="46" t="s">
        <v>42</v>
      </c>
      <c r="AF513" s="46" t="s">
        <v>42</v>
      </c>
      <c r="AG513" s="46" t="s">
        <v>42</v>
      </c>
      <c r="AH513" s="46" t="s">
        <v>37</v>
      </c>
      <c r="AI513" s="46" t="s">
        <v>42</v>
      </c>
      <c r="AJ513" s="46">
        <f>=SUM(E514:AI514)</f>
      </c>
      <c r="AK513" s="46">
        <f>=+AY513</f>
      </c>
      <c r="AL513" s="46"/>
      <c r="AM513" s="1"/>
      <c r="AN513" s="1">
        <f>=COUNTIF(E513:AI513,"A")+COUNTIF(E513:AI513,"B")+COUNTIF(E513:AI513,"C")+COUNTIF(E513:AI513,"D")+COUNTIF(E513:AI513,"E")+COUNTIF(E513:AI513,"F")+COUNTIF(E513:AI513,"M")+COUNTIF(E513:AI513,"AB")+COUNTIF(E513:AI513,"UZ")+COUNTIF(E513:AI513,"G")+(COUNTIF(E513:AI513,"RT.")/2)+(COUNTIF(E513:AI513,"ÇRT.")/2)</f>
      </c>
      <c r="AO513" s="1">
        <f>=COUNTIF(E513:AI513,"O")</f>
      </c>
      <c r="AP513" s="1">
        <f>=COUNTIF(E513:AI513,"RT")+(COUNTIF(E513:AI513,"RT.")/2)</f>
      </c>
      <c r="AQ513" s="1">
        <f>=COUNTIF(E513:AI513,"ÇRT")+(COUNTIF(E513:AI513,"ÇRT.")/2)</f>
      </c>
      <c r="AR513" s="1">
        <f>=COUNTIF(E513:AI513,"ÇHT")</f>
      </c>
      <c r="AS513" s="1">
        <f>=COUNTIF(E513:AI513,"Ö")+COUNTIF(E513:AI513,"T")</f>
      </c>
      <c r="AT513" s="1">
        <f>=COUNTIF(E513:AI513,"Y")</f>
      </c>
      <c r="AU513" s="1">
        <f>=COUNTIF(E513:AI513,"R.")</f>
      </c>
      <c r="AV513" s="1">
        <f>=COUNTIF(E513:AI513,"Ü")</f>
      </c>
      <c r="AW513" s="1">
        <f>=COUNTIF(E513:AI513,"R")</f>
      </c>
      <c r="AX513" s="1">
        <f>=COUNTIF(E513:AI513,"DV")</f>
      </c>
      <c r="AY513" s="1">
        <f>=+AN513+AO513+AP513+AQ513+AR513+AS513+AT513+AU513</f>
      </c>
    </row>
    <row r="514" ht="16" customHeight="1" spans="1:51" x14ac:dyDescent="0.25">
      <c r="A514" s="45"/>
      <c r="B514" s="46"/>
      <c r="C514" s="46"/>
      <c r="D514" s="46" t="s">
        <v>33</v>
      </c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  <c r="AC514" s="46"/>
      <c r="AD514" s="46"/>
      <c r="AE514" s="46"/>
      <c r="AF514" s="46"/>
      <c r="AG514" s="46"/>
      <c r="AH514" s="46"/>
      <c r="AI514" s="46"/>
      <c r="AJ514" s="46"/>
      <c r="AK514" s="46"/>
      <c r="AL514" s="46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</row>
    <row r="515" ht="16" customHeight="1" spans="1:51" x14ac:dyDescent="0.25">
      <c r="A515" s="45"/>
      <c r="B515" s="46" t="s">
        <v>556</v>
      </c>
      <c r="C515" s="46" t="s">
        <v>557</v>
      </c>
      <c r="D515" s="46" t="s">
        <v>29</v>
      </c>
      <c r="E515" s="46" t="s">
        <v>42</v>
      </c>
      <c r="F515" s="46" t="s">
        <v>37</v>
      </c>
      <c r="G515" s="46" t="s">
        <v>42</v>
      </c>
      <c r="H515" s="46" t="s">
        <v>42</v>
      </c>
      <c r="I515" s="46" t="s">
        <v>42</v>
      </c>
      <c r="J515" s="46" t="s">
        <v>42</v>
      </c>
      <c r="K515" s="46" t="s">
        <v>42</v>
      </c>
      <c r="L515" s="46" t="s">
        <v>42</v>
      </c>
      <c r="M515" s="46" t="s">
        <v>37</v>
      </c>
      <c r="N515" s="46" t="s">
        <v>42</v>
      </c>
      <c r="O515" s="46" t="s">
        <v>42</v>
      </c>
      <c r="P515" s="46" t="s">
        <v>42</v>
      </c>
      <c r="Q515" s="46" t="s">
        <v>42</v>
      </c>
      <c r="R515" s="46" t="s">
        <v>42</v>
      </c>
      <c r="S515" s="46" t="s">
        <v>153</v>
      </c>
      <c r="T515" s="46" t="s">
        <v>37</v>
      </c>
      <c r="U515" s="46" t="s">
        <v>42</v>
      </c>
      <c r="V515" s="46" t="s">
        <v>31</v>
      </c>
      <c r="W515" s="46" t="s">
        <v>31</v>
      </c>
      <c r="X515" s="46" t="s">
        <v>42</v>
      </c>
      <c r="Y515" s="46" t="s">
        <v>42</v>
      </c>
      <c r="Z515" s="46" t="s">
        <v>42</v>
      </c>
      <c r="AA515" s="46" t="s">
        <v>37</v>
      </c>
      <c r="AB515" s="46" t="s">
        <v>42</v>
      </c>
      <c r="AC515" s="46" t="s">
        <v>42</v>
      </c>
      <c r="AD515" s="46" t="s">
        <v>42</v>
      </c>
      <c r="AE515" s="46" t="s">
        <v>42</v>
      </c>
      <c r="AF515" s="46" t="s">
        <v>42</v>
      </c>
      <c r="AG515" s="46" t="s">
        <v>42</v>
      </c>
      <c r="AH515" s="46" t="s">
        <v>37</v>
      </c>
      <c r="AI515" s="46" t="s">
        <v>42</v>
      </c>
      <c r="AJ515" s="46">
        <f>=SUM(E516:AI516)</f>
      </c>
      <c r="AK515" s="46">
        <f>=+AY515</f>
      </c>
      <c r="AL515" s="46"/>
      <c r="AM515" s="1"/>
      <c r="AN515" s="1">
        <f>=COUNTIF(E515:AI515,"A")+COUNTIF(E515:AI515,"B")+COUNTIF(E515:AI515,"C")+COUNTIF(E515:AI515,"D")+COUNTIF(E515:AI515,"E")+COUNTIF(E515:AI515,"F")+COUNTIF(E515:AI515,"M")+COUNTIF(E515:AI515,"AB")+COUNTIF(E515:AI515,"UZ")+COUNTIF(E515:AI515,"G")+(COUNTIF(E515:AI515,"RT.")/2)+(COUNTIF(E515:AI515,"ÇRT.")/2)</f>
      </c>
      <c r="AO515" s="1">
        <f>=COUNTIF(E515:AI515,"O")</f>
      </c>
      <c r="AP515" s="1">
        <f>=COUNTIF(E515:AI515,"RT")+(COUNTIF(E515:AI515,"RT.")/2)</f>
      </c>
      <c r="AQ515" s="1">
        <f>=COUNTIF(E515:AI515,"ÇRT")+(COUNTIF(E515:AI515,"ÇRT.")/2)</f>
      </c>
      <c r="AR515" s="1">
        <f>=COUNTIF(E515:AI515,"ÇHT")</f>
      </c>
      <c r="AS515" s="1">
        <f>=COUNTIF(E515:AI515,"Ö")+COUNTIF(E515:AI515,"T")</f>
      </c>
      <c r="AT515" s="1">
        <f>=COUNTIF(E515:AI515,"Y")</f>
      </c>
      <c r="AU515" s="1">
        <f>=COUNTIF(E515:AI515,"R.")</f>
      </c>
      <c r="AV515" s="1">
        <f>=COUNTIF(E515:AI515,"Ü")</f>
      </c>
      <c r="AW515" s="1">
        <f>=COUNTIF(E515:AI515,"R")</f>
      </c>
      <c r="AX515" s="1">
        <f>=COUNTIF(E515:AI515,"DV")</f>
      </c>
      <c r="AY515" s="1">
        <f>=+AN515+AO515+AP515+AQ515+AR515+AS515+AT515+AU515</f>
      </c>
    </row>
    <row r="516" ht="16" customHeight="1" spans="1:51" x14ac:dyDescent="0.25">
      <c r="A516" s="45"/>
      <c r="B516" s="46"/>
      <c r="C516" s="46"/>
      <c r="D516" s="46" t="s">
        <v>33</v>
      </c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  <c r="AB516" s="46"/>
      <c r="AC516" s="46"/>
      <c r="AD516" s="46"/>
      <c r="AE516" s="46"/>
      <c r="AF516" s="46"/>
      <c r="AG516" s="46"/>
      <c r="AH516" s="46"/>
      <c r="AI516" s="46"/>
      <c r="AJ516" s="46"/>
      <c r="AK516" s="46"/>
      <c r="AL516" s="46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</row>
    <row r="517" ht="16" customHeight="1" spans="1:51" x14ac:dyDescent="0.25">
      <c r="A517" s="45"/>
      <c r="B517" s="46" t="s">
        <v>558</v>
      </c>
      <c r="C517" s="46" t="s">
        <v>559</v>
      </c>
      <c r="D517" s="46" t="s">
        <v>29</v>
      </c>
      <c r="E517" s="46" t="s">
        <v>42</v>
      </c>
      <c r="F517" s="46" t="s">
        <v>37</v>
      </c>
      <c r="G517" s="46" t="s">
        <v>42</v>
      </c>
      <c r="H517" s="46" t="s">
        <v>42</v>
      </c>
      <c r="I517" s="46" t="s">
        <v>42</v>
      </c>
      <c r="J517" s="46" t="s">
        <v>42</v>
      </c>
      <c r="K517" s="46" t="s">
        <v>42</v>
      </c>
      <c r="L517" s="46" t="s">
        <v>42</v>
      </c>
      <c r="M517" s="46" t="s">
        <v>37</v>
      </c>
      <c r="N517" s="46" t="s">
        <v>42</v>
      </c>
      <c r="O517" s="46" t="s">
        <v>42</v>
      </c>
      <c r="P517" s="46" t="s">
        <v>42</v>
      </c>
      <c r="Q517" s="46" t="s">
        <v>42</v>
      </c>
      <c r="R517" s="46" t="s">
        <v>42</v>
      </c>
      <c r="S517" s="46" t="s">
        <v>42</v>
      </c>
      <c r="T517" s="46" t="s">
        <v>37</v>
      </c>
      <c r="U517" s="46" t="s">
        <v>42</v>
      </c>
      <c r="V517" s="46" t="s">
        <v>42</v>
      </c>
      <c r="W517" s="46" t="s">
        <v>42</v>
      </c>
      <c r="X517" s="46" t="s">
        <v>42</v>
      </c>
      <c r="Y517" s="46" t="s">
        <v>42</v>
      </c>
      <c r="Z517" s="46" t="s">
        <v>42</v>
      </c>
      <c r="AA517" s="46" t="s">
        <v>37</v>
      </c>
      <c r="AB517" s="46" t="s">
        <v>42</v>
      </c>
      <c r="AC517" s="46" t="s">
        <v>42</v>
      </c>
      <c r="AD517" s="46" t="s">
        <v>42</v>
      </c>
      <c r="AE517" s="46" t="s">
        <v>42</v>
      </c>
      <c r="AF517" s="46" t="s">
        <v>42</v>
      </c>
      <c r="AG517" s="46" t="s">
        <v>42</v>
      </c>
      <c r="AH517" s="46" t="s">
        <v>37</v>
      </c>
      <c r="AI517" s="46" t="s">
        <v>31</v>
      </c>
      <c r="AJ517" s="46">
        <f>=SUM(E518:AI518)</f>
      </c>
      <c r="AK517" s="46">
        <f>=+AY517</f>
      </c>
      <c r="AL517" s="46"/>
      <c r="AM517" s="1"/>
      <c r="AN517" s="1">
        <f>=COUNTIF(E517:AI517,"A")+COUNTIF(E517:AI517,"B")+COUNTIF(E517:AI517,"C")+COUNTIF(E517:AI517,"D")+COUNTIF(E517:AI517,"E")+COUNTIF(E517:AI517,"F")+COUNTIF(E517:AI517,"M")+COUNTIF(E517:AI517,"AB")+COUNTIF(E517:AI517,"UZ")+COUNTIF(E517:AI517,"G")+(COUNTIF(E517:AI517,"RT.")/2)+(COUNTIF(E517:AI517,"ÇRT.")/2)</f>
      </c>
      <c r="AO517" s="1">
        <f>=COUNTIF(E517:AI517,"O")</f>
      </c>
      <c r="AP517" s="1">
        <f>=COUNTIF(E517:AI517,"RT")+(COUNTIF(E517:AI517,"RT.")/2)</f>
      </c>
      <c r="AQ517" s="1">
        <f>=COUNTIF(E517:AI517,"ÇRT")+(COUNTIF(E517:AI517,"ÇRT.")/2)</f>
      </c>
      <c r="AR517" s="1">
        <f>=COUNTIF(E517:AI517,"ÇHT")</f>
      </c>
      <c r="AS517" s="1">
        <f>=COUNTIF(E517:AI517,"Ö")+COUNTIF(E517:AI517,"T")</f>
      </c>
      <c r="AT517" s="1">
        <f>=COUNTIF(E517:AI517,"Y")</f>
      </c>
      <c r="AU517" s="1">
        <f>=COUNTIF(E517:AI517,"R.")</f>
      </c>
      <c r="AV517" s="1">
        <f>=COUNTIF(E517:AI517,"Ü")</f>
      </c>
      <c r="AW517" s="1">
        <f>=COUNTIF(E517:AI517,"R")</f>
      </c>
      <c r="AX517" s="1">
        <f>=COUNTIF(E517:AI517,"DV")</f>
      </c>
      <c r="AY517" s="1">
        <f>=+AN517+AO517+AP517+AQ517+AR517+AS517+AT517+AU517</f>
      </c>
    </row>
    <row r="518" ht="16" customHeight="1" spans="1:51" x14ac:dyDescent="0.25">
      <c r="A518" s="45"/>
      <c r="B518" s="46"/>
      <c r="C518" s="46"/>
      <c r="D518" s="46" t="s">
        <v>33</v>
      </c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  <c r="AB518" s="46"/>
      <c r="AC518" s="46"/>
      <c r="AD518" s="46"/>
      <c r="AE518" s="46"/>
      <c r="AF518" s="46"/>
      <c r="AG518" s="46"/>
      <c r="AH518" s="46"/>
      <c r="AI518" s="46"/>
      <c r="AJ518" s="46"/>
      <c r="AK518" s="46"/>
      <c r="AL518" s="46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</row>
    <row r="519" ht="16" customHeight="1" spans="1:51" x14ac:dyDescent="0.25">
      <c r="A519" s="45"/>
      <c r="B519" s="46" t="s">
        <v>560</v>
      </c>
      <c r="C519" s="46" t="s">
        <v>561</v>
      </c>
      <c r="D519" s="46" t="s">
        <v>29</v>
      </c>
      <c r="E519" s="46" t="s">
        <v>42</v>
      </c>
      <c r="F519" s="46" t="s">
        <v>42</v>
      </c>
      <c r="G519" s="46" t="s">
        <v>42</v>
      </c>
      <c r="H519" s="46" t="s">
        <v>42</v>
      </c>
      <c r="I519" s="46" t="s">
        <v>42</v>
      </c>
      <c r="J519" s="46" t="s">
        <v>42</v>
      </c>
      <c r="K519" s="46" t="s">
        <v>98</v>
      </c>
      <c r="L519" s="46" t="s">
        <v>98</v>
      </c>
      <c r="M519" s="46" t="s">
        <v>37</v>
      </c>
      <c r="N519" s="46" t="s">
        <v>98</v>
      </c>
      <c r="O519" s="46" t="s">
        <v>98</v>
      </c>
      <c r="P519" s="46" t="s">
        <v>98</v>
      </c>
      <c r="Q519" s="46" t="s">
        <v>98</v>
      </c>
      <c r="R519" s="46" t="s">
        <v>98</v>
      </c>
      <c r="S519" s="46" t="s">
        <v>98</v>
      </c>
      <c r="T519" s="46" t="s">
        <v>37</v>
      </c>
      <c r="U519" s="46" t="s">
        <v>98</v>
      </c>
      <c r="V519" s="46" t="s">
        <v>98</v>
      </c>
      <c r="W519" s="46" t="s">
        <v>98</v>
      </c>
      <c r="X519" s="46" t="s">
        <v>98</v>
      </c>
      <c r="Y519" s="46" t="s">
        <v>98</v>
      </c>
      <c r="Z519" s="46" t="s">
        <v>98</v>
      </c>
      <c r="AA519" s="46" t="s">
        <v>37</v>
      </c>
      <c r="AB519" s="46" t="s">
        <v>42</v>
      </c>
      <c r="AC519" s="46" t="s">
        <v>42</v>
      </c>
      <c r="AD519" s="46" t="s">
        <v>42</v>
      </c>
      <c r="AE519" s="46" t="s">
        <v>42</v>
      </c>
      <c r="AF519" s="46" t="s">
        <v>42</v>
      </c>
      <c r="AG519" s="46" t="s">
        <v>42</v>
      </c>
      <c r="AH519" s="46" t="s">
        <v>37</v>
      </c>
      <c r="AI519" s="46" t="s">
        <v>42</v>
      </c>
      <c r="AJ519" s="46">
        <f>=SUM(E520:AI520)</f>
      </c>
      <c r="AK519" s="46">
        <f>=+AY519</f>
      </c>
      <c r="AL519" s="46"/>
      <c r="AM519" s="1"/>
      <c r="AN519" s="1">
        <f>=COUNTIF(E519:AI519,"A")+COUNTIF(E519:AI519,"B")+COUNTIF(E519:AI519,"C")+COUNTIF(E519:AI519,"D")+COUNTIF(E519:AI519,"E")+COUNTIF(E519:AI519,"F")+COUNTIF(E519:AI519,"M")+COUNTIF(E519:AI519,"AB")+COUNTIF(E519:AI519,"UZ")+COUNTIF(E519:AI519,"G")+(COUNTIF(E519:AI519,"RT.")/2)+(COUNTIF(E519:AI519,"ÇRT.")/2)</f>
      </c>
      <c r="AO519" s="1">
        <f>=COUNTIF(E519:AI519,"O")</f>
      </c>
      <c r="AP519" s="1">
        <f>=COUNTIF(E519:AI519,"RT")+(COUNTIF(E519:AI519,"RT.")/2)</f>
      </c>
      <c r="AQ519" s="1">
        <f>=COUNTIF(E519:AI519,"ÇRT")+(COUNTIF(E519:AI519,"ÇRT.")/2)</f>
      </c>
      <c r="AR519" s="1">
        <f>=COUNTIF(E519:AI519,"ÇHT")</f>
      </c>
      <c r="AS519" s="1">
        <f>=COUNTIF(E519:AI519,"Ö")+COUNTIF(E519:AI519,"T")</f>
      </c>
      <c r="AT519" s="1">
        <f>=COUNTIF(E519:AI519,"Y")</f>
      </c>
      <c r="AU519" s="1">
        <f>=COUNTIF(E519:AI519,"R.")</f>
      </c>
      <c r="AV519" s="1">
        <f>=COUNTIF(E519:AI519,"Ü")</f>
      </c>
      <c r="AW519" s="1">
        <f>=COUNTIF(E519:AI519,"R")</f>
      </c>
      <c r="AX519" s="1">
        <f>=COUNTIF(E519:AI519,"DV")</f>
      </c>
      <c r="AY519" s="1">
        <f>=+AN519+AO519+AP519+AQ519+AR519+AS519+AT519+AU519</f>
      </c>
    </row>
    <row r="520" ht="16" customHeight="1" spans="1:51" x14ac:dyDescent="0.25">
      <c r="A520" s="45"/>
      <c r="B520" s="46"/>
      <c r="C520" s="46"/>
      <c r="D520" s="46" t="s">
        <v>33</v>
      </c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  <c r="AC520" s="46"/>
      <c r="AD520" s="46"/>
      <c r="AE520" s="46"/>
      <c r="AF520" s="46"/>
      <c r="AG520" s="46"/>
      <c r="AH520" s="46"/>
      <c r="AI520" s="46"/>
      <c r="AJ520" s="46"/>
      <c r="AK520" s="46"/>
      <c r="AL520" s="46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</row>
    <row r="521" ht="16" customHeight="1" spans="1:51" x14ac:dyDescent="0.25">
      <c r="A521" s="45"/>
      <c r="B521" s="46" t="s">
        <v>562</v>
      </c>
      <c r="C521" s="46" t="s">
        <v>563</v>
      </c>
      <c r="D521" s="46" t="s">
        <v>29</v>
      </c>
      <c r="E521" s="46" t="s">
        <v>42</v>
      </c>
      <c r="F521" s="46" t="s">
        <v>37</v>
      </c>
      <c r="G521" s="46" t="s">
        <v>42</v>
      </c>
      <c r="H521" s="46" t="s">
        <v>42</v>
      </c>
      <c r="I521" s="46" t="s">
        <v>42</v>
      </c>
      <c r="J521" s="46" t="s">
        <v>42</v>
      </c>
      <c r="K521" s="46" t="s">
        <v>42</v>
      </c>
      <c r="L521" s="46" t="s">
        <v>42</v>
      </c>
      <c r="M521" s="46" t="s">
        <v>37</v>
      </c>
      <c r="N521" s="46" t="s">
        <v>42</v>
      </c>
      <c r="O521" s="46" t="s">
        <v>42</v>
      </c>
      <c r="P521" s="46" t="s">
        <v>42</v>
      </c>
      <c r="Q521" s="46" t="s">
        <v>42</v>
      </c>
      <c r="R521" s="46" t="s">
        <v>42</v>
      </c>
      <c r="S521" s="46" t="s">
        <v>42</v>
      </c>
      <c r="T521" s="46" t="s">
        <v>37</v>
      </c>
      <c r="U521" s="46" t="s">
        <v>42</v>
      </c>
      <c r="V521" s="46" t="s">
        <v>42</v>
      </c>
      <c r="W521" s="46" t="s">
        <v>42</v>
      </c>
      <c r="X521" s="46" t="s">
        <v>42</v>
      </c>
      <c r="Y521" s="46" t="s">
        <v>42</v>
      </c>
      <c r="Z521" s="46" t="s">
        <v>42</v>
      </c>
      <c r="AA521" s="46" t="s">
        <v>37</v>
      </c>
      <c r="AB521" s="46" t="s">
        <v>42</v>
      </c>
      <c r="AC521" s="46" t="s">
        <v>42</v>
      </c>
      <c r="AD521" s="46" t="s">
        <v>42</v>
      </c>
      <c r="AE521" s="46" t="s">
        <v>42</v>
      </c>
      <c r="AF521" s="46" t="s">
        <v>42</v>
      </c>
      <c r="AG521" s="46" t="s">
        <v>153</v>
      </c>
      <c r="AH521" s="46" t="s">
        <v>37</v>
      </c>
      <c r="AI521" s="46" t="s">
        <v>42</v>
      </c>
      <c r="AJ521" s="46">
        <f>=SUM(E522:AI522)</f>
      </c>
      <c r="AK521" s="46">
        <f>=+AY521</f>
      </c>
      <c r="AL521" s="46"/>
      <c r="AM521" s="1"/>
      <c r="AN521" s="1">
        <f>=COUNTIF(E521:AI521,"A")+COUNTIF(E521:AI521,"B")+COUNTIF(E521:AI521,"C")+COUNTIF(E521:AI521,"D")+COUNTIF(E521:AI521,"E")+COUNTIF(E521:AI521,"F")+COUNTIF(E521:AI521,"M")+COUNTIF(E521:AI521,"AB")+COUNTIF(E521:AI521,"UZ")+COUNTIF(E521:AI521,"G")+(COUNTIF(E521:AI521,"RT.")/2)+(COUNTIF(E521:AI521,"ÇRT.")/2)</f>
      </c>
      <c r="AO521" s="1">
        <f>=COUNTIF(E521:AI521,"O")</f>
      </c>
      <c r="AP521" s="1">
        <f>=COUNTIF(E521:AI521,"RT")+(COUNTIF(E521:AI521,"RT.")/2)</f>
      </c>
      <c r="AQ521" s="1">
        <f>=COUNTIF(E521:AI521,"ÇRT")+(COUNTIF(E521:AI521,"ÇRT.")/2)</f>
      </c>
      <c r="AR521" s="1">
        <f>=COUNTIF(E521:AI521,"ÇHT")</f>
      </c>
      <c r="AS521" s="1">
        <f>=COUNTIF(E521:AI521,"Ö")+COUNTIF(E521:AI521,"T")</f>
      </c>
      <c r="AT521" s="1">
        <f>=COUNTIF(E521:AI521,"Y")</f>
      </c>
      <c r="AU521" s="1">
        <f>=COUNTIF(E521:AI521,"R.")</f>
      </c>
      <c r="AV521" s="1">
        <f>=COUNTIF(E521:AI521,"Ü")</f>
      </c>
      <c r="AW521" s="1">
        <f>=COUNTIF(E521:AI521,"R")</f>
      </c>
      <c r="AX521" s="1">
        <f>=COUNTIF(E521:AI521,"DV")</f>
      </c>
      <c r="AY521" s="1">
        <f>=+AN521+AO521+AP521+AQ521+AR521+AS521+AT521+AU521</f>
      </c>
    </row>
    <row r="522" ht="16" customHeight="1" spans="1:51" x14ac:dyDescent="0.25">
      <c r="A522" s="45"/>
      <c r="B522" s="46"/>
      <c r="C522" s="46"/>
      <c r="D522" s="46" t="s">
        <v>33</v>
      </c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  <c r="AC522" s="46"/>
      <c r="AD522" s="46"/>
      <c r="AE522" s="46"/>
      <c r="AF522" s="46"/>
      <c r="AG522" s="46"/>
      <c r="AH522" s="46"/>
      <c r="AI522" s="46"/>
      <c r="AJ522" s="46"/>
      <c r="AK522" s="46"/>
      <c r="AL522" s="46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</row>
    <row r="523" ht="16" customHeight="1" spans="1:51" x14ac:dyDescent="0.25">
      <c r="A523" s="45"/>
      <c r="B523" s="46" t="s">
        <v>564</v>
      </c>
      <c r="C523" s="46" t="s">
        <v>565</v>
      </c>
      <c r="D523" s="46" t="s">
        <v>29</v>
      </c>
      <c r="E523" s="46" t="s">
        <v>153</v>
      </c>
      <c r="F523" s="46" t="s">
        <v>37</v>
      </c>
      <c r="G523" s="46" t="s">
        <v>42</v>
      </c>
      <c r="H523" s="46" t="s">
        <v>42</v>
      </c>
      <c r="I523" s="46" t="s">
        <v>42</v>
      </c>
      <c r="J523" s="46" t="s">
        <v>42</v>
      </c>
      <c r="K523" s="46" t="s">
        <v>42</v>
      </c>
      <c r="L523" s="46" t="s">
        <v>42</v>
      </c>
      <c r="M523" s="46" t="s">
        <v>37</v>
      </c>
      <c r="N523" s="46" t="s">
        <v>42</v>
      </c>
      <c r="O523" s="46" t="s">
        <v>42</v>
      </c>
      <c r="P523" s="46" t="s">
        <v>42</v>
      </c>
      <c r="Q523" s="46" t="s">
        <v>42</v>
      </c>
      <c r="R523" s="46" t="s">
        <v>42</v>
      </c>
      <c r="S523" s="46" t="s">
        <v>42</v>
      </c>
      <c r="T523" s="46" t="s">
        <v>37</v>
      </c>
      <c r="U523" s="46" t="s">
        <v>42</v>
      </c>
      <c r="V523" s="46" t="s">
        <v>42</v>
      </c>
      <c r="W523" s="46" t="s">
        <v>42</v>
      </c>
      <c r="X523" s="46" t="s">
        <v>42</v>
      </c>
      <c r="Y523" s="46" t="s">
        <v>42</v>
      </c>
      <c r="Z523" s="46" t="s">
        <v>42</v>
      </c>
      <c r="AA523" s="46" t="s">
        <v>37</v>
      </c>
      <c r="AB523" s="46" t="s">
        <v>42</v>
      </c>
      <c r="AC523" s="46" t="s">
        <v>42</v>
      </c>
      <c r="AD523" s="46" t="s">
        <v>42</v>
      </c>
      <c r="AE523" s="46" t="s">
        <v>42</v>
      </c>
      <c r="AF523" s="46" t="s">
        <v>42</v>
      </c>
      <c r="AG523" s="46" t="s">
        <v>42</v>
      </c>
      <c r="AH523" s="46" t="s">
        <v>37</v>
      </c>
      <c r="AI523" s="46" t="s">
        <v>42</v>
      </c>
      <c r="AJ523" s="46">
        <f>=SUM(E524:AI524)</f>
      </c>
      <c r="AK523" s="46">
        <f>=+AY523</f>
      </c>
      <c r="AL523" s="46"/>
      <c r="AM523" s="1"/>
      <c r="AN523" s="1">
        <f>=COUNTIF(E523:AI523,"A")+COUNTIF(E523:AI523,"B")+COUNTIF(E523:AI523,"C")+COUNTIF(E523:AI523,"D")+COUNTIF(E523:AI523,"E")+COUNTIF(E523:AI523,"F")+COUNTIF(E523:AI523,"M")+COUNTIF(E523:AI523,"AB")+COUNTIF(E523:AI523,"UZ")+COUNTIF(E523:AI523,"G")+(COUNTIF(E523:AI523,"RT.")/2)+(COUNTIF(E523:AI523,"ÇRT.")/2)</f>
      </c>
      <c r="AO523" s="1">
        <f>=COUNTIF(E523:AI523,"O")</f>
      </c>
      <c r="AP523" s="1">
        <f>=COUNTIF(E523:AI523,"RT")+(COUNTIF(E523:AI523,"RT.")/2)</f>
      </c>
      <c r="AQ523" s="1">
        <f>=COUNTIF(E523:AI523,"ÇRT")+(COUNTIF(E523:AI523,"ÇRT.")/2)</f>
      </c>
      <c r="AR523" s="1">
        <f>=COUNTIF(E523:AI523,"ÇHT")</f>
      </c>
      <c r="AS523" s="1">
        <f>=COUNTIF(E523:AI523,"Ö")+COUNTIF(E523:AI523,"T")</f>
      </c>
      <c r="AT523" s="1">
        <f>=COUNTIF(E523:AI523,"Y")</f>
      </c>
      <c r="AU523" s="1">
        <f>=COUNTIF(E523:AI523,"R.")</f>
      </c>
      <c r="AV523" s="1">
        <f>=COUNTIF(E523:AI523,"Ü")</f>
      </c>
      <c r="AW523" s="1">
        <f>=COUNTIF(E523:AI523,"R")</f>
      </c>
      <c r="AX523" s="1">
        <f>=COUNTIF(E523:AI523,"DV")</f>
      </c>
      <c r="AY523" s="1">
        <f>=+AN523+AO523+AP523+AQ523+AR523+AS523+AT523+AU523</f>
      </c>
    </row>
    <row r="524" ht="16" customHeight="1" spans="1:51" x14ac:dyDescent="0.25">
      <c r="A524" s="45"/>
      <c r="B524" s="46"/>
      <c r="C524" s="46"/>
      <c r="D524" s="46" t="s">
        <v>33</v>
      </c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  <c r="AB524" s="46"/>
      <c r="AC524" s="46"/>
      <c r="AD524" s="46"/>
      <c r="AE524" s="46"/>
      <c r="AF524" s="46"/>
      <c r="AG524" s="46"/>
      <c r="AH524" s="46"/>
      <c r="AI524" s="46"/>
      <c r="AJ524" s="46"/>
      <c r="AK524" s="46"/>
      <c r="AL524" s="46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</row>
    <row r="525" ht="16" customHeight="1" spans="1:51" x14ac:dyDescent="0.25">
      <c r="A525" s="45" t="s">
        <v>566</v>
      </c>
      <c r="B525" s="46" t="s">
        <v>567</v>
      </c>
      <c r="C525" s="46" t="s">
        <v>568</v>
      </c>
      <c r="D525" s="46" t="s">
        <v>29</v>
      </c>
      <c r="E525" s="46" t="s">
        <v>36</v>
      </c>
      <c r="F525" s="46" t="s">
        <v>36</v>
      </c>
      <c r="G525" s="46" t="s">
        <v>37</v>
      </c>
      <c r="H525" s="46" t="s">
        <v>36</v>
      </c>
      <c r="I525" s="46" t="s">
        <v>36</v>
      </c>
      <c r="J525" s="46" t="s">
        <v>36</v>
      </c>
      <c r="K525" s="46" t="s">
        <v>36</v>
      </c>
      <c r="L525" s="46" t="s">
        <v>36</v>
      </c>
      <c r="M525" s="46" t="s">
        <v>36</v>
      </c>
      <c r="N525" s="46" t="s">
        <v>37</v>
      </c>
      <c r="O525" s="46" t="s">
        <v>36</v>
      </c>
      <c r="P525" s="46" t="s">
        <v>36</v>
      </c>
      <c r="Q525" s="46" t="s">
        <v>36</v>
      </c>
      <c r="R525" s="46" t="s">
        <v>36</v>
      </c>
      <c r="S525" s="46" t="s">
        <v>36</v>
      </c>
      <c r="T525" s="46" t="s">
        <v>36</v>
      </c>
      <c r="U525" s="46" t="s">
        <v>37</v>
      </c>
      <c r="V525" s="46" t="s">
        <v>36</v>
      </c>
      <c r="W525" s="46" t="s">
        <v>36</v>
      </c>
      <c r="X525" s="46" t="s">
        <v>36</v>
      </c>
      <c r="Y525" s="46" t="s">
        <v>36</v>
      </c>
      <c r="Z525" s="46" t="s">
        <v>36</v>
      </c>
      <c r="AA525" s="46" t="s">
        <v>36</v>
      </c>
      <c r="AB525" s="46" t="s">
        <v>37</v>
      </c>
      <c r="AC525" s="46" t="s">
        <v>36</v>
      </c>
      <c r="AD525" s="46" t="s">
        <v>36</v>
      </c>
      <c r="AE525" s="46" t="s">
        <v>36</v>
      </c>
      <c r="AF525" s="46" t="s">
        <v>36</v>
      </c>
      <c r="AG525" s="46" t="s">
        <v>36</v>
      </c>
      <c r="AH525" s="46" t="s">
        <v>43</v>
      </c>
      <c r="AI525" s="46" t="s">
        <v>37</v>
      </c>
      <c r="AJ525" s="46">
        <f>=SUM(E526:AI526)</f>
      </c>
      <c r="AK525" s="46">
        <f>=+AY525</f>
      </c>
      <c r="AL525" s="46"/>
      <c r="AM525" s="1"/>
      <c r="AN525" s="1">
        <f>=COUNTIF(E525:AI525,"A")+COUNTIF(E525:AI525,"B")+COUNTIF(E525:AI525,"C")+COUNTIF(E525:AI525,"D")+COUNTIF(E525:AI525,"E")+COUNTIF(E525:AI525,"F")+COUNTIF(E525:AI525,"M")+COUNTIF(E525:AI525,"AB")+COUNTIF(E525:AI525,"UZ")+COUNTIF(E525:AI525,"G")+(COUNTIF(E525:AI525,"RT.")/2)+(COUNTIF(E525:AI525,"ÇRT.")/2)</f>
      </c>
      <c r="AO525" s="1">
        <f>=COUNTIF(E525:AI525,"O")</f>
      </c>
      <c r="AP525" s="1">
        <f>=COUNTIF(E525:AI525,"RT")+(COUNTIF(E525:AI525,"RT.")/2)</f>
      </c>
      <c r="AQ525" s="1">
        <f>=COUNTIF(E525:AI525,"ÇRT")+(COUNTIF(E525:AI525,"ÇRT.")/2)</f>
      </c>
      <c r="AR525" s="1">
        <f>=COUNTIF(E525:AI525,"ÇHT")</f>
      </c>
      <c r="AS525" s="1">
        <f>=COUNTIF(E525:AI525,"Ö")+COUNTIF(E525:AI525,"T")</f>
      </c>
      <c r="AT525" s="1">
        <f>=COUNTIF(E525:AI525,"Y")</f>
      </c>
      <c r="AU525" s="1">
        <f>=COUNTIF(E525:AI525,"R.")</f>
      </c>
      <c r="AV525" s="1">
        <f>=COUNTIF(E525:AI525,"Ü")</f>
      </c>
      <c r="AW525" s="1">
        <f>=COUNTIF(E525:AI525,"R")</f>
      </c>
      <c r="AX525" s="1">
        <f>=COUNTIF(E525:AI525,"DV")</f>
      </c>
      <c r="AY525" s="1">
        <f>=+AN525+AO525+AP525+AQ525+AR525+AS525+AT525+AU525</f>
      </c>
    </row>
    <row r="526" ht="16" customHeight="1" spans="1:51" x14ac:dyDescent="0.25">
      <c r="A526" s="45"/>
      <c r="B526" s="46"/>
      <c r="C526" s="46"/>
      <c r="D526" s="46" t="s">
        <v>33</v>
      </c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  <c r="AC526" s="46"/>
      <c r="AD526" s="46"/>
      <c r="AE526" s="46"/>
      <c r="AF526" s="46">
        <v>2</v>
      </c>
      <c r="AG526" s="46"/>
      <c r="AH526" s="46"/>
      <c r="AI526" s="46"/>
      <c r="AJ526" s="46"/>
      <c r="AK526" s="46"/>
      <c r="AL526" s="46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</row>
    <row r="527" ht="16" customHeight="1" spans="1:51" x14ac:dyDescent="0.25">
      <c r="A527" s="45"/>
      <c r="B527" s="46" t="s">
        <v>569</v>
      </c>
      <c r="C527" s="46" t="s">
        <v>570</v>
      </c>
      <c r="D527" s="46" t="s">
        <v>29</v>
      </c>
      <c r="E527" s="46" t="s">
        <v>37</v>
      </c>
      <c r="F527" s="46" t="s">
        <v>36</v>
      </c>
      <c r="G527" s="46" t="s">
        <v>36</v>
      </c>
      <c r="H527" s="46" t="s">
        <v>36</v>
      </c>
      <c r="I527" s="46" t="s">
        <v>36</v>
      </c>
      <c r="J527" s="46" t="s">
        <v>36</v>
      </c>
      <c r="K527" s="46" t="s">
        <v>36</v>
      </c>
      <c r="L527" s="46" t="s">
        <v>37</v>
      </c>
      <c r="M527" s="46" t="s">
        <v>153</v>
      </c>
      <c r="N527" s="46" t="s">
        <v>36</v>
      </c>
      <c r="O527" s="46" t="s">
        <v>36</v>
      </c>
      <c r="P527" s="46" t="s">
        <v>36</v>
      </c>
      <c r="Q527" s="46" t="s">
        <v>36</v>
      </c>
      <c r="R527" s="46" t="s">
        <v>36</v>
      </c>
      <c r="S527" s="46" t="s">
        <v>37</v>
      </c>
      <c r="T527" s="46" t="s">
        <v>36</v>
      </c>
      <c r="U527" s="46" t="s">
        <v>36</v>
      </c>
      <c r="V527" s="46" t="s">
        <v>36</v>
      </c>
      <c r="W527" s="46" t="s">
        <v>36</v>
      </c>
      <c r="X527" s="46" t="s">
        <v>36</v>
      </c>
      <c r="Y527" s="46" t="s">
        <v>37</v>
      </c>
      <c r="Z527" s="46" t="s">
        <v>30</v>
      </c>
      <c r="AA527" s="46" t="s">
        <v>30</v>
      </c>
      <c r="AB527" s="46" t="s">
        <v>30</v>
      </c>
      <c r="AC527" s="46" t="s">
        <v>30</v>
      </c>
      <c r="AD527" s="46" t="s">
        <v>30</v>
      </c>
      <c r="AE527" s="46" t="s">
        <v>30</v>
      </c>
      <c r="AF527" s="46" t="s">
        <v>30</v>
      </c>
      <c r="AG527" s="46" t="s">
        <v>37</v>
      </c>
      <c r="AH527" s="46" t="s">
        <v>43</v>
      </c>
      <c r="AI527" s="46" t="s">
        <v>30</v>
      </c>
      <c r="AJ527" s="46">
        <f>=SUM(E528:AI528)</f>
      </c>
      <c r="AK527" s="46">
        <f>=+AY527</f>
      </c>
      <c r="AL527" s="46"/>
      <c r="AM527" s="1"/>
      <c r="AN527" s="1">
        <f>=COUNTIF(E527:AI527,"A")+COUNTIF(E527:AI527,"B")+COUNTIF(E527:AI527,"C")+COUNTIF(E527:AI527,"D")+COUNTIF(E527:AI527,"E")+COUNTIF(E527:AI527,"F")+COUNTIF(E527:AI527,"M")+COUNTIF(E527:AI527,"AB")+COUNTIF(E527:AI527,"UZ")+COUNTIF(E527:AI527,"G")+(COUNTIF(E527:AI527,"RT.")/2)+(COUNTIF(E527:AI527,"ÇRT.")/2)</f>
      </c>
      <c r="AO527" s="1">
        <f>=COUNTIF(E527:AI527,"O")</f>
      </c>
      <c r="AP527" s="1">
        <f>=COUNTIF(E527:AI527,"RT")+(COUNTIF(E527:AI527,"RT.")/2)</f>
      </c>
      <c r="AQ527" s="1">
        <f>=COUNTIF(E527:AI527,"ÇRT")+(COUNTIF(E527:AI527,"ÇRT.")/2)</f>
      </c>
      <c r="AR527" s="1">
        <f>=COUNTIF(E527:AI527,"ÇHT")</f>
      </c>
      <c r="AS527" s="1">
        <f>=COUNTIF(E527:AI527,"Ö")+COUNTIF(E527:AI527,"T")</f>
      </c>
      <c r="AT527" s="1">
        <f>=COUNTIF(E527:AI527,"Y")</f>
      </c>
      <c r="AU527" s="1">
        <f>=COUNTIF(E527:AI527,"R.")</f>
      </c>
      <c r="AV527" s="1">
        <f>=COUNTIF(E527:AI527,"Ü")</f>
      </c>
      <c r="AW527" s="1">
        <f>=COUNTIF(E527:AI527,"R")</f>
      </c>
      <c r="AX527" s="1">
        <f>=COUNTIF(E527:AI527,"DV")</f>
      </c>
      <c r="AY527" s="1">
        <f>=+AN527+AO527+AP527+AQ527+AR527+AS527+AT527+AU527</f>
      </c>
    </row>
    <row r="528" ht="16" customHeight="1" spans="1:51" x14ac:dyDescent="0.25">
      <c r="A528" s="45"/>
      <c r="B528" s="46"/>
      <c r="C528" s="46"/>
      <c r="D528" s="46" t="s">
        <v>33</v>
      </c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  <c r="AB528" s="46"/>
      <c r="AC528" s="46"/>
      <c r="AD528" s="46"/>
      <c r="AE528" s="46"/>
      <c r="AF528" s="46"/>
      <c r="AG528" s="46"/>
      <c r="AH528" s="46"/>
      <c r="AI528" s="46"/>
      <c r="AJ528" s="46"/>
      <c r="AK528" s="46"/>
      <c r="AL528" s="46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</row>
    <row r="529" ht="16" customHeight="1" spans="1:51" x14ac:dyDescent="0.25">
      <c r="A529" s="45"/>
      <c r="B529" s="46" t="s">
        <v>571</v>
      </c>
      <c r="C529" s="46" t="s">
        <v>572</v>
      </c>
      <c r="D529" s="46" t="s">
        <v>29</v>
      </c>
      <c r="E529" s="46" t="s">
        <v>36</v>
      </c>
      <c r="F529" s="46" t="s">
        <v>36</v>
      </c>
      <c r="G529" s="46" t="s">
        <v>36</v>
      </c>
      <c r="H529" s="46" t="s">
        <v>36</v>
      </c>
      <c r="I529" s="46" t="s">
        <v>37</v>
      </c>
      <c r="J529" s="46" t="s">
        <v>36</v>
      </c>
      <c r="K529" s="46" t="s">
        <v>36</v>
      </c>
      <c r="L529" s="46" t="s">
        <v>36</v>
      </c>
      <c r="M529" s="46" t="s">
        <v>36</v>
      </c>
      <c r="N529" s="46" t="s">
        <v>36</v>
      </c>
      <c r="O529" s="46" t="s">
        <v>36</v>
      </c>
      <c r="P529" s="46" t="s">
        <v>37</v>
      </c>
      <c r="Q529" s="46" t="s">
        <v>36</v>
      </c>
      <c r="R529" s="46" t="s">
        <v>36</v>
      </c>
      <c r="S529" s="46" t="s">
        <v>36</v>
      </c>
      <c r="T529" s="46" t="s">
        <v>36</v>
      </c>
      <c r="U529" s="46" t="s">
        <v>36</v>
      </c>
      <c r="V529" s="46" t="s">
        <v>36</v>
      </c>
      <c r="W529" s="46" t="s">
        <v>37</v>
      </c>
      <c r="X529" s="46" t="s">
        <v>36</v>
      </c>
      <c r="Y529" s="46" t="s">
        <v>36</v>
      </c>
      <c r="Z529" s="46" t="s">
        <v>36</v>
      </c>
      <c r="AA529" s="46" t="s">
        <v>36</v>
      </c>
      <c r="AB529" s="46" t="s">
        <v>36</v>
      </c>
      <c r="AC529" s="46" t="s">
        <v>36</v>
      </c>
      <c r="AD529" s="46" t="s">
        <v>37</v>
      </c>
      <c r="AE529" s="46" t="s">
        <v>36</v>
      </c>
      <c r="AF529" s="46" t="s">
        <v>36</v>
      </c>
      <c r="AG529" s="46" t="s">
        <v>36</v>
      </c>
      <c r="AH529" s="46" t="s">
        <v>43</v>
      </c>
      <c r="AI529" s="46" t="s">
        <v>36</v>
      </c>
      <c r="AJ529" s="46">
        <f>=SUM(E530:AI530)</f>
      </c>
      <c r="AK529" s="46">
        <f>=+AY529</f>
      </c>
      <c r="AL529" s="46"/>
      <c r="AM529" s="1"/>
      <c r="AN529" s="1">
        <f>=COUNTIF(E529:AI529,"A")+COUNTIF(E529:AI529,"B")+COUNTIF(E529:AI529,"C")+COUNTIF(E529:AI529,"D")+COUNTIF(E529:AI529,"E")+COUNTIF(E529:AI529,"F")+COUNTIF(E529:AI529,"M")+COUNTIF(E529:AI529,"AB")+COUNTIF(E529:AI529,"UZ")+COUNTIF(E529:AI529,"G")+(COUNTIF(E529:AI529,"RT.")/2)+(COUNTIF(E529:AI529,"ÇRT.")/2)</f>
      </c>
      <c r="AO529" s="1">
        <f>=COUNTIF(E529:AI529,"O")</f>
      </c>
      <c r="AP529" s="1">
        <f>=COUNTIF(E529:AI529,"RT")+(COUNTIF(E529:AI529,"RT.")/2)</f>
      </c>
      <c r="AQ529" s="1">
        <f>=COUNTIF(E529:AI529,"ÇRT")+(COUNTIF(E529:AI529,"ÇRT.")/2)</f>
      </c>
      <c r="AR529" s="1">
        <f>=COUNTIF(E529:AI529,"ÇHT")</f>
      </c>
      <c r="AS529" s="1">
        <f>=COUNTIF(E529:AI529,"Ö")+COUNTIF(E529:AI529,"T")</f>
      </c>
      <c r="AT529" s="1">
        <f>=COUNTIF(E529:AI529,"Y")</f>
      </c>
      <c r="AU529" s="1">
        <f>=COUNTIF(E529:AI529,"R.")</f>
      </c>
      <c r="AV529" s="1">
        <f>=COUNTIF(E529:AI529,"Ü")</f>
      </c>
      <c r="AW529" s="1">
        <f>=COUNTIF(E529:AI529,"R")</f>
      </c>
      <c r="AX529" s="1">
        <f>=COUNTIF(E529:AI529,"DV")</f>
      </c>
      <c r="AY529" s="1">
        <f>=+AN529+AO529+AP529+AQ529+AR529+AS529+AT529+AU529</f>
      </c>
    </row>
    <row r="530" ht="16" customHeight="1" spans="1:51" x14ac:dyDescent="0.25">
      <c r="A530" s="45"/>
      <c r="B530" s="46"/>
      <c r="C530" s="46"/>
      <c r="D530" s="46" t="s">
        <v>33</v>
      </c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  <c r="AC530" s="46"/>
      <c r="AD530" s="46"/>
      <c r="AE530" s="46"/>
      <c r="AF530" s="46"/>
      <c r="AG530" s="46"/>
      <c r="AH530" s="46"/>
      <c r="AI530" s="46"/>
      <c r="AJ530" s="46"/>
      <c r="AK530" s="46"/>
      <c r="AL530" s="46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</row>
    <row r="531" ht="16" customHeight="1" spans="1:51" x14ac:dyDescent="0.25">
      <c r="A531" s="45"/>
      <c r="B531" s="46" t="s">
        <v>573</v>
      </c>
      <c r="C531" s="46" t="s">
        <v>574</v>
      </c>
      <c r="D531" s="46" t="s">
        <v>29</v>
      </c>
      <c r="E531" s="46" t="s">
        <v>36</v>
      </c>
      <c r="F531" s="46" t="s">
        <v>36</v>
      </c>
      <c r="G531" s="46" t="s">
        <v>37</v>
      </c>
      <c r="H531" s="46" t="s">
        <v>36</v>
      </c>
      <c r="I531" s="46" t="s">
        <v>36</v>
      </c>
      <c r="J531" s="46" t="s">
        <v>36</v>
      </c>
      <c r="K531" s="46" t="s">
        <v>36</v>
      </c>
      <c r="L531" s="46" t="s">
        <v>36</v>
      </c>
      <c r="M531" s="46" t="s">
        <v>36</v>
      </c>
      <c r="N531" s="46" t="s">
        <v>37</v>
      </c>
      <c r="O531" s="46" t="s">
        <v>36</v>
      </c>
      <c r="P531" s="46" t="s">
        <v>36</v>
      </c>
      <c r="Q531" s="46" t="s">
        <v>36</v>
      </c>
      <c r="R531" s="46" t="s">
        <v>36</v>
      </c>
      <c r="S531" s="46" t="s">
        <v>36</v>
      </c>
      <c r="T531" s="46" t="s">
        <v>36</v>
      </c>
      <c r="U531" s="46" t="s">
        <v>36</v>
      </c>
      <c r="V531" s="46" t="s">
        <v>37</v>
      </c>
      <c r="W531" s="46" t="s">
        <v>36</v>
      </c>
      <c r="X531" s="46" t="s">
        <v>36</v>
      </c>
      <c r="Y531" s="46" t="s">
        <v>36</v>
      </c>
      <c r="Z531" s="46" t="s">
        <v>36</v>
      </c>
      <c r="AA531" s="46" t="s">
        <v>36</v>
      </c>
      <c r="AB531" s="46" t="s">
        <v>37</v>
      </c>
      <c r="AC531" s="46" t="s">
        <v>36</v>
      </c>
      <c r="AD531" s="46" t="s">
        <v>36</v>
      </c>
      <c r="AE531" s="46" t="s">
        <v>36</v>
      </c>
      <c r="AF531" s="46" t="s">
        <v>36</v>
      </c>
      <c r="AG531" s="46" t="s">
        <v>46</v>
      </c>
      <c r="AH531" s="46" t="s">
        <v>43</v>
      </c>
      <c r="AI531" s="46" t="s">
        <v>37</v>
      </c>
      <c r="AJ531" s="46">
        <f>=SUM(E532:AI532)</f>
      </c>
      <c r="AK531" s="46">
        <f>=+AY531</f>
      </c>
      <c r="AL531" s="46"/>
      <c r="AM531" s="1"/>
      <c r="AN531" s="1">
        <f>=COUNTIF(E531:AI531,"A")+COUNTIF(E531:AI531,"B")+COUNTIF(E531:AI531,"C")+COUNTIF(E531:AI531,"D")+COUNTIF(E531:AI531,"E")+COUNTIF(E531:AI531,"F")+COUNTIF(E531:AI531,"M")+COUNTIF(E531:AI531,"AB")+COUNTIF(E531:AI531,"UZ")+COUNTIF(E531:AI531,"G")+(COUNTIF(E531:AI531,"RT.")/2)+(COUNTIF(E531:AI531,"ÇRT.")/2)</f>
      </c>
      <c r="AO531" s="1">
        <f>=COUNTIF(E531:AI531,"O")</f>
      </c>
      <c r="AP531" s="1">
        <f>=COUNTIF(E531:AI531,"RT")+(COUNTIF(E531:AI531,"RT.")/2)</f>
      </c>
      <c r="AQ531" s="1">
        <f>=COUNTIF(E531:AI531,"ÇRT")+(COUNTIF(E531:AI531,"ÇRT.")/2)</f>
      </c>
      <c r="AR531" s="1">
        <f>=COUNTIF(E531:AI531,"ÇHT")</f>
      </c>
      <c r="AS531" s="1">
        <f>=COUNTIF(E531:AI531,"Ö")+COUNTIF(E531:AI531,"T")</f>
      </c>
      <c r="AT531" s="1">
        <f>=COUNTIF(E531:AI531,"Y")</f>
      </c>
      <c r="AU531" s="1">
        <f>=COUNTIF(E531:AI531,"R.")</f>
      </c>
      <c r="AV531" s="1">
        <f>=COUNTIF(E531:AI531,"Ü")</f>
      </c>
      <c r="AW531" s="1">
        <f>=COUNTIF(E531:AI531,"R")</f>
      </c>
      <c r="AX531" s="1">
        <f>=COUNTIF(E531:AI531,"DV")</f>
      </c>
      <c r="AY531" s="1">
        <f>=+AN531+AO531+AP531+AQ531+AR531+AS531+AT531+AU531</f>
      </c>
    </row>
    <row r="532" ht="16" customHeight="1" spans="1:51" x14ac:dyDescent="0.25">
      <c r="A532" s="45"/>
      <c r="B532" s="46"/>
      <c r="C532" s="46"/>
      <c r="D532" s="46" t="s">
        <v>33</v>
      </c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  <c r="AC532" s="46"/>
      <c r="AD532" s="46"/>
      <c r="AE532" s="46"/>
      <c r="AF532" s="46">
        <v>2</v>
      </c>
      <c r="AG532" s="46">
        <v>1</v>
      </c>
      <c r="AH532" s="46"/>
      <c r="AI532" s="46"/>
      <c r="AJ532" s="46"/>
      <c r="AK532" s="46"/>
      <c r="AL532" s="46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</row>
    <row r="533" ht="16" customHeight="1" spans="1:51" x14ac:dyDescent="0.25">
      <c r="A533" s="45"/>
      <c r="B533" s="46" t="s">
        <v>575</v>
      </c>
      <c r="C533" s="46" t="s">
        <v>576</v>
      </c>
      <c r="D533" s="46" t="s">
        <v>29</v>
      </c>
      <c r="E533" s="46" t="s">
        <v>37</v>
      </c>
      <c r="F533" s="46" t="s">
        <v>46</v>
      </c>
      <c r="G533" s="46" t="s">
        <v>46</v>
      </c>
      <c r="H533" s="46" t="s">
        <v>46</v>
      </c>
      <c r="I533" s="46" t="s">
        <v>46</v>
      </c>
      <c r="J533" s="46" t="s">
        <v>46</v>
      </c>
      <c r="K533" s="46" t="s">
        <v>46</v>
      </c>
      <c r="L533" s="46" t="s">
        <v>36</v>
      </c>
      <c r="M533" s="46" t="s">
        <v>37</v>
      </c>
      <c r="N533" s="46" t="s">
        <v>36</v>
      </c>
      <c r="O533" s="46" t="s">
        <v>46</v>
      </c>
      <c r="P533" s="46" t="s">
        <v>46</v>
      </c>
      <c r="Q533" s="46" t="s">
        <v>46</v>
      </c>
      <c r="R533" s="46" t="s">
        <v>46</v>
      </c>
      <c r="S533" s="46" t="s">
        <v>46</v>
      </c>
      <c r="T533" s="46" t="s">
        <v>37</v>
      </c>
      <c r="U533" s="46" t="s">
        <v>46</v>
      </c>
      <c r="V533" s="46" t="s">
        <v>46</v>
      </c>
      <c r="W533" s="46" t="s">
        <v>46</v>
      </c>
      <c r="X533" s="46" t="s">
        <v>46</v>
      </c>
      <c r="Y533" s="46" t="s">
        <v>46</v>
      </c>
      <c r="Z533" s="46" t="s">
        <v>46</v>
      </c>
      <c r="AA533" s="46" t="s">
        <v>46</v>
      </c>
      <c r="AB533" s="46" t="s">
        <v>37</v>
      </c>
      <c r="AC533" s="46" t="s">
        <v>46</v>
      </c>
      <c r="AD533" s="46" t="s">
        <v>36</v>
      </c>
      <c r="AE533" s="46" t="s">
        <v>36</v>
      </c>
      <c r="AF533" s="46" t="s">
        <v>36</v>
      </c>
      <c r="AG533" s="46" t="s">
        <v>36</v>
      </c>
      <c r="AH533" s="46" t="s">
        <v>222</v>
      </c>
      <c r="AI533" s="46" t="s">
        <v>36</v>
      </c>
      <c r="AJ533" s="46">
        <f>=SUM(E534:AI534)</f>
      </c>
      <c r="AK533" s="46">
        <f>=+AY533</f>
      </c>
      <c r="AL533" s="46"/>
      <c r="AM533" s="1"/>
      <c r="AN533" s="1">
        <f>=COUNTIF(E533:AI533,"A")+COUNTIF(E533:AI533,"B")+COUNTIF(E533:AI533,"C")+COUNTIF(E533:AI533,"D")+COUNTIF(E533:AI533,"E")+COUNTIF(E533:AI533,"F")+COUNTIF(E533:AI533,"M")+COUNTIF(E533:AI533,"AB")+COUNTIF(E533:AI533,"UZ")+COUNTIF(E533:AI533,"G")+(COUNTIF(E533:AI533,"RT.")/2)+(COUNTIF(E533:AI533,"ÇRT.")/2)</f>
      </c>
      <c r="AO533" s="1">
        <f>=COUNTIF(E533:AI533,"O")</f>
      </c>
      <c r="AP533" s="1">
        <f>=COUNTIF(E533:AI533,"RT")+(COUNTIF(E533:AI533,"RT.")/2)</f>
      </c>
      <c r="AQ533" s="1">
        <f>=COUNTIF(E533:AI533,"ÇRT")+(COUNTIF(E533:AI533,"ÇRT.")/2)</f>
      </c>
      <c r="AR533" s="1">
        <f>=COUNTIF(E533:AI533,"ÇHT")</f>
      </c>
      <c r="AS533" s="1">
        <f>=COUNTIF(E533:AI533,"Ö")+COUNTIF(E533:AI533,"T")</f>
      </c>
      <c r="AT533" s="1">
        <f>=COUNTIF(E533:AI533,"Y")</f>
      </c>
      <c r="AU533" s="1">
        <f>=COUNTIF(E533:AI533,"R.")</f>
      </c>
      <c r="AV533" s="1">
        <f>=COUNTIF(E533:AI533,"Ü")</f>
      </c>
      <c r="AW533" s="1">
        <f>=COUNTIF(E533:AI533,"R")</f>
      </c>
      <c r="AX533" s="1">
        <f>=COUNTIF(E533:AI533,"DV")</f>
      </c>
      <c r="AY533" s="1">
        <f>=+AN533+AO533+AP533+AQ533+AR533+AS533+AT533+AU533</f>
      </c>
    </row>
    <row r="534" ht="16" customHeight="1" spans="1:51" x14ac:dyDescent="0.25">
      <c r="A534" s="45"/>
      <c r="B534" s="46"/>
      <c r="C534" s="46"/>
      <c r="D534" s="46" t="s">
        <v>33</v>
      </c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  <c r="AC534" s="46"/>
      <c r="AD534" s="46"/>
      <c r="AE534" s="46"/>
      <c r="AF534" s="46"/>
      <c r="AG534" s="46"/>
      <c r="AH534" s="46"/>
      <c r="AI534" s="46"/>
      <c r="AJ534" s="46"/>
      <c r="AK534" s="46"/>
      <c r="AL534" s="46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</row>
    <row r="535" ht="16" customHeight="1" spans="1:51" x14ac:dyDescent="0.25">
      <c r="A535" s="45"/>
      <c r="B535" s="46" t="s">
        <v>577</v>
      </c>
      <c r="C535" s="46" t="s">
        <v>578</v>
      </c>
      <c r="D535" s="46" t="s">
        <v>29</v>
      </c>
      <c r="E535" s="46" t="s">
        <v>36</v>
      </c>
      <c r="F535" s="46" t="s">
        <v>36</v>
      </c>
      <c r="G535" s="46" t="s">
        <v>36</v>
      </c>
      <c r="H535" s="46" t="s">
        <v>36</v>
      </c>
      <c r="I535" s="46" t="s">
        <v>37</v>
      </c>
      <c r="J535" s="46" t="s">
        <v>36</v>
      </c>
      <c r="K535" s="46" t="s">
        <v>36</v>
      </c>
      <c r="L535" s="46" t="s">
        <v>36</v>
      </c>
      <c r="M535" s="46" t="s">
        <v>36</v>
      </c>
      <c r="N535" s="46" t="s">
        <v>36</v>
      </c>
      <c r="O535" s="46" t="s">
        <v>36</v>
      </c>
      <c r="P535" s="46" t="s">
        <v>37</v>
      </c>
      <c r="Q535" s="46" t="s">
        <v>36</v>
      </c>
      <c r="R535" s="46" t="s">
        <v>36</v>
      </c>
      <c r="S535" s="46" t="s">
        <v>36</v>
      </c>
      <c r="T535" s="46" t="s">
        <v>36</v>
      </c>
      <c r="U535" s="46" t="s">
        <v>36</v>
      </c>
      <c r="V535" s="46" t="s">
        <v>36</v>
      </c>
      <c r="W535" s="46" t="s">
        <v>37</v>
      </c>
      <c r="X535" s="46" t="s">
        <v>36</v>
      </c>
      <c r="Y535" s="46" t="s">
        <v>31</v>
      </c>
      <c r="Z535" s="46" t="s">
        <v>31</v>
      </c>
      <c r="AA535" s="46" t="s">
        <v>36</v>
      </c>
      <c r="AB535" s="46" t="s">
        <v>36</v>
      </c>
      <c r="AC535" s="46" t="s">
        <v>36</v>
      </c>
      <c r="AD535" s="46" t="s">
        <v>37</v>
      </c>
      <c r="AE535" s="46" t="s">
        <v>36</v>
      </c>
      <c r="AF535" s="46" t="s">
        <v>36</v>
      </c>
      <c r="AG535" s="46" t="s">
        <v>36</v>
      </c>
      <c r="AH535" s="46" t="s">
        <v>43</v>
      </c>
      <c r="AI535" s="46" t="s">
        <v>36</v>
      </c>
      <c r="AJ535" s="46">
        <f>=SUM(E536:AI536)</f>
      </c>
      <c r="AK535" s="46">
        <f>=+AY535</f>
      </c>
      <c r="AL535" s="46"/>
      <c r="AM535" s="1"/>
      <c r="AN535" s="1">
        <f>=COUNTIF(E535:AI535,"A")+COUNTIF(E535:AI535,"B")+COUNTIF(E535:AI535,"C")+COUNTIF(E535:AI535,"D")+COUNTIF(E535:AI535,"E")+COUNTIF(E535:AI535,"F")+COUNTIF(E535:AI535,"M")+COUNTIF(E535:AI535,"AB")+COUNTIF(E535:AI535,"UZ")+COUNTIF(E535:AI535,"G")+(COUNTIF(E535:AI535,"RT.")/2)+(COUNTIF(E535:AI535,"ÇRT.")/2)</f>
      </c>
      <c r="AO535" s="1">
        <f>=COUNTIF(E535:AI535,"O")</f>
      </c>
      <c r="AP535" s="1">
        <f>=COUNTIF(E535:AI535,"RT")+(COUNTIF(E535:AI535,"RT.")/2)</f>
      </c>
      <c r="AQ535" s="1">
        <f>=COUNTIF(E535:AI535,"ÇRT")+(COUNTIF(E535:AI535,"ÇRT.")/2)</f>
      </c>
      <c r="AR535" s="1">
        <f>=COUNTIF(E535:AI535,"ÇHT")</f>
      </c>
      <c r="AS535" s="1">
        <f>=COUNTIF(E535:AI535,"Ö")+COUNTIF(E535:AI535,"T")</f>
      </c>
      <c r="AT535" s="1">
        <f>=COUNTIF(E535:AI535,"Y")</f>
      </c>
      <c r="AU535" s="1">
        <f>=COUNTIF(E535:AI535,"R.")</f>
      </c>
      <c r="AV535" s="1">
        <f>=COUNTIF(E535:AI535,"Ü")</f>
      </c>
      <c r="AW535" s="1">
        <f>=COUNTIF(E535:AI535,"R")</f>
      </c>
      <c r="AX535" s="1">
        <f>=COUNTIF(E535:AI535,"DV")</f>
      </c>
      <c r="AY535" s="1">
        <f>=+AN535+AO535+AP535+AQ535+AR535+AS535+AT535+AU535</f>
      </c>
    </row>
    <row r="536" ht="16" customHeight="1" spans="1:51" x14ac:dyDescent="0.25">
      <c r="A536" s="45"/>
      <c r="B536" s="46"/>
      <c r="C536" s="46"/>
      <c r="D536" s="46" t="s">
        <v>33</v>
      </c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  <c r="AC536" s="46"/>
      <c r="AD536" s="46"/>
      <c r="AE536" s="46"/>
      <c r="AF536" s="46"/>
      <c r="AG536" s="46">
        <v>3</v>
      </c>
      <c r="AH536" s="46">
        <v>2</v>
      </c>
      <c r="AI536" s="46"/>
      <c r="AJ536" s="46"/>
      <c r="AK536" s="46"/>
      <c r="AL536" s="46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</row>
    <row r="537" ht="16" customHeight="1" spans="1:51" x14ac:dyDescent="0.25">
      <c r="A537" s="45"/>
      <c r="B537" s="46" t="s">
        <v>579</v>
      </c>
      <c r="C537" s="46" t="s">
        <v>580</v>
      </c>
      <c r="D537" s="46" t="s">
        <v>29</v>
      </c>
      <c r="E537" s="46" t="s">
        <v>59</v>
      </c>
      <c r="F537" s="46" t="s">
        <v>59</v>
      </c>
      <c r="G537" s="46" t="s">
        <v>59</v>
      </c>
      <c r="H537" s="46" t="s">
        <v>59</v>
      </c>
      <c r="I537" s="46" t="s">
        <v>59</v>
      </c>
      <c r="J537" s="46" t="s">
        <v>37</v>
      </c>
      <c r="K537" s="46" t="s">
        <v>59</v>
      </c>
      <c r="L537" s="46" t="s">
        <v>59</v>
      </c>
      <c r="M537" s="46" t="s">
        <v>59</v>
      </c>
      <c r="N537" s="46" t="s">
        <v>59</v>
      </c>
      <c r="O537" s="46" t="s">
        <v>59</v>
      </c>
      <c r="P537" s="46" t="s">
        <v>59</v>
      </c>
      <c r="Q537" s="46" t="s">
        <v>37</v>
      </c>
      <c r="R537" s="46" t="s">
        <v>59</v>
      </c>
      <c r="S537" s="46" t="s">
        <v>59</v>
      </c>
      <c r="T537" s="46" t="s">
        <v>59</v>
      </c>
      <c r="U537" s="46" t="s">
        <v>59</v>
      </c>
      <c r="V537" s="46" t="s">
        <v>59</v>
      </c>
      <c r="W537" s="46" t="s">
        <v>59</v>
      </c>
      <c r="X537" s="46" t="s">
        <v>37</v>
      </c>
      <c r="Y537" s="46" t="s">
        <v>59</v>
      </c>
      <c r="Z537" s="46" t="s">
        <v>59</v>
      </c>
      <c r="AA537" s="46" t="s">
        <v>59</v>
      </c>
      <c r="AB537" s="46" t="s">
        <v>59</v>
      </c>
      <c r="AC537" s="46" t="s">
        <v>59</v>
      </c>
      <c r="AD537" s="46" t="s">
        <v>59</v>
      </c>
      <c r="AE537" s="46" t="s">
        <v>59</v>
      </c>
      <c r="AF537" s="46" t="s">
        <v>37</v>
      </c>
      <c r="AG537" s="46" t="s">
        <v>59</v>
      </c>
      <c r="AH537" s="46" t="s">
        <v>43</v>
      </c>
      <c r="AI537" s="46" t="s">
        <v>59</v>
      </c>
      <c r="AJ537" s="46">
        <f>=SUM(E538:AI538)</f>
      </c>
      <c r="AK537" s="46">
        <f>=+AY537</f>
      </c>
      <c r="AL537" s="46"/>
      <c r="AM537" s="1"/>
      <c r="AN537" s="1">
        <f>=COUNTIF(E537:AI537,"A")+COUNTIF(E537:AI537,"B")+COUNTIF(E537:AI537,"C")+COUNTIF(E537:AI537,"D")+COUNTIF(E537:AI537,"E")+COUNTIF(E537:AI537,"F")+COUNTIF(E537:AI537,"M")+COUNTIF(E537:AI537,"AB")+COUNTIF(E537:AI537,"UZ")+COUNTIF(E537:AI537,"G")+(COUNTIF(E537:AI537,"RT.")/2)+(COUNTIF(E537:AI537,"ÇRT.")/2)</f>
      </c>
      <c r="AO537" s="1">
        <f>=COUNTIF(E537:AI537,"O")</f>
      </c>
      <c r="AP537" s="1">
        <f>=COUNTIF(E537:AI537,"RT")+(COUNTIF(E537:AI537,"RT.")/2)</f>
      </c>
      <c r="AQ537" s="1">
        <f>=COUNTIF(E537:AI537,"ÇRT")+(COUNTIF(E537:AI537,"ÇRT.")/2)</f>
      </c>
      <c r="AR537" s="1">
        <f>=COUNTIF(E537:AI537,"ÇHT")</f>
      </c>
      <c r="AS537" s="1">
        <f>=COUNTIF(E537:AI537,"Ö")+COUNTIF(E537:AI537,"T")</f>
      </c>
      <c r="AT537" s="1">
        <f>=COUNTIF(E537:AI537,"Y")</f>
      </c>
      <c r="AU537" s="1">
        <f>=COUNTIF(E537:AI537,"R.")</f>
      </c>
      <c r="AV537" s="1">
        <f>=COUNTIF(E537:AI537,"Ü")</f>
      </c>
      <c r="AW537" s="1">
        <f>=COUNTIF(E537:AI537,"R")</f>
      </c>
      <c r="AX537" s="1">
        <f>=COUNTIF(E537:AI537,"DV")</f>
      </c>
      <c r="AY537" s="1">
        <f>=+AN537+AO537+AP537+AQ537+AR537+AS537+AT537+AU537</f>
      </c>
    </row>
    <row r="538" ht="16" customHeight="1" spans="1:51" x14ac:dyDescent="0.25">
      <c r="A538" s="45"/>
      <c r="B538" s="46"/>
      <c r="C538" s="46"/>
      <c r="D538" s="46" t="s">
        <v>33</v>
      </c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  <c r="AC538" s="46"/>
      <c r="AD538" s="46"/>
      <c r="AE538" s="46"/>
      <c r="AF538" s="46"/>
      <c r="AG538" s="46"/>
      <c r="AH538" s="46"/>
      <c r="AI538" s="46"/>
      <c r="AJ538" s="46"/>
      <c r="AK538" s="46"/>
      <c r="AL538" s="46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</row>
    <row r="539" ht="16" customHeight="1" spans="1:51" x14ac:dyDescent="0.25">
      <c r="A539" s="45"/>
      <c r="B539" s="46" t="s">
        <v>581</v>
      </c>
      <c r="C539" s="46" t="s">
        <v>582</v>
      </c>
      <c r="D539" s="46" t="s">
        <v>29</v>
      </c>
      <c r="E539" s="46" t="s">
        <v>36</v>
      </c>
      <c r="F539" s="46" t="s">
        <v>36</v>
      </c>
      <c r="G539" s="46" t="s">
        <v>36</v>
      </c>
      <c r="H539" s="46" t="s">
        <v>37</v>
      </c>
      <c r="I539" s="46" t="s">
        <v>38</v>
      </c>
      <c r="J539" s="46" t="s">
        <v>38</v>
      </c>
      <c r="K539" s="46" t="s">
        <v>38</v>
      </c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  <c r="AC539" s="46"/>
      <c r="AD539" s="46"/>
      <c r="AE539" s="46"/>
      <c r="AF539" s="46"/>
      <c r="AG539" s="46"/>
      <c r="AH539" s="46"/>
      <c r="AI539" s="46"/>
      <c r="AJ539" s="46">
        <f>=SUM(E540:AI540)</f>
      </c>
      <c r="AK539" s="46">
        <f>=+AY539</f>
      </c>
      <c r="AL539" s="46"/>
      <c r="AM539" s="1"/>
      <c r="AN539" s="1">
        <f>=COUNTIF(E539:AI539,"A")+COUNTIF(E539:AI539,"B")+COUNTIF(E539:AI539,"C")+COUNTIF(E539:AI539,"D")+COUNTIF(E539:AI539,"E")+COUNTIF(E539:AI539,"F")+COUNTIF(E539:AI539,"M")+COUNTIF(E539:AI539,"AB")+COUNTIF(E539:AI539,"UZ")+COUNTIF(E539:AI539,"G")+(COUNTIF(E539:AI539,"RT.")/2)+(COUNTIF(E539:AI539,"ÇRT.")/2)</f>
      </c>
      <c r="AO539" s="1">
        <f>=COUNTIF(E539:AI539,"O")</f>
      </c>
      <c r="AP539" s="1">
        <f>=COUNTIF(E539:AI539,"RT")+(COUNTIF(E539:AI539,"RT.")/2)</f>
      </c>
      <c r="AQ539" s="1">
        <f>=COUNTIF(E539:AI539,"ÇRT")+(COUNTIF(E539:AI539,"ÇRT.")/2)</f>
      </c>
      <c r="AR539" s="1">
        <f>=COUNTIF(E539:AI539,"ÇHT")</f>
      </c>
      <c r="AS539" s="1">
        <f>=COUNTIF(E539:AI539,"Ö")+COUNTIF(E539:AI539,"T")</f>
      </c>
      <c r="AT539" s="1">
        <f>=COUNTIF(E539:AI539,"Y")</f>
      </c>
      <c r="AU539" s="1">
        <f>=COUNTIF(E539:AI539,"R.")</f>
      </c>
      <c r="AV539" s="1">
        <f>=COUNTIF(E539:AI539,"Ü")</f>
      </c>
      <c r="AW539" s="1">
        <f>=COUNTIF(E539:AI539,"R")</f>
      </c>
      <c r="AX539" s="1">
        <f>=COUNTIF(E539:AI539,"DV")</f>
      </c>
      <c r="AY539" s="1">
        <f>=+AN539+AO539+AP539+AQ539+AR539+AS539+AT539+AU539</f>
      </c>
    </row>
    <row r="540" ht="16" customHeight="1" spans="1:51" x14ac:dyDescent="0.25">
      <c r="A540" s="45"/>
      <c r="B540" s="46"/>
      <c r="C540" s="46"/>
      <c r="D540" s="46" t="s">
        <v>33</v>
      </c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  <c r="AC540" s="46"/>
      <c r="AD540" s="46"/>
      <c r="AE540" s="46"/>
      <c r="AF540" s="46"/>
      <c r="AG540" s="46"/>
      <c r="AH540" s="46"/>
      <c r="AI540" s="46"/>
      <c r="AJ540" s="46"/>
      <c r="AK540" s="46"/>
      <c r="AL540" s="46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</row>
    <row r="541" ht="16" customHeight="1" spans="1:51" x14ac:dyDescent="0.25">
      <c r="A541" s="45"/>
      <c r="B541" s="46" t="s">
        <v>583</v>
      </c>
      <c r="C541" s="46" t="s">
        <v>584</v>
      </c>
      <c r="D541" s="46" t="s">
        <v>29</v>
      </c>
      <c r="E541" s="46" t="s">
        <v>36</v>
      </c>
      <c r="F541" s="46" t="s">
        <v>37</v>
      </c>
      <c r="G541" s="46" t="s">
        <v>36</v>
      </c>
      <c r="H541" s="46" t="s">
        <v>36</v>
      </c>
      <c r="I541" s="46" t="s">
        <v>36</v>
      </c>
      <c r="J541" s="46" t="s">
        <v>36</v>
      </c>
      <c r="K541" s="46" t="s">
        <v>36</v>
      </c>
      <c r="L541" s="46" t="s">
        <v>36</v>
      </c>
      <c r="M541" s="46" t="s">
        <v>37</v>
      </c>
      <c r="N541" s="46" t="s">
        <v>36</v>
      </c>
      <c r="O541" s="46" t="s">
        <v>36</v>
      </c>
      <c r="P541" s="46" t="s">
        <v>36</v>
      </c>
      <c r="Q541" s="46" t="s">
        <v>36</v>
      </c>
      <c r="R541" s="46" t="s">
        <v>36</v>
      </c>
      <c r="S541" s="46" t="s">
        <v>36</v>
      </c>
      <c r="T541" s="46" t="s">
        <v>37</v>
      </c>
      <c r="U541" s="46" t="s">
        <v>36</v>
      </c>
      <c r="V541" s="46" t="s">
        <v>36</v>
      </c>
      <c r="W541" s="46" t="s">
        <v>36</v>
      </c>
      <c r="X541" s="46" t="s">
        <v>36</v>
      </c>
      <c r="Y541" s="46" t="s">
        <v>36</v>
      </c>
      <c r="Z541" s="46" t="s">
        <v>153</v>
      </c>
      <c r="AA541" s="46" t="s">
        <v>37</v>
      </c>
      <c r="AB541" s="46" t="s">
        <v>36</v>
      </c>
      <c r="AC541" s="46" t="s">
        <v>36</v>
      </c>
      <c r="AD541" s="46" t="s">
        <v>36</v>
      </c>
      <c r="AE541" s="46" t="s">
        <v>36</v>
      </c>
      <c r="AF541" s="46" t="s">
        <v>36</v>
      </c>
      <c r="AG541" s="46" t="s">
        <v>36</v>
      </c>
      <c r="AH541" s="46" t="s">
        <v>37</v>
      </c>
      <c r="AI541" s="46" t="s">
        <v>36</v>
      </c>
      <c r="AJ541" s="46">
        <f>=SUM(E542:AI542)</f>
      </c>
      <c r="AK541" s="46">
        <f>=+AY541</f>
      </c>
      <c r="AL541" s="46"/>
      <c r="AM541" s="1"/>
      <c r="AN541" s="1">
        <f>=COUNTIF(E541:AI541,"A")+COUNTIF(E541:AI541,"B")+COUNTIF(E541:AI541,"C")+COUNTIF(E541:AI541,"D")+COUNTIF(E541:AI541,"E")+COUNTIF(E541:AI541,"F")+COUNTIF(E541:AI541,"M")+COUNTIF(E541:AI541,"AB")+COUNTIF(E541:AI541,"UZ")+COUNTIF(E541:AI541,"G")+(COUNTIF(E541:AI541,"RT.")/2)+(COUNTIF(E541:AI541,"ÇRT.")/2)</f>
      </c>
      <c r="AO541" s="1">
        <f>=COUNTIF(E541:AI541,"O")</f>
      </c>
      <c r="AP541" s="1">
        <f>=COUNTIF(E541:AI541,"RT")+(COUNTIF(E541:AI541,"RT.")/2)</f>
      </c>
      <c r="AQ541" s="1">
        <f>=COUNTIF(E541:AI541,"ÇRT")+(COUNTIF(E541:AI541,"ÇRT.")/2)</f>
      </c>
      <c r="AR541" s="1">
        <f>=COUNTIF(E541:AI541,"ÇHT")</f>
      </c>
      <c r="AS541" s="1">
        <f>=COUNTIF(E541:AI541,"Ö")+COUNTIF(E541:AI541,"T")</f>
      </c>
      <c r="AT541" s="1">
        <f>=COUNTIF(E541:AI541,"Y")</f>
      </c>
      <c r="AU541" s="1">
        <f>=COUNTIF(E541:AI541,"R.")</f>
      </c>
      <c r="AV541" s="1">
        <f>=COUNTIF(E541:AI541,"Ü")</f>
      </c>
      <c r="AW541" s="1">
        <f>=COUNTIF(E541:AI541,"R")</f>
      </c>
      <c r="AX541" s="1">
        <f>=COUNTIF(E541:AI541,"DV")</f>
      </c>
      <c r="AY541" s="1">
        <f>=+AN541+AO541+AP541+AQ541+AR541+AS541+AT541+AU541</f>
      </c>
    </row>
    <row r="542" ht="16" customHeight="1" spans="1:51" x14ac:dyDescent="0.25">
      <c r="A542" s="45"/>
      <c r="B542" s="46"/>
      <c r="C542" s="46"/>
      <c r="D542" s="46" t="s">
        <v>33</v>
      </c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  <c r="AB542" s="46"/>
      <c r="AC542" s="46"/>
      <c r="AD542" s="46"/>
      <c r="AE542" s="46"/>
      <c r="AF542" s="46"/>
      <c r="AG542" s="46"/>
      <c r="AH542" s="46"/>
      <c r="AI542" s="46"/>
      <c r="AJ542" s="46"/>
      <c r="AK542" s="46"/>
      <c r="AL542" s="46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</row>
    <row r="543" ht="16" customHeight="1" spans="1:51" x14ac:dyDescent="0.25">
      <c r="A543" s="45"/>
      <c r="B543" s="46" t="s">
        <v>585</v>
      </c>
      <c r="C543" s="46" t="s">
        <v>586</v>
      </c>
      <c r="D543" s="46" t="s">
        <v>29</v>
      </c>
      <c r="E543" s="46" t="s">
        <v>36</v>
      </c>
      <c r="F543" s="46" t="s">
        <v>36</v>
      </c>
      <c r="G543" s="46" t="s">
        <v>36</v>
      </c>
      <c r="H543" s="46" t="s">
        <v>36</v>
      </c>
      <c r="I543" s="46" t="s">
        <v>37</v>
      </c>
      <c r="J543" s="46" t="s">
        <v>36</v>
      </c>
      <c r="K543" s="46" t="s">
        <v>36</v>
      </c>
      <c r="L543" s="46" t="s">
        <v>36</v>
      </c>
      <c r="M543" s="46" t="s">
        <v>36</v>
      </c>
      <c r="N543" s="46" t="s">
        <v>36</v>
      </c>
      <c r="O543" s="46" t="s">
        <v>36</v>
      </c>
      <c r="P543" s="46" t="s">
        <v>37</v>
      </c>
      <c r="Q543" s="46" t="s">
        <v>36</v>
      </c>
      <c r="R543" s="46" t="s">
        <v>36</v>
      </c>
      <c r="S543" s="46" t="s">
        <v>36</v>
      </c>
      <c r="T543" s="46" t="s">
        <v>36</v>
      </c>
      <c r="U543" s="46" t="s">
        <v>36</v>
      </c>
      <c r="V543" s="46" t="s">
        <v>36</v>
      </c>
      <c r="W543" s="46" t="s">
        <v>37</v>
      </c>
      <c r="X543" s="46" t="s">
        <v>36</v>
      </c>
      <c r="Y543" s="46" t="s">
        <v>36</v>
      </c>
      <c r="Z543" s="46" t="s">
        <v>36</v>
      </c>
      <c r="AA543" s="46" t="s">
        <v>36</v>
      </c>
      <c r="AB543" s="46" t="s">
        <v>36</v>
      </c>
      <c r="AC543" s="46" t="s">
        <v>36</v>
      </c>
      <c r="AD543" s="46" t="s">
        <v>37</v>
      </c>
      <c r="AE543" s="46" t="s">
        <v>36</v>
      </c>
      <c r="AF543" s="46" t="s">
        <v>36</v>
      </c>
      <c r="AG543" s="46" t="s">
        <v>36</v>
      </c>
      <c r="AH543" s="46" t="s">
        <v>43</v>
      </c>
      <c r="AI543" s="46" t="s">
        <v>36</v>
      </c>
      <c r="AJ543" s="46">
        <f>=SUM(E544:AI544)</f>
      </c>
      <c r="AK543" s="46">
        <f>=+AY543</f>
      </c>
      <c r="AL543" s="46"/>
      <c r="AM543" s="1"/>
      <c r="AN543" s="1">
        <f>=COUNTIF(E543:AI543,"A")+COUNTIF(E543:AI543,"B")+COUNTIF(E543:AI543,"C")+COUNTIF(E543:AI543,"D")+COUNTIF(E543:AI543,"E")+COUNTIF(E543:AI543,"F")+COUNTIF(E543:AI543,"M")+COUNTIF(E543:AI543,"AB")+COUNTIF(E543:AI543,"UZ")+COUNTIF(E543:AI543,"G")+(COUNTIF(E543:AI543,"RT.")/2)+(COUNTIF(E543:AI543,"ÇRT.")/2)</f>
      </c>
      <c r="AO543" s="1">
        <f>=COUNTIF(E543:AI543,"O")</f>
      </c>
      <c r="AP543" s="1">
        <f>=COUNTIF(E543:AI543,"RT")+(COUNTIF(E543:AI543,"RT.")/2)</f>
      </c>
      <c r="AQ543" s="1">
        <f>=COUNTIF(E543:AI543,"ÇRT")+(COUNTIF(E543:AI543,"ÇRT.")/2)</f>
      </c>
      <c r="AR543" s="1">
        <f>=COUNTIF(E543:AI543,"ÇHT")</f>
      </c>
      <c r="AS543" s="1">
        <f>=COUNTIF(E543:AI543,"Ö")+COUNTIF(E543:AI543,"T")</f>
      </c>
      <c r="AT543" s="1">
        <f>=COUNTIF(E543:AI543,"Y")</f>
      </c>
      <c r="AU543" s="1">
        <f>=COUNTIF(E543:AI543,"R.")</f>
      </c>
      <c r="AV543" s="1">
        <f>=COUNTIF(E543:AI543,"Ü")</f>
      </c>
      <c r="AW543" s="1">
        <f>=COUNTIF(E543:AI543,"R")</f>
      </c>
      <c r="AX543" s="1">
        <f>=COUNTIF(E543:AI543,"DV")</f>
      </c>
      <c r="AY543" s="1">
        <f>=+AN543+AO543+AP543+AQ543+AR543+AS543+AT543+AU543</f>
      </c>
    </row>
    <row r="544" ht="16" customHeight="1" spans="1:51" x14ac:dyDescent="0.25">
      <c r="A544" s="45"/>
      <c r="B544" s="46"/>
      <c r="C544" s="46"/>
      <c r="D544" s="46" t="s">
        <v>33</v>
      </c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  <c r="AB544" s="46"/>
      <c r="AC544" s="46"/>
      <c r="AD544" s="46"/>
      <c r="AE544" s="46"/>
      <c r="AF544" s="46"/>
      <c r="AG544" s="46"/>
      <c r="AH544" s="46"/>
      <c r="AI544" s="46"/>
      <c r="AJ544" s="46"/>
      <c r="AK544" s="46"/>
      <c r="AL544" s="46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</row>
    <row r="545" ht="16" customHeight="1" spans="1:51" x14ac:dyDescent="0.25">
      <c r="A545" s="45"/>
      <c r="B545" s="46" t="s">
        <v>587</v>
      </c>
      <c r="C545" s="46" t="s">
        <v>588</v>
      </c>
      <c r="D545" s="46" t="s">
        <v>29</v>
      </c>
      <c r="E545" s="46" t="s">
        <v>36</v>
      </c>
      <c r="F545" s="46" t="s">
        <v>36</v>
      </c>
      <c r="G545" s="46" t="s">
        <v>36</v>
      </c>
      <c r="H545" s="46" t="s">
        <v>37</v>
      </c>
      <c r="I545" s="46" t="s">
        <v>36</v>
      </c>
      <c r="J545" s="46" t="s">
        <v>36</v>
      </c>
      <c r="K545" s="46" t="s">
        <v>36</v>
      </c>
      <c r="L545" s="46" t="s">
        <v>36</v>
      </c>
      <c r="M545" s="46" t="s">
        <v>36</v>
      </c>
      <c r="N545" s="46" t="s">
        <v>36</v>
      </c>
      <c r="O545" s="46" t="s">
        <v>36</v>
      </c>
      <c r="P545" s="46" t="s">
        <v>37</v>
      </c>
      <c r="Q545" s="46" t="s">
        <v>36</v>
      </c>
      <c r="R545" s="46" t="s">
        <v>36</v>
      </c>
      <c r="S545" s="46" t="s">
        <v>36</v>
      </c>
      <c r="T545" s="46" t="s">
        <v>36</v>
      </c>
      <c r="U545" s="46" t="s">
        <v>36</v>
      </c>
      <c r="V545" s="46" t="s">
        <v>37</v>
      </c>
      <c r="W545" s="46" t="s">
        <v>36</v>
      </c>
      <c r="X545" s="46" t="s">
        <v>36</v>
      </c>
      <c r="Y545" s="46" t="s">
        <v>36</v>
      </c>
      <c r="Z545" s="46" t="s">
        <v>36</v>
      </c>
      <c r="AA545" s="46" t="s">
        <v>36</v>
      </c>
      <c r="AB545" s="46" t="s">
        <v>36</v>
      </c>
      <c r="AC545" s="46" t="s">
        <v>37</v>
      </c>
      <c r="AD545" s="46" t="s">
        <v>36</v>
      </c>
      <c r="AE545" s="46" t="s">
        <v>36</v>
      </c>
      <c r="AF545" s="46" t="s">
        <v>36</v>
      </c>
      <c r="AG545" s="46" t="s">
        <v>36</v>
      </c>
      <c r="AH545" s="46" t="s">
        <v>43</v>
      </c>
      <c r="AI545" s="46" t="s">
        <v>36</v>
      </c>
      <c r="AJ545" s="46">
        <f>=SUM(E546:AI546)</f>
      </c>
      <c r="AK545" s="46">
        <f>=+AY545</f>
      </c>
      <c r="AL545" s="46"/>
      <c r="AM545" s="1"/>
      <c r="AN545" s="1">
        <f>=COUNTIF(E545:AI545,"A")+COUNTIF(E545:AI545,"B")+COUNTIF(E545:AI545,"C")+COUNTIF(E545:AI545,"D")+COUNTIF(E545:AI545,"E")+COUNTIF(E545:AI545,"F")+COUNTIF(E545:AI545,"M")+COUNTIF(E545:AI545,"AB")+COUNTIF(E545:AI545,"UZ")+COUNTIF(E545:AI545,"G")+(COUNTIF(E545:AI545,"RT.")/2)+(COUNTIF(E545:AI545,"ÇRT.")/2)</f>
      </c>
      <c r="AO545" s="1">
        <f>=COUNTIF(E545:AI545,"O")</f>
      </c>
      <c r="AP545" s="1">
        <f>=COUNTIF(E545:AI545,"RT")+(COUNTIF(E545:AI545,"RT.")/2)</f>
      </c>
      <c r="AQ545" s="1">
        <f>=COUNTIF(E545:AI545,"ÇRT")+(COUNTIF(E545:AI545,"ÇRT.")/2)</f>
      </c>
      <c r="AR545" s="1">
        <f>=COUNTIF(E545:AI545,"ÇHT")</f>
      </c>
      <c r="AS545" s="1">
        <f>=COUNTIF(E545:AI545,"Ö")+COUNTIF(E545:AI545,"T")</f>
      </c>
      <c r="AT545" s="1">
        <f>=COUNTIF(E545:AI545,"Y")</f>
      </c>
      <c r="AU545" s="1">
        <f>=COUNTIF(E545:AI545,"R.")</f>
      </c>
      <c r="AV545" s="1">
        <f>=COUNTIF(E545:AI545,"Ü")</f>
      </c>
      <c r="AW545" s="1">
        <f>=COUNTIF(E545:AI545,"R")</f>
      </c>
      <c r="AX545" s="1">
        <f>=COUNTIF(E545:AI545,"DV")</f>
      </c>
      <c r="AY545" s="1">
        <f>=+AN545+AO545+AP545+AQ545+AR545+AS545+AT545+AU545</f>
      </c>
    </row>
    <row r="546" ht="16" customHeight="1" spans="1:51" x14ac:dyDescent="0.25">
      <c r="A546" s="45"/>
      <c r="B546" s="46"/>
      <c r="C546" s="46"/>
      <c r="D546" s="46" t="s">
        <v>33</v>
      </c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  <c r="AB546" s="46"/>
      <c r="AC546" s="46"/>
      <c r="AD546" s="46"/>
      <c r="AE546" s="46"/>
      <c r="AF546" s="46">
        <v>2</v>
      </c>
      <c r="AG546" s="46">
        <v>3</v>
      </c>
      <c r="AH546" s="46">
        <v>2</v>
      </c>
      <c r="AI546" s="46"/>
      <c r="AJ546" s="46"/>
      <c r="AK546" s="46"/>
      <c r="AL546" s="46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</row>
    <row r="547" ht="16" customHeight="1" spans="1:51" x14ac:dyDescent="0.25">
      <c r="A547" s="45"/>
      <c r="B547" s="46" t="s">
        <v>589</v>
      </c>
      <c r="C547" s="46" t="s">
        <v>590</v>
      </c>
      <c r="D547" s="46" t="s">
        <v>29</v>
      </c>
      <c r="E547" s="46" t="s">
        <v>59</v>
      </c>
      <c r="F547" s="46" t="s">
        <v>37</v>
      </c>
      <c r="G547" s="46" t="s">
        <v>59</v>
      </c>
      <c r="H547" s="46" t="s">
        <v>59</v>
      </c>
      <c r="I547" s="46" t="s">
        <v>59</v>
      </c>
      <c r="J547" s="46" t="s">
        <v>59</v>
      </c>
      <c r="K547" s="46" t="s">
        <v>59</v>
      </c>
      <c r="L547" s="46" t="s">
        <v>59</v>
      </c>
      <c r="M547" s="46" t="s">
        <v>37</v>
      </c>
      <c r="N547" s="46" t="s">
        <v>59</v>
      </c>
      <c r="O547" s="46" t="s">
        <v>59</v>
      </c>
      <c r="P547" s="46" t="s">
        <v>59</v>
      </c>
      <c r="Q547" s="46" t="s">
        <v>59</v>
      </c>
      <c r="R547" s="46" t="s">
        <v>59</v>
      </c>
      <c r="S547" s="46" t="s">
        <v>59</v>
      </c>
      <c r="T547" s="46" t="s">
        <v>37</v>
      </c>
      <c r="U547" s="46" t="s">
        <v>59</v>
      </c>
      <c r="V547" s="46" t="s">
        <v>59</v>
      </c>
      <c r="W547" s="46" t="s">
        <v>59</v>
      </c>
      <c r="X547" s="46" t="s">
        <v>59</v>
      </c>
      <c r="Y547" s="46" t="s">
        <v>37</v>
      </c>
      <c r="Z547" s="46" t="s">
        <v>59</v>
      </c>
      <c r="AA547" s="46" t="s">
        <v>59</v>
      </c>
      <c r="AB547" s="46" t="s">
        <v>59</v>
      </c>
      <c r="AC547" s="46" t="s">
        <v>59</v>
      </c>
      <c r="AD547" s="46" t="s">
        <v>59</v>
      </c>
      <c r="AE547" s="46" t="s">
        <v>59</v>
      </c>
      <c r="AF547" s="46" t="s">
        <v>59</v>
      </c>
      <c r="AG547" s="46" t="s">
        <v>59</v>
      </c>
      <c r="AH547" s="46" t="s">
        <v>37</v>
      </c>
      <c r="AI547" s="46" t="s">
        <v>59</v>
      </c>
      <c r="AJ547" s="46">
        <f>=SUM(E548:AI548)</f>
      </c>
      <c r="AK547" s="46">
        <f>=+AY547</f>
      </c>
      <c r="AL547" s="46"/>
      <c r="AM547" s="1"/>
      <c r="AN547" s="1">
        <f>=COUNTIF(E547:AI547,"A")+COUNTIF(E547:AI547,"B")+COUNTIF(E547:AI547,"C")+COUNTIF(E547:AI547,"D")+COUNTIF(E547:AI547,"E")+COUNTIF(E547:AI547,"F")+COUNTIF(E547:AI547,"M")+COUNTIF(E547:AI547,"AB")+COUNTIF(E547:AI547,"UZ")+COUNTIF(E547:AI547,"G")+(COUNTIF(E547:AI547,"RT.")/2)+(COUNTIF(E547:AI547,"ÇRT.")/2)</f>
      </c>
      <c r="AO547" s="1">
        <f>=COUNTIF(E547:AI547,"O")</f>
      </c>
      <c r="AP547" s="1">
        <f>=COUNTIF(E547:AI547,"RT")+(COUNTIF(E547:AI547,"RT.")/2)</f>
      </c>
      <c r="AQ547" s="1">
        <f>=COUNTIF(E547:AI547,"ÇRT")+(COUNTIF(E547:AI547,"ÇRT.")/2)</f>
      </c>
      <c r="AR547" s="1">
        <f>=COUNTIF(E547:AI547,"ÇHT")</f>
      </c>
      <c r="AS547" s="1">
        <f>=COUNTIF(E547:AI547,"Ö")+COUNTIF(E547:AI547,"T")</f>
      </c>
      <c r="AT547" s="1">
        <f>=COUNTIF(E547:AI547,"Y")</f>
      </c>
      <c r="AU547" s="1">
        <f>=COUNTIF(E547:AI547,"R.")</f>
      </c>
      <c r="AV547" s="1">
        <f>=COUNTIF(E547:AI547,"Ü")</f>
      </c>
      <c r="AW547" s="1">
        <f>=COUNTIF(E547:AI547,"R")</f>
      </c>
      <c r="AX547" s="1">
        <f>=COUNTIF(E547:AI547,"DV")</f>
      </c>
      <c r="AY547" s="1">
        <f>=+AN547+AO547+AP547+AQ547+AR547+AS547+AT547+AU547</f>
      </c>
    </row>
    <row r="548" ht="16" customHeight="1" spans="1:51" x14ac:dyDescent="0.25">
      <c r="A548" s="45"/>
      <c r="B548" s="46"/>
      <c r="C548" s="46"/>
      <c r="D548" s="46" t="s">
        <v>33</v>
      </c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  <c r="AB548" s="46"/>
      <c r="AC548" s="46"/>
      <c r="AD548" s="46"/>
      <c r="AE548" s="46"/>
      <c r="AF548" s="46"/>
      <c r="AG548" s="46"/>
      <c r="AH548" s="46"/>
      <c r="AI548" s="46"/>
      <c r="AJ548" s="46"/>
      <c r="AK548" s="46"/>
      <c r="AL548" s="46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</row>
    <row r="549" ht="16" customHeight="1" spans="1:51" x14ac:dyDescent="0.25">
      <c r="A549" s="45"/>
      <c r="B549" s="46" t="s">
        <v>591</v>
      </c>
      <c r="C549" s="46" t="s">
        <v>592</v>
      </c>
      <c r="D549" s="46" t="s">
        <v>29</v>
      </c>
      <c r="E549" s="46" t="s">
        <v>36</v>
      </c>
      <c r="F549" s="46" t="s">
        <v>36</v>
      </c>
      <c r="G549" s="46" t="s">
        <v>37</v>
      </c>
      <c r="H549" s="46" t="s">
        <v>36</v>
      </c>
      <c r="I549" s="46" t="s">
        <v>36</v>
      </c>
      <c r="J549" s="46" t="s">
        <v>36</v>
      </c>
      <c r="K549" s="46" t="s">
        <v>36</v>
      </c>
      <c r="L549" s="46" t="s">
        <v>36</v>
      </c>
      <c r="M549" s="46" t="s">
        <v>36</v>
      </c>
      <c r="N549" s="46" t="s">
        <v>37</v>
      </c>
      <c r="O549" s="46" t="s">
        <v>36</v>
      </c>
      <c r="P549" s="46" t="s">
        <v>36</v>
      </c>
      <c r="Q549" s="46" t="s">
        <v>36</v>
      </c>
      <c r="R549" s="46" t="s">
        <v>36</v>
      </c>
      <c r="S549" s="46" t="s">
        <v>36</v>
      </c>
      <c r="T549" s="46" t="s">
        <v>36</v>
      </c>
      <c r="U549" s="46" t="s">
        <v>37</v>
      </c>
      <c r="V549" s="46" t="s">
        <v>36</v>
      </c>
      <c r="W549" s="46" t="s">
        <v>36</v>
      </c>
      <c r="X549" s="46" t="s">
        <v>36</v>
      </c>
      <c r="Y549" s="46" t="s">
        <v>36</v>
      </c>
      <c r="Z549" s="46" t="s">
        <v>36</v>
      </c>
      <c r="AA549" s="46" t="s">
        <v>36</v>
      </c>
      <c r="AB549" s="46" t="s">
        <v>37</v>
      </c>
      <c r="AC549" s="46" t="s">
        <v>36</v>
      </c>
      <c r="AD549" s="46" t="s">
        <v>36</v>
      </c>
      <c r="AE549" s="46" t="s">
        <v>36</v>
      </c>
      <c r="AF549" s="46" t="s">
        <v>36</v>
      </c>
      <c r="AG549" s="46" t="s">
        <v>36</v>
      </c>
      <c r="AH549" s="46" t="s">
        <v>43</v>
      </c>
      <c r="AI549" s="46" t="s">
        <v>37</v>
      </c>
      <c r="AJ549" s="46">
        <f>=SUM(E550:AI550)</f>
      </c>
      <c r="AK549" s="46">
        <f>=+AY549</f>
      </c>
      <c r="AL549" s="46"/>
      <c r="AM549" s="1"/>
      <c r="AN549" s="1">
        <f>=COUNTIF(E549:AI549,"A")+COUNTIF(E549:AI549,"B")+COUNTIF(E549:AI549,"C")+COUNTIF(E549:AI549,"D")+COUNTIF(E549:AI549,"E")+COUNTIF(E549:AI549,"F")+COUNTIF(E549:AI549,"M")+COUNTIF(E549:AI549,"AB")+COUNTIF(E549:AI549,"UZ")+COUNTIF(E549:AI549,"G")+(COUNTIF(E549:AI549,"RT.")/2)+(COUNTIF(E549:AI549,"ÇRT.")/2)</f>
      </c>
      <c r="AO549" s="1">
        <f>=COUNTIF(E549:AI549,"O")</f>
      </c>
      <c r="AP549" s="1">
        <f>=COUNTIF(E549:AI549,"RT")+(COUNTIF(E549:AI549,"RT.")/2)</f>
      </c>
      <c r="AQ549" s="1">
        <f>=COUNTIF(E549:AI549,"ÇRT")+(COUNTIF(E549:AI549,"ÇRT.")/2)</f>
      </c>
      <c r="AR549" s="1">
        <f>=COUNTIF(E549:AI549,"ÇHT")</f>
      </c>
      <c r="AS549" s="1">
        <f>=COUNTIF(E549:AI549,"Ö")+COUNTIF(E549:AI549,"T")</f>
      </c>
      <c r="AT549" s="1">
        <f>=COUNTIF(E549:AI549,"Y")</f>
      </c>
      <c r="AU549" s="1">
        <f>=COUNTIF(E549:AI549,"R.")</f>
      </c>
      <c r="AV549" s="1">
        <f>=COUNTIF(E549:AI549,"Ü")</f>
      </c>
      <c r="AW549" s="1">
        <f>=COUNTIF(E549:AI549,"R")</f>
      </c>
      <c r="AX549" s="1">
        <f>=COUNTIF(E549:AI549,"DV")</f>
      </c>
      <c r="AY549" s="1">
        <f>=+AN549+AO549+AP549+AQ549+AR549+AS549+AT549+AU549</f>
      </c>
    </row>
    <row r="550" ht="16" customHeight="1" spans="1:51" x14ac:dyDescent="0.25">
      <c r="A550" s="45"/>
      <c r="B550" s="46"/>
      <c r="C550" s="46"/>
      <c r="D550" s="46" t="s">
        <v>33</v>
      </c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  <c r="AB550" s="46"/>
      <c r="AC550" s="46"/>
      <c r="AD550" s="46"/>
      <c r="AE550" s="46"/>
      <c r="AF550" s="46">
        <v>2</v>
      </c>
      <c r="AG550" s="46">
        <v>3</v>
      </c>
      <c r="AH550" s="46">
        <v>2</v>
      </c>
      <c r="AI550" s="46"/>
      <c r="AJ550" s="46"/>
      <c r="AK550" s="46"/>
      <c r="AL550" s="46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</row>
    <row r="551" ht="16" customHeight="1" spans="1:51" x14ac:dyDescent="0.25">
      <c r="A551" s="45"/>
      <c r="B551" s="46" t="s">
        <v>593</v>
      </c>
      <c r="C551" s="46" t="s">
        <v>594</v>
      </c>
      <c r="D551" s="46" t="s">
        <v>29</v>
      </c>
      <c r="E551" s="46" t="s">
        <v>36</v>
      </c>
      <c r="F551" s="46" t="s">
        <v>36</v>
      </c>
      <c r="G551" s="46" t="s">
        <v>36</v>
      </c>
      <c r="H551" s="46" t="s">
        <v>37</v>
      </c>
      <c r="I551" s="46" t="s">
        <v>36</v>
      </c>
      <c r="J551" s="46" t="s">
        <v>36</v>
      </c>
      <c r="K551" s="46" t="s">
        <v>36</v>
      </c>
      <c r="L551" s="46" t="s">
        <v>36</v>
      </c>
      <c r="M551" s="46" t="s">
        <v>36</v>
      </c>
      <c r="N551" s="46" t="s">
        <v>31</v>
      </c>
      <c r="O551" s="46" t="s">
        <v>37</v>
      </c>
      <c r="P551" s="46" t="s">
        <v>36</v>
      </c>
      <c r="Q551" s="46" t="s">
        <v>36</v>
      </c>
      <c r="R551" s="46" t="s">
        <v>36</v>
      </c>
      <c r="S551" s="46" t="s">
        <v>36</v>
      </c>
      <c r="T551" s="46" t="s">
        <v>36</v>
      </c>
      <c r="U551" s="46" t="s">
        <v>36</v>
      </c>
      <c r="V551" s="46" t="s">
        <v>37</v>
      </c>
      <c r="W551" s="46" t="s">
        <v>36</v>
      </c>
      <c r="X551" s="46" t="s">
        <v>36</v>
      </c>
      <c r="Y551" s="46" t="s">
        <v>36</v>
      </c>
      <c r="Z551" s="46" t="s">
        <v>36</v>
      </c>
      <c r="AA551" s="46" t="s">
        <v>36</v>
      </c>
      <c r="AB551" s="46" t="s">
        <v>36</v>
      </c>
      <c r="AC551" s="46" t="s">
        <v>37</v>
      </c>
      <c r="AD551" s="46" t="s">
        <v>36</v>
      </c>
      <c r="AE551" s="46" t="s">
        <v>36</v>
      </c>
      <c r="AF551" s="46" t="s">
        <v>36</v>
      </c>
      <c r="AG551" s="46" t="s">
        <v>36</v>
      </c>
      <c r="AH551" s="46" t="s">
        <v>43</v>
      </c>
      <c r="AI551" s="46" t="s">
        <v>36</v>
      </c>
      <c r="AJ551" s="46">
        <f>=SUM(E552:AI552)</f>
      </c>
      <c r="AK551" s="46">
        <f>=+AY551</f>
      </c>
      <c r="AL551" s="46"/>
      <c r="AM551" s="1"/>
      <c r="AN551" s="1">
        <f>=COUNTIF(E551:AI551,"A")+COUNTIF(E551:AI551,"B")+COUNTIF(E551:AI551,"C")+COUNTIF(E551:AI551,"D")+COUNTIF(E551:AI551,"E")+COUNTIF(E551:AI551,"F")+COUNTIF(E551:AI551,"M")+COUNTIF(E551:AI551,"AB")+COUNTIF(E551:AI551,"UZ")+COUNTIF(E551:AI551,"G")+(COUNTIF(E551:AI551,"RT.")/2)+(COUNTIF(E551:AI551,"ÇRT.")/2)</f>
      </c>
      <c r="AO551" s="1">
        <f>=COUNTIF(E551:AI551,"O")</f>
      </c>
      <c r="AP551" s="1">
        <f>=COUNTIF(E551:AI551,"RT")+(COUNTIF(E551:AI551,"RT.")/2)</f>
      </c>
      <c r="AQ551" s="1">
        <f>=COUNTIF(E551:AI551,"ÇRT")+(COUNTIF(E551:AI551,"ÇRT.")/2)</f>
      </c>
      <c r="AR551" s="1">
        <f>=COUNTIF(E551:AI551,"ÇHT")</f>
      </c>
      <c r="AS551" s="1">
        <f>=COUNTIF(E551:AI551,"Ö")+COUNTIF(E551:AI551,"T")</f>
      </c>
      <c r="AT551" s="1">
        <f>=COUNTIF(E551:AI551,"Y")</f>
      </c>
      <c r="AU551" s="1">
        <f>=COUNTIF(E551:AI551,"R.")</f>
      </c>
      <c r="AV551" s="1">
        <f>=COUNTIF(E551:AI551,"Ü")</f>
      </c>
      <c r="AW551" s="1">
        <f>=COUNTIF(E551:AI551,"R")</f>
      </c>
      <c r="AX551" s="1">
        <f>=COUNTIF(E551:AI551,"DV")</f>
      </c>
      <c r="AY551" s="1">
        <f>=+AN551+AO551+AP551+AQ551+AR551+AS551+AT551+AU551</f>
      </c>
    </row>
    <row r="552" ht="16" customHeight="1" spans="1:51" x14ac:dyDescent="0.25">
      <c r="A552" s="45"/>
      <c r="B552" s="46"/>
      <c r="C552" s="46"/>
      <c r="D552" s="46" t="s">
        <v>33</v>
      </c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  <c r="AB552" s="46"/>
      <c r="AC552" s="46"/>
      <c r="AD552" s="46"/>
      <c r="AE552" s="46"/>
      <c r="AF552" s="46"/>
      <c r="AG552" s="46"/>
      <c r="AH552" s="46"/>
      <c r="AI552" s="46"/>
      <c r="AJ552" s="46"/>
      <c r="AK552" s="46"/>
      <c r="AL552" s="46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</row>
    <row r="553" ht="16" customHeight="1" spans="1:51" x14ac:dyDescent="0.25">
      <c r="A553" s="45"/>
      <c r="B553" s="46" t="s">
        <v>595</v>
      </c>
      <c r="C553" s="46" t="s">
        <v>596</v>
      </c>
      <c r="D553" s="46" t="s">
        <v>29</v>
      </c>
      <c r="E553" s="46" t="s">
        <v>36</v>
      </c>
      <c r="F553" s="46" t="s">
        <v>36</v>
      </c>
      <c r="G553" s="46" t="s">
        <v>337</v>
      </c>
      <c r="H553" s="46" t="s">
        <v>37</v>
      </c>
      <c r="I553" s="46" t="s">
        <v>36</v>
      </c>
      <c r="J553" s="46" t="s">
        <v>36</v>
      </c>
      <c r="K553" s="46" t="s">
        <v>36</v>
      </c>
      <c r="L553" s="46" t="s">
        <v>36</v>
      </c>
      <c r="M553" s="46" t="s">
        <v>36</v>
      </c>
      <c r="N553" s="46" t="s">
        <v>36</v>
      </c>
      <c r="O553" s="46" t="s">
        <v>37</v>
      </c>
      <c r="P553" s="46" t="s">
        <v>36</v>
      </c>
      <c r="Q553" s="46" t="s">
        <v>36</v>
      </c>
      <c r="R553" s="46" t="s">
        <v>36</v>
      </c>
      <c r="S553" s="46" t="s">
        <v>36</v>
      </c>
      <c r="T553" s="46" t="s">
        <v>36</v>
      </c>
      <c r="U553" s="46" t="s">
        <v>36</v>
      </c>
      <c r="V553" s="46" t="s">
        <v>37</v>
      </c>
      <c r="W553" s="46" t="s">
        <v>36</v>
      </c>
      <c r="X553" s="46" t="s">
        <v>36</v>
      </c>
      <c r="Y553" s="46" t="s">
        <v>36</v>
      </c>
      <c r="Z553" s="46" t="s">
        <v>36</v>
      </c>
      <c r="AA553" s="46" t="s">
        <v>36</v>
      </c>
      <c r="AB553" s="46" t="s">
        <v>36</v>
      </c>
      <c r="AC553" s="46" t="s">
        <v>37</v>
      </c>
      <c r="AD553" s="46" t="s">
        <v>36</v>
      </c>
      <c r="AE553" s="46" t="s">
        <v>36</v>
      </c>
      <c r="AF553" s="46" t="s">
        <v>36</v>
      </c>
      <c r="AG553" s="46" t="s">
        <v>36</v>
      </c>
      <c r="AH553" s="46" t="s">
        <v>43</v>
      </c>
      <c r="AI553" s="46" t="s">
        <v>36</v>
      </c>
      <c r="AJ553" s="46">
        <f>=SUM(E554:AI554)</f>
      </c>
      <c r="AK553" s="46">
        <f>=+AY553</f>
      </c>
      <c r="AL553" s="46"/>
      <c r="AM553" s="1"/>
      <c r="AN553" s="1">
        <f>=COUNTIF(E553:AI553,"A")+COUNTIF(E553:AI553,"B")+COUNTIF(E553:AI553,"C")+COUNTIF(E553:AI553,"D")+COUNTIF(E553:AI553,"E")+COUNTIF(E553:AI553,"F")+COUNTIF(E553:AI553,"M")+COUNTIF(E553:AI553,"AB")+COUNTIF(E553:AI553,"UZ")+COUNTIF(E553:AI553,"G")+(COUNTIF(E553:AI553,"RT.")/2)+(COUNTIF(E553:AI553,"ÇRT.")/2)</f>
      </c>
      <c r="AO553" s="1">
        <f>=COUNTIF(E553:AI553,"O")</f>
      </c>
      <c r="AP553" s="1">
        <f>=COUNTIF(E553:AI553,"RT")+(COUNTIF(E553:AI553,"RT.")/2)</f>
      </c>
      <c r="AQ553" s="1">
        <f>=COUNTIF(E553:AI553,"ÇRT")+(COUNTIF(E553:AI553,"ÇRT.")/2)</f>
      </c>
      <c r="AR553" s="1">
        <f>=COUNTIF(E553:AI553,"ÇHT")</f>
      </c>
      <c r="AS553" s="1">
        <f>=COUNTIF(E553:AI553,"Ö")+COUNTIF(E553:AI553,"T")</f>
      </c>
      <c r="AT553" s="1">
        <f>=COUNTIF(E553:AI553,"Y")</f>
      </c>
      <c r="AU553" s="1">
        <f>=COUNTIF(E553:AI553,"R.")</f>
      </c>
      <c r="AV553" s="1">
        <f>=COUNTIF(E553:AI553,"Ü")</f>
      </c>
      <c r="AW553" s="1">
        <f>=COUNTIF(E553:AI553,"R")</f>
      </c>
      <c r="AX553" s="1">
        <f>=COUNTIF(E553:AI553,"DV")</f>
      </c>
      <c r="AY553" s="1">
        <f>=+AN553+AO553+AP553+AQ553+AR553+AS553+AT553+AU553</f>
      </c>
    </row>
    <row r="554" ht="16" customHeight="1" spans="1:51" x14ac:dyDescent="0.25">
      <c r="A554" s="45"/>
      <c r="B554" s="46"/>
      <c r="C554" s="46"/>
      <c r="D554" s="46" t="s">
        <v>33</v>
      </c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>
        <v>0</v>
      </c>
      <c r="W554" s="46"/>
      <c r="X554" s="46"/>
      <c r="Y554" s="46"/>
      <c r="Z554" s="46"/>
      <c r="AA554" s="46"/>
      <c r="AB554" s="46"/>
      <c r="AC554" s="46"/>
      <c r="AD554" s="46"/>
      <c r="AE554" s="46"/>
      <c r="AF554" s="46"/>
      <c r="AG554" s="46"/>
      <c r="AH554" s="46"/>
      <c r="AI554" s="46"/>
      <c r="AJ554" s="46"/>
      <c r="AK554" s="46"/>
      <c r="AL554" s="46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</row>
    <row r="555" ht="16" customHeight="1" spans="1:51" x14ac:dyDescent="0.25">
      <c r="A555" s="45"/>
      <c r="B555" s="46" t="s">
        <v>597</v>
      </c>
      <c r="C555" s="46" t="s">
        <v>598</v>
      </c>
      <c r="D555" s="46" t="s">
        <v>29</v>
      </c>
      <c r="E555" s="46" t="s">
        <v>46</v>
      </c>
      <c r="F555" s="46" t="s">
        <v>46</v>
      </c>
      <c r="G555" s="46" t="s">
        <v>46</v>
      </c>
      <c r="H555" s="46" t="s">
        <v>37</v>
      </c>
      <c r="I555" s="46" t="s">
        <v>46</v>
      </c>
      <c r="J555" s="46" t="s">
        <v>46</v>
      </c>
      <c r="K555" s="46" t="s">
        <v>46</v>
      </c>
      <c r="L555" s="46" t="s">
        <v>46</v>
      </c>
      <c r="M555" s="46" t="s">
        <v>46</v>
      </c>
      <c r="N555" s="46" t="s">
        <v>46</v>
      </c>
      <c r="O555" s="46" t="s">
        <v>37</v>
      </c>
      <c r="P555" s="46" t="s">
        <v>46</v>
      </c>
      <c r="Q555" s="46" t="s">
        <v>46</v>
      </c>
      <c r="R555" s="46" t="s">
        <v>46</v>
      </c>
      <c r="S555" s="46" t="s">
        <v>46</v>
      </c>
      <c r="T555" s="46" t="s">
        <v>46</v>
      </c>
      <c r="U555" s="46" t="s">
        <v>36</v>
      </c>
      <c r="V555" s="46" t="s">
        <v>37</v>
      </c>
      <c r="W555" s="46" t="s">
        <v>46</v>
      </c>
      <c r="X555" s="46" t="s">
        <v>46</v>
      </c>
      <c r="Y555" s="46" t="s">
        <v>46</v>
      </c>
      <c r="Z555" s="46" t="s">
        <v>46</v>
      </c>
      <c r="AA555" s="46" t="s">
        <v>46</v>
      </c>
      <c r="AB555" s="46" t="s">
        <v>46</v>
      </c>
      <c r="AC555" s="46" t="s">
        <v>37</v>
      </c>
      <c r="AD555" s="46" t="s">
        <v>46</v>
      </c>
      <c r="AE555" s="46" t="s">
        <v>46</v>
      </c>
      <c r="AF555" s="46" t="s">
        <v>46</v>
      </c>
      <c r="AG555" s="46" t="s">
        <v>46</v>
      </c>
      <c r="AH555" s="46" t="s">
        <v>43</v>
      </c>
      <c r="AI555" s="46" t="s">
        <v>46</v>
      </c>
      <c r="AJ555" s="46">
        <f>=SUM(E556:AI556)</f>
      </c>
      <c r="AK555" s="46">
        <f>=+AY555</f>
      </c>
      <c r="AL555" s="46"/>
      <c r="AM555" s="1"/>
      <c r="AN555" s="1">
        <f>=COUNTIF(E555:AI555,"A")+COUNTIF(E555:AI555,"B")+COUNTIF(E555:AI555,"C")+COUNTIF(E555:AI555,"D")+COUNTIF(E555:AI555,"E")+COUNTIF(E555:AI555,"F")+COUNTIF(E555:AI555,"M")+COUNTIF(E555:AI555,"AB")+COUNTIF(E555:AI555,"UZ")+COUNTIF(E555:AI555,"G")+(COUNTIF(E555:AI555,"RT.")/2)+(COUNTIF(E555:AI555,"ÇRT.")/2)</f>
      </c>
      <c r="AO555" s="1">
        <f>=COUNTIF(E555:AI555,"O")</f>
      </c>
      <c r="AP555" s="1">
        <f>=COUNTIF(E555:AI555,"RT")+(COUNTIF(E555:AI555,"RT.")/2)</f>
      </c>
      <c r="AQ555" s="1">
        <f>=COUNTIF(E555:AI555,"ÇRT")+(COUNTIF(E555:AI555,"ÇRT.")/2)</f>
      </c>
      <c r="AR555" s="1">
        <f>=COUNTIF(E555:AI555,"ÇHT")</f>
      </c>
      <c r="AS555" s="1">
        <f>=COUNTIF(E555:AI555,"Ö")+COUNTIF(E555:AI555,"T")</f>
      </c>
      <c r="AT555" s="1">
        <f>=COUNTIF(E555:AI555,"Y")</f>
      </c>
      <c r="AU555" s="1">
        <f>=COUNTIF(E555:AI555,"R.")</f>
      </c>
      <c r="AV555" s="1">
        <f>=COUNTIF(E555:AI555,"Ü")</f>
      </c>
      <c r="AW555" s="1">
        <f>=COUNTIF(E555:AI555,"R")</f>
      </c>
      <c r="AX555" s="1">
        <f>=COUNTIF(E555:AI555,"DV")</f>
      </c>
      <c r="AY555" s="1">
        <f>=+AN555+AO555+AP555+AQ555+AR555+AS555+AT555+AU555</f>
      </c>
    </row>
    <row r="556" ht="16" customHeight="1" spans="1:51" x14ac:dyDescent="0.25">
      <c r="A556" s="45"/>
      <c r="B556" s="46"/>
      <c r="C556" s="46"/>
      <c r="D556" s="46" t="s">
        <v>33</v>
      </c>
      <c r="E556" s="46"/>
      <c r="F556" s="46"/>
      <c r="G556" s="46"/>
      <c r="H556" s="46">
        <v>0</v>
      </c>
      <c r="I556" s="46"/>
      <c r="J556" s="46"/>
      <c r="K556" s="46"/>
      <c r="L556" s="46">
        <v>2</v>
      </c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  <c r="AC556" s="46"/>
      <c r="AD556" s="46"/>
      <c r="AE556" s="46"/>
      <c r="AF556" s="46"/>
      <c r="AG556" s="46">
        <v>1</v>
      </c>
      <c r="AH556" s="46"/>
      <c r="AI556" s="46"/>
      <c r="AJ556" s="46"/>
      <c r="AK556" s="46"/>
      <c r="AL556" s="46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</row>
    <row r="557" ht="16" customHeight="1" spans="1:51" x14ac:dyDescent="0.25">
      <c r="A557" s="45"/>
      <c r="B557" s="46" t="s">
        <v>599</v>
      </c>
      <c r="C557" s="46" t="s">
        <v>600</v>
      </c>
      <c r="D557" s="46" t="s">
        <v>29</v>
      </c>
      <c r="E557" s="46" t="s">
        <v>36</v>
      </c>
      <c r="F557" s="46" t="s">
        <v>36</v>
      </c>
      <c r="G557" s="46" t="s">
        <v>36</v>
      </c>
      <c r="H557" s="46" t="s">
        <v>37</v>
      </c>
      <c r="I557" s="46" t="s">
        <v>36</v>
      </c>
      <c r="J557" s="46" t="s">
        <v>36</v>
      </c>
      <c r="K557" s="46" t="s">
        <v>37</v>
      </c>
      <c r="L557" s="46" t="s">
        <v>36</v>
      </c>
      <c r="M557" s="46" t="s">
        <v>36</v>
      </c>
      <c r="N557" s="46" t="s">
        <v>46</v>
      </c>
      <c r="O557" s="46" t="s">
        <v>36</v>
      </c>
      <c r="P557" s="46" t="s">
        <v>36</v>
      </c>
      <c r="Q557" s="46" t="s">
        <v>36</v>
      </c>
      <c r="R557" s="46" t="s">
        <v>36</v>
      </c>
      <c r="S557" s="46" t="s">
        <v>36</v>
      </c>
      <c r="T557" s="46" t="s">
        <v>36</v>
      </c>
      <c r="U557" s="46" t="s">
        <v>37</v>
      </c>
      <c r="V557" s="46" t="s">
        <v>36</v>
      </c>
      <c r="W557" s="46" t="s">
        <v>37</v>
      </c>
      <c r="X557" s="46" t="s">
        <v>36</v>
      </c>
      <c r="Y557" s="46" t="s">
        <v>36</v>
      </c>
      <c r="Z557" s="46" t="s">
        <v>36</v>
      </c>
      <c r="AA557" s="46" t="s">
        <v>36</v>
      </c>
      <c r="AB557" s="46" t="s">
        <v>36</v>
      </c>
      <c r="AC557" s="46" t="s">
        <v>36</v>
      </c>
      <c r="AD557" s="46" t="s">
        <v>36</v>
      </c>
      <c r="AE557" s="46" t="s">
        <v>36</v>
      </c>
      <c r="AF557" s="46" t="s">
        <v>36</v>
      </c>
      <c r="AG557" s="46" t="s">
        <v>36</v>
      </c>
      <c r="AH557" s="46" t="s">
        <v>43</v>
      </c>
      <c r="AI557" s="46" t="s">
        <v>36</v>
      </c>
      <c r="AJ557" s="46">
        <f>=SUM(E558:AI558)</f>
      </c>
      <c r="AK557" s="46">
        <f>=+AY557</f>
      </c>
      <c r="AL557" s="46"/>
      <c r="AM557" s="1"/>
      <c r="AN557" s="1">
        <f>=COUNTIF(E557:AI557,"A")+COUNTIF(E557:AI557,"B")+COUNTIF(E557:AI557,"C")+COUNTIF(E557:AI557,"D")+COUNTIF(E557:AI557,"E")+COUNTIF(E557:AI557,"F")+COUNTIF(E557:AI557,"M")+COUNTIF(E557:AI557,"AB")+COUNTIF(E557:AI557,"UZ")+COUNTIF(E557:AI557,"G")+(COUNTIF(E557:AI557,"RT.")/2)+(COUNTIF(E557:AI557,"ÇRT.")/2)</f>
      </c>
      <c r="AO557" s="1">
        <f>=COUNTIF(E557:AI557,"O")</f>
      </c>
      <c r="AP557" s="1">
        <f>=COUNTIF(E557:AI557,"RT")+(COUNTIF(E557:AI557,"RT.")/2)</f>
      </c>
      <c r="AQ557" s="1">
        <f>=COUNTIF(E557:AI557,"ÇRT")+(COUNTIF(E557:AI557,"ÇRT.")/2)</f>
      </c>
      <c r="AR557" s="1">
        <f>=COUNTIF(E557:AI557,"ÇHT")</f>
      </c>
      <c r="AS557" s="1">
        <f>=COUNTIF(E557:AI557,"Ö")+COUNTIF(E557:AI557,"T")</f>
      </c>
      <c r="AT557" s="1">
        <f>=COUNTIF(E557:AI557,"Y")</f>
      </c>
      <c r="AU557" s="1">
        <f>=COUNTIF(E557:AI557,"R.")</f>
      </c>
      <c r="AV557" s="1">
        <f>=COUNTIF(E557:AI557,"Ü")</f>
      </c>
      <c r="AW557" s="1">
        <f>=COUNTIF(E557:AI557,"R")</f>
      </c>
      <c r="AX557" s="1">
        <f>=COUNTIF(E557:AI557,"DV")</f>
      </c>
      <c r="AY557" s="1">
        <f>=+AN557+AO557+AP557+AQ557+AR557+AS557+AT557+AU557</f>
      </c>
    </row>
    <row r="558" ht="16" customHeight="1" spans="1:51" x14ac:dyDescent="0.25">
      <c r="A558" s="45"/>
      <c r="B558" s="46"/>
      <c r="C558" s="46"/>
      <c r="D558" s="46" t="s">
        <v>33</v>
      </c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  <c r="AC558" s="46"/>
      <c r="AD558" s="46"/>
      <c r="AE558" s="46"/>
      <c r="AF558" s="46"/>
      <c r="AG558" s="46"/>
      <c r="AH558" s="46"/>
      <c r="AI558" s="46"/>
      <c r="AJ558" s="46"/>
      <c r="AK558" s="46"/>
      <c r="AL558" s="46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</row>
    <row r="559" ht="16" customHeight="1" spans="1:51" x14ac:dyDescent="0.25">
      <c r="A559" s="45"/>
      <c r="B559" s="46" t="s">
        <v>601</v>
      </c>
      <c r="C559" s="46" t="s">
        <v>602</v>
      </c>
      <c r="D559" s="46" t="s">
        <v>29</v>
      </c>
      <c r="E559" s="46" t="s">
        <v>59</v>
      </c>
      <c r="F559" s="46" t="s">
        <v>37</v>
      </c>
      <c r="G559" s="46" t="s">
        <v>59</v>
      </c>
      <c r="H559" s="46" t="s">
        <v>59</v>
      </c>
      <c r="I559" s="46" t="s">
        <v>59</v>
      </c>
      <c r="J559" s="46" t="s">
        <v>59</v>
      </c>
      <c r="K559" s="46" t="s">
        <v>59</v>
      </c>
      <c r="L559" s="46" t="s">
        <v>59</v>
      </c>
      <c r="M559" s="46" t="s">
        <v>37</v>
      </c>
      <c r="N559" s="46" t="s">
        <v>59</v>
      </c>
      <c r="O559" s="46" t="s">
        <v>59</v>
      </c>
      <c r="P559" s="46" t="s">
        <v>59</v>
      </c>
      <c r="Q559" s="46" t="s">
        <v>59</v>
      </c>
      <c r="R559" s="46" t="s">
        <v>59</v>
      </c>
      <c r="S559" s="46" t="s">
        <v>59</v>
      </c>
      <c r="T559" s="46" t="s">
        <v>37</v>
      </c>
      <c r="U559" s="46" t="s">
        <v>59</v>
      </c>
      <c r="V559" s="46" t="s">
        <v>59</v>
      </c>
      <c r="W559" s="46" t="s">
        <v>59</v>
      </c>
      <c r="X559" s="46" t="s">
        <v>59</v>
      </c>
      <c r="Y559" s="46" t="s">
        <v>59</v>
      </c>
      <c r="Z559" s="46" t="s">
        <v>59</v>
      </c>
      <c r="AA559" s="46" t="s">
        <v>37</v>
      </c>
      <c r="AB559" s="46" t="s">
        <v>59</v>
      </c>
      <c r="AC559" s="46" t="s">
        <v>59</v>
      </c>
      <c r="AD559" s="46" t="s">
        <v>59</v>
      </c>
      <c r="AE559" s="46" t="s">
        <v>59</v>
      </c>
      <c r="AF559" s="46" t="s">
        <v>59</v>
      </c>
      <c r="AG559" s="46" t="s">
        <v>59</v>
      </c>
      <c r="AH559" s="46" t="s">
        <v>37</v>
      </c>
      <c r="AI559" s="46" t="s">
        <v>59</v>
      </c>
      <c r="AJ559" s="46">
        <f>=SUM(E560:AI560)</f>
      </c>
      <c r="AK559" s="46">
        <f>=+AY559</f>
      </c>
      <c r="AL559" s="46"/>
      <c r="AM559" s="1"/>
      <c r="AN559" s="1">
        <f>=COUNTIF(E559:AI559,"A")+COUNTIF(E559:AI559,"B")+COUNTIF(E559:AI559,"C")+COUNTIF(E559:AI559,"D")+COUNTIF(E559:AI559,"E")+COUNTIF(E559:AI559,"F")+COUNTIF(E559:AI559,"M")+COUNTIF(E559:AI559,"AB")+COUNTIF(E559:AI559,"UZ")+COUNTIF(E559:AI559,"G")+(COUNTIF(E559:AI559,"RT.")/2)+(COUNTIF(E559:AI559,"ÇRT.")/2)</f>
      </c>
      <c r="AO559" s="1">
        <f>=COUNTIF(E559:AI559,"O")</f>
      </c>
      <c r="AP559" s="1">
        <f>=COUNTIF(E559:AI559,"RT")+(COUNTIF(E559:AI559,"RT.")/2)</f>
      </c>
      <c r="AQ559" s="1">
        <f>=COUNTIF(E559:AI559,"ÇRT")+(COUNTIF(E559:AI559,"ÇRT.")/2)</f>
      </c>
      <c r="AR559" s="1">
        <f>=COUNTIF(E559:AI559,"ÇHT")</f>
      </c>
      <c r="AS559" s="1">
        <f>=COUNTIF(E559:AI559,"Ö")+COUNTIF(E559:AI559,"T")</f>
      </c>
      <c r="AT559" s="1">
        <f>=COUNTIF(E559:AI559,"Y")</f>
      </c>
      <c r="AU559" s="1">
        <f>=COUNTIF(E559:AI559,"R.")</f>
      </c>
      <c r="AV559" s="1">
        <f>=COUNTIF(E559:AI559,"Ü")</f>
      </c>
      <c r="AW559" s="1">
        <f>=COUNTIF(E559:AI559,"R")</f>
      </c>
      <c r="AX559" s="1">
        <f>=COUNTIF(E559:AI559,"DV")</f>
      </c>
      <c r="AY559" s="1">
        <f>=+AN559+AO559+AP559+AQ559+AR559+AS559+AT559+AU559</f>
      </c>
    </row>
    <row r="560" ht="16" customHeight="1" spans="1:51" x14ac:dyDescent="0.25">
      <c r="A560" s="45"/>
      <c r="B560" s="46"/>
      <c r="C560" s="46"/>
      <c r="D560" s="46" t="s">
        <v>33</v>
      </c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  <c r="AC560" s="46"/>
      <c r="AD560" s="46"/>
      <c r="AE560" s="46"/>
      <c r="AF560" s="46">
        <v>0</v>
      </c>
      <c r="AG560" s="46"/>
      <c r="AH560" s="46"/>
      <c r="AI560" s="46"/>
      <c r="AJ560" s="46"/>
      <c r="AK560" s="46"/>
      <c r="AL560" s="46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</row>
    <row r="561" ht="16" customHeight="1" spans="1:51" x14ac:dyDescent="0.25">
      <c r="A561" s="45"/>
      <c r="B561" s="46" t="s">
        <v>603</v>
      </c>
      <c r="C561" s="46" t="s">
        <v>604</v>
      </c>
      <c r="D561" s="46" t="s">
        <v>29</v>
      </c>
      <c r="E561" s="46" t="s">
        <v>36</v>
      </c>
      <c r="F561" s="46" t="s">
        <v>36</v>
      </c>
      <c r="G561" s="46" t="s">
        <v>37</v>
      </c>
      <c r="H561" s="46" t="s">
        <v>36</v>
      </c>
      <c r="I561" s="46" t="s">
        <v>36</v>
      </c>
      <c r="J561" s="46" t="s">
        <v>36</v>
      </c>
      <c r="K561" s="46" t="s">
        <v>37</v>
      </c>
      <c r="L561" s="46" t="s">
        <v>36</v>
      </c>
      <c r="M561" s="46" t="s">
        <v>36</v>
      </c>
      <c r="N561" s="46" t="s">
        <v>36</v>
      </c>
      <c r="O561" s="46" t="s">
        <v>36</v>
      </c>
      <c r="P561" s="46" t="s">
        <v>36</v>
      </c>
      <c r="Q561" s="46" t="s">
        <v>36</v>
      </c>
      <c r="R561" s="46" t="s">
        <v>37</v>
      </c>
      <c r="S561" s="46" t="s">
        <v>36</v>
      </c>
      <c r="T561" s="46" t="s">
        <v>36</v>
      </c>
      <c r="U561" s="46" t="s">
        <v>36</v>
      </c>
      <c r="V561" s="46" t="s">
        <v>36</v>
      </c>
      <c r="W561" s="46" t="s">
        <v>36</v>
      </c>
      <c r="X561" s="46" t="s">
        <v>36</v>
      </c>
      <c r="Y561" s="46" t="s">
        <v>36</v>
      </c>
      <c r="Z561" s="46" t="s">
        <v>37</v>
      </c>
      <c r="AA561" s="46" t="s">
        <v>36</v>
      </c>
      <c r="AB561" s="46" t="s">
        <v>36</v>
      </c>
      <c r="AC561" s="46" t="s">
        <v>36</v>
      </c>
      <c r="AD561" s="46" t="s">
        <v>36</v>
      </c>
      <c r="AE561" s="46" t="s">
        <v>36</v>
      </c>
      <c r="AF561" s="46" t="s">
        <v>36</v>
      </c>
      <c r="AG561" s="46" t="s">
        <v>37</v>
      </c>
      <c r="AH561" s="46" t="s">
        <v>43</v>
      </c>
      <c r="AI561" s="46" t="s">
        <v>36</v>
      </c>
      <c r="AJ561" s="46">
        <f>=SUM(E562:AI562)</f>
      </c>
      <c r="AK561" s="46">
        <f>=+AY561</f>
      </c>
      <c r="AL561" s="46"/>
      <c r="AM561" s="1"/>
      <c r="AN561" s="1">
        <f>=COUNTIF(E561:AI561,"A")+COUNTIF(E561:AI561,"B")+COUNTIF(E561:AI561,"C")+COUNTIF(E561:AI561,"D")+COUNTIF(E561:AI561,"E")+COUNTIF(E561:AI561,"F")+COUNTIF(E561:AI561,"M")+COUNTIF(E561:AI561,"AB")+COUNTIF(E561:AI561,"UZ")+COUNTIF(E561:AI561,"G")+(COUNTIF(E561:AI561,"RT.")/2)+(COUNTIF(E561:AI561,"ÇRT.")/2)</f>
      </c>
      <c r="AO561" s="1">
        <f>=COUNTIF(E561:AI561,"O")</f>
      </c>
      <c r="AP561" s="1">
        <f>=COUNTIF(E561:AI561,"RT")+(COUNTIF(E561:AI561,"RT.")/2)</f>
      </c>
      <c r="AQ561" s="1">
        <f>=COUNTIF(E561:AI561,"ÇRT")+(COUNTIF(E561:AI561,"ÇRT.")/2)</f>
      </c>
      <c r="AR561" s="1">
        <f>=COUNTIF(E561:AI561,"ÇHT")</f>
      </c>
      <c r="AS561" s="1">
        <f>=COUNTIF(E561:AI561,"Ö")+COUNTIF(E561:AI561,"T")</f>
      </c>
      <c r="AT561" s="1">
        <f>=COUNTIF(E561:AI561,"Y")</f>
      </c>
      <c r="AU561" s="1">
        <f>=COUNTIF(E561:AI561,"R.")</f>
      </c>
      <c r="AV561" s="1">
        <f>=COUNTIF(E561:AI561,"Ü")</f>
      </c>
      <c r="AW561" s="1">
        <f>=COUNTIF(E561:AI561,"R")</f>
      </c>
      <c r="AX561" s="1">
        <f>=COUNTIF(E561:AI561,"DV")</f>
      </c>
      <c r="AY561" s="1">
        <f>=+AN561+AO561+AP561+AQ561+AR561+AS561+AT561+AU561</f>
      </c>
    </row>
    <row r="562" ht="16" customHeight="1" spans="1:51" x14ac:dyDescent="0.25">
      <c r="A562" s="45"/>
      <c r="B562" s="46"/>
      <c r="C562" s="46"/>
      <c r="D562" s="46" t="s">
        <v>33</v>
      </c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  <c r="AC562" s="46"/>
      <c r="AD562" s="46"/>
      <c r="AE562" s="46"/>
      <c r="AF562" s="46">
        <v>2</v>
      </c>
      <c r="AG562" s="46"/>
      <c r="AH562" s="46"/>
      <c r="AI562" s="46"/>
      <c r="AJ562" s="46"/>
      <c r="AK562" s="46"/>
      <c r="AL562" s="46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</row>
    <row r="563" ht="16" customHeight="1" spans="1:51" x14ac:dyDescent="0.25">
      <c r="A563" s="45"/>
      <c r="B563" s="46" t="s">
        <v>605</v>
      </c>
      <c r="C563" s="46" t="s">
        <v>606</v>
      </c>
      <c r="D563" s="46" t="s">
        <v>29</v>
      </c>
      <c r="E563" s="46" t="s">
        <v>32</v>
      </c>
      <c r="F563" s="46" t="s">
        <v>32</v>
      </c>
      <c r="G563" s="46" t="s">
        <v>36</v>
      </c>
      <c r="H563" s="46" t="s">
        <v>36</v>
      </c>
      <c r="I563" s="46" t="s">
        <v>36</v>
      </c>
      <c r="J563" s="46" t="s">
        <v>37</v>
      </c>
      <c r="K563" s="46" t="s">
        <v>36</v>
      </c>
      <c r="L563" s="46" t="s">
        <v>36</v>
      </c>
      <c r="M563" s="46" t="s">
        <v>36</v>
      </c>
      <c r="N563" s="46" t="s">
        <v>36</v>
      </c>
      <c r="O563" s="46" t="s">
        <v>36</v>
      </c>
      <c r="P563" s="46" t="s">
        <v>37</v>
      </c>
      <c r="Q563" s="46" t="s">
        <v>36</v>
      </c>
      <c r="R563" s="46" t="s">
        <v>36</v>
      </c>
      <c r="S563" s="46" t="s">
        <v>337</v>
      </c>
      <c r="T563" s="46" t="s">
        <v>36</v>
      </c>
      <c r="U563" s="46" t="s">
        <v>36</v>
      </c>
      <c r="V563" s="46" t="s">
        <v>36</v>
      </c>
      <c r="W563" s="46" t="s">
        <v>36</v>
      </c>
      <c r="X563" s="46" t="s">
        <v>36</v>
      </c>
      <c r="Y563" s="46" t="s">
        <v>37</v>
      </c>
      <c r="Z563" s="46" t="s">
        <v>36</v>
      </c>
      <c r="AA563" s="46" t="s">
        <v>36</v>
      </c>
      <c r="AB563" s="46" t="s">
        <v>36</v>
      </c>
      <c r="AC563" s="46" t="s">
        <v>36</v>
      </c>
      <c r="AD563" s="46" t="s">
        <v>36</v>
      </c>
      <c r="AE563" s="46" t="s">
        <v>37</v>
      </c>
      <c r="AF563" s="46" t="s">
        <v>36</v>
      </c>
      <c r="AG563" s="46" t="s">
        <v>36</v>
      </c>
      <c r="AH563" s="46" t="s">
        <v>43</v>
      </c>
      <c r="AI563" s="46" t="s">
        <v>36</v>
      </c>
      <c r="AJ563" s="46">
        <f>=SUM(E564:AI564)</f>
      </c>
      <c r="AK563" s="46">
        <f>=+AY563</f>
      </c>
      <c r="AL563" s="46"/>
      <c r="AM563" s="1"/>
      <c r="AN563" s="1">
        <f>=COUNTIF(E563:AI563,"A")+COUNTIF(E563:AI563,"B")+COUNTIF(E563:AI563,"C")+COUNTIF(E563:AI563,"D")+COUNTIF(E563:AI563,"E")+COUNTIF(E563:AI563,"F")+COUNTIF(E563:AI563,"M")+COUNTIF(E563:AI563,"AB")+COUNTIF(E563:AI563,"UZ")+COUNTIF(E563:AI563,"G")+(COUNTIF(E563:AI563,"RT.")/2)+(COUNTIF(E563:AI563,"ÇRT.")/2)</f>
      </c>
      <c r="AO563" s="1">
        <f>=COUNTIF(E563:AI563,"O")</f>
      </c>
      <c r="AP563" s="1">
        <f>=COUNTIF(E563:AI563,"RT")+(COUNTIF(E563:AI563,"RT.")/2)</f>
      </c>
      <c r="AQ563" s="1">
        <f>=COUNTIF(E563:AI563,"ÇRT")+(COUNTIF(E563:AI563,"ÇRT.")/2)</f>
      </c>
      <c r="AR563" s="1">
        <f>=COUNTIF(E563:AI563,"ÇHT")</f>
      </c>
      <c r="AS563" s="1">
        <f>=COUNTIF(E563:AI563,"Ö")+COUNTIF(E563:AI563,"T")</f>
      </c>
      <c r="AT563" s="1">
        <f>=COUNTIF(E563:AI563,"Y")</f>
      </c>
      <c r="AU563" s="1">
        <f>=COUNTIF(E563:AI563,"R.")</f>
      </c>
      <c r="AV563" s="1">
        <f>=COUNTIF(E563:AI563,"Ü")</f>
      </c>
      <c r="AW563" s="1">
        <f>=COUNTIF(E563:AI563,"R")</f>
      </c>
      <c r="AX563" s="1">
        <f>=COUNTIF(E563:AI563,"DV")</f>
      </c>
      <c r="AY563" s="1">
        <f>=+AN563+AO563+AP563+AQ563+AR563+AS563+AT563+AU563</f>
      </c>
    </row>
    <row r="564" ht="16" customHeight="1" spans="1:51" x14ac:dyDescent="0.25">
      <c r="A564" s="45"/>
      <c r="B564" s="46"/>
      <c r="C564" s="46"/>
      <c r="D564" s="46" t="s">
        <v>33</v>
      </c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  <c r="AC564" s="46"/>
      <c r="AD564" s="46"/>
      <c r="AE564" s="46"/>
      <c r="AF564" s="46"/>
      <c r="AG564" s="46"/>
      <c r="AH564" s="46"/>
      <c r="AI564" s="46"/>
      <c r="AJ564" s="46"/>
      <c r="AK564" s="46"/>
      <c r="AL564" s="46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</row>
    <row r="565" ht="16" customHeight="1" spans="1:51" x14ac:dyDescent="0.25">
      <c r="A565" s="45"/>
      <c r="B565" s="46" t="s">
        <v>607</v>
      </c>
      <c r="C565" s="46" t="s">
        <v>608</v>
      </c>
      <c r="D565" s="46" t="s">
        <v>29</v>
      </c>
      <c r="E565" s="46" t="s">
        <v>30</v>
      </c>
      <c r="F565" s="46" t="s">
        <v>30</v>
      </c>
      <c r="G565" s="46" t="s">
        <v>30</v>
      </c>
      <c r="H565" s="46" t="s">
        <v>30</v>
      </c>
      <c r="I565" s="46" t="s">
        <v>30</v>
      </c>
      <c r="J565" s="46" t="s">
        <v>37</v>
      </c>
      <c r="K565" s="46" t="s">
        <v>36</v>
      </c>
      <c r="L565" s="46" t="s">
        <v>36</v>
      </c>
      <c r="M565" s="46" t="s">
        <v>36</v>
      </c>
      <c r="N565" s="46" t="s">
        <v>36</v>
      </c>
      <c r="O565" s="46" t="s">
        <v>36</v>
      </c>
      <c r="P565" s="46" t="s">
        <v>36</v>
      </c>
      <c r="Q565" s="46" t="s">
        <v>37</v>
      </c>
      <c r="R565" s="46" t="s">
        <v>36</v>
      </c>
      <c r="S565" s="46" t="s">
        <v>36</v>
      </c>
      <c r="T565" s="46" t="s">
        <v>36</v>
      </c>
      <c r="U565" s="46" t="s">
        <v>36</v>
      </c>
      <c r="V565" s="46" t="s">
        <v>36</v>
      </c>
      <c r="W565" s="46" t="s">
        <v>36</v>
      </c>
      <c r="X565" s="46" t="s">
        <v>37</v>
      </c>
      <c r="Y565" s="46" t="s">
        <v>36</v>
      </c>
      <c r="Z565" s="46" t="s">
        <v>36</v>
      </c>
      <c r="AA565" s="46" t="s">
        <v>36</v>
      </c>
      <c r="AB565" s="46" t="s">
        <v>36</v>
      </c>
      <c r="AC565" s="46" t="s">
        <v>36</v>
      </c>
      <c r="AD565" s="46" t="s">
        <v>36</v>
      </c>
      <c r="AE565" s="46" t="s">
        <v>37</v>
      </c>
      <c r="AF565" s="46" t="s">
        <v>36</v>
      </c>
      <c r="AG565" s="46" t="s">
        <v>36</v>
      </c>
      <c r="AH565" s="46" t="s">
        <v>43</v>
      </c>
      <c r="AI565" s="46" t="s">
        <v>36</v>
      </c>
      <c r="AJ565" s="46">
        <f>=SUM(E566:AI566)</f>
      </c>
      <c r="AK565" s="46">
        <f>=+AY565</f>
      </c>
      <c r="AL565" s="46"/>
      <c r="AM565" s="1"/>
      <c r="AN565" s="1">
        <f>=COUNTIF(E565:AI565,"A")+COUNTIF(E565:AI565,"B")+COUNTIF(E565:AI565,"C")+COUNTIF(E565:AI565,"D")+COUNTIF(E565:AI565,"E")+COUNTIF(E565:AI565,"F")+COUNTIF(E565:AI565,"M")+COUNTIF(E565:AI565,"AB")+COUNTIF(E565:AI565,"UZ")+COUNTIF(E565:AI565,"G")+(COUNTIF(E565:AI565,"RT.")/2)+(COUNTIF(E565:AI565,"ÇRT.")/2)</f>
      </c>
      <c r="AO565" s="1">
        <f>=COUNTIF(E565:AI565,"O")</f>
      </c>
      <c r="AP565" s="1">
        <f>=COUNTIF(E565:AI565,"RT")+(COUNTIF(E565:AI565,"RT.")/2)</f>
      </c>
      <c r="AQ565" s="1">
        <f>=COUNTIF(E565:AI565,"ÇRT")+(COUNTIF(E565:AI565,"ÇRT.")/2)</f>
      </c>
      <c r="AR565" s="1">
        <f>=COUNTIF(E565:AI565,"ÇHT")</f>
      </c>
      <c r="AS565" s="1">
        <f>=COUNTIF(E565:AI565,"Ö")+COUNTIF(E565:AI565,"T")</f>
      </c>
      <c r="AT565" s="1">
        <f>=COUNTIF(E565:AI565,"Y")</f>
      </c>
      <c r="AU565" s="1">
        <f>=COUNTIF(E565:AI565,"R.")</f>
      </c>
      <c r="AV565" s="1">
        <f>=COUNTIF(E565:AI565,"Ü")</f>
      </c>
      <c r="AW565" s="1">
        <f>=COUNTIF(E565:AI565,"R")</f>
      </c>
      <c r="AX565" s="1">
        <f>=COUNTIF(E565:AI565,"DV")</f>
      </c>
      <c r="AY565" s="1">
        <f>=+AN565+AO565+AP565+AQ565+AR565+AS565+AT565+AU565</f>
      </c>
    </row>
    <row r="566" ht="16" customHeight="1" spans="1:51" x14ac:dyDescent="0.25">
      <c r="A566" s="45"/>
      <c r="B566" s="46"/>
      <c r="C566" s="46"/>
      <c r="D566" s="46" t="s">
        <v>33</v>
      </c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  <c r="AC566" s="46"/>
      <c r="AD566" s="46"/>
      <c r="AE566" s="46"/>
      <c r="AF566" s="46">
        <v>2</v>
      </c>
      <c r="AG566" s="46"/>
      <c r="AH566" s="46"/>
      <c r="AI566" s="46"/>
      <c r="AJ566" s="46"/>
      <c r="AK566" s="46"/>
      <c r="AL566" s="46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</row>
    <row r="567" ht="16" customHeight="1" spans="1:51" x14ac:dyDescent="0.25">
      <c r="A567" s="45"/>
      <c r="B567" s="46" t="s">
        <v>609</v>
      </c>
      <c r="C567" s="46" t="s">
        <v>610</v>
      </c>
      <c r="D567" s="46" t="s">
        <v>29</v>
      </c>
      <c r="E567" s="46" t="s">
        <v>36</v>
      </c>
      <c r="F567" s="46" t="s">
        <v>37</v>
      </c>
      <c r="G567" s="46" t="s">
        <v>36</v>
      </c>
      <c r="H567" s="46" t="s">
        <v>36</v>
      </c>
      <c r="I567" s="46" t="s">
        <v>36</v>
      </c>
      <c r="J567" s="46" t="s">
        <v>36</v>
      </c>
      <c r="K567" s="46" t="s">
        <v>36</v>
      </c>
      <c r="L567" s="46" t="s">
        <v>36</v>
      </c>
      <c r="M567" s="46" t="s">
        <v>37</v>
      </c>
      <c r="N567" s="46" t="s">
        <v>36</v>
      </c>
      <c r="O567" s="46" t="s">
        <v>36</v>
      </c>
      <c r="P567" s="46" t="s">
        <v>36</v>
      </c>
      <c r="Q567" s="46" t="s">
        <v>31</v>
      </c>
      <c r="R567" s="46" t="s">
        <v>31</v>
      </c>
      <c r="S567" s="46" t="s">
        <v>32</v>
      </c>
      <c r="T567" s="46" t="s">
        <v>32</v>
      </c>
      <c r="U567" s="46" t="s">
        <v>32</v>
      </c>
      <c r="V567" s="46"/>
      <c r="W567" s="46"/>
      <c r="X567" s="46"/>
      <c r="Y567" s="46"/>
      <c r="Z567" s="46"/>
      <c r="AA567" s="46"/>
      <c r="AB567" s="46"/>
      <c r="AC567" s="46"/>
      <c r="AD567" s="46"/>
      <c r="AE567" s="46"/>
      <c r="AF567" s="46"/>
      <c r="AG567" s="46"/>
      <c r="AH567" s="46"/>
      <c r="AI567" s="46"/>
      <c r="AJ567" s="46">
        <f>=SUM(E568:AI568)</f>
      </c>
      <c r="AK567" s="46">
        <f>=+AY567</f>
      </c>
      <c r="AL567" s="46"/>
      <c r="AM567" s="1"/>
      <c r="AN567" s="1">
        <f>=COUNTIF(E567:AI567,"A")+COUNTIF(E567:AI567,"B")+COUNTIF(E567:AI567,"C")+COUNTIF(E567:AI567,"D")+COUNTIF(E567:AI567,"E")+COUNTIF(E567:AI567,"F")+COUNTIF(E567:AI567,"M")+COUNTIF(E567:AI567,"AB")+COUNTIF(E567:AI567,"UZ")+COUNTIF(E567:AI567,"G")+(COUNTIF(E567:AI567,"RT.")/2)+(COUNTIF(E567:AI567,"ÇRT.")/2)</f>
      </c>
      <c r="AO567" s="1">
        <f>=COUNTIF(E567:AI567,"O")</f>
      </c>
      <c r="AP567" s="1">
        <f>=COUNTIF(E567:AI567,"RT")+(COUNTIF(E567:AI567,"RT.")/2)</f>
      </c>
      <c r="AQ567" s="1">
        <f>=COUNTIF(E567:AI567,"ÇRT")+(COUNTIF(E567:AI567,"ÇRT.")/2)</f>
      </c>
      <c r="AR567" s="1">
        <f>=COUNTIF(E567:AI567,"ÇHT")</f>
      </c>
      <c r="AS567" s="1">
        <f>=COUNTIF(E567:AI567,"Ö")+COUNTIF(E567:AI567,"T")</f>
      </c>
      <c r="AT567" s="1">
        <f>=COUNTIF(E567:AI567,"Y")</f>
      </c>
      <c r="AU567" s="1">
        <f>=COUNTIF(E567:AI567,"R.")</f>
      </c>
      <c r="AV567" s="1">
        <f>=COUNTIF(E567:AI567,"Ü")</f>
      </c>
      <c r="AW567" s="1">
        <f>=COUNTIF(E567:AI567,"R")</f>
      </c>
      <c r="AX567" s="1">
        <f>=COUNTIF(E567:AI567,"DV")</f>
      </c>
      <c r="AY567" s="1">
        <f>=+AN567+AO567+AP567+AQ567+AR567+AS567+AT567+AU567</f>
      </c>
    </row>
    <row r="568" ht="16" customHeight="1" spans="1:51" x14ac:dyDescent="0.25">
      <c r="A568" s="45"/>
      <c r="B568" s="46"/>
      <c r="C568" s="46"/>
      <c r="D568" s="46" t="s">
        <v>33</v>
      </c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  <c r="AB568" s="46"/>
      <c r="AC568" s="46"/>
      <c r="AD568" s="46"/>
      <c r="AE568" s="46"/>
      <c r="AF568" s="46"/>
      <c r="AG568" s="46"/>
      <c r="AH568" s="46"/>
      <c r="AI568" s="46"/>
      <c r="AJ568" s="46"/>
      <c r="AK568" s="46"/>
      <c r="AL568" s="46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</row>
    <row r="569" ht="16" customHeight="1" spans="1:51" x14ac:dyDescent="0.25">
      <c r="A569" s="45"/>
      <c r="B569" s="46" t="s">
        <v>611</v>
      </c>
      <c r="C569" s="46" t="s">
        <v>612</v>
      </c>
      <c r="D569" s="46" t="s">
        <v>29</v>
      </c>
      <c r="E569" s="46" t="s">
        <v>36</v>
      </c>
      <c r="F569" s="46" t="s">
        <v>36</v>
      </c>
      <c r="G569" s="46" t="s">
        <v>36</v>
      </c>
      <c r="H569" s="46" t="s">
        <v>36</v>
      </c>
      <c r="I569" s="46" t="s">
        <v>36</v>
      </c>
      <c r="J569" s="46" t="s">
        <v>37</v>
      </c>
      <c r="K569" s="46" t="s">
        <v>36</v>
      </c>
      <c r="L569" s="46" t="s">
        <v>36</v>
      </c>
      <c r="M569" s="46" t="s">
        <v>36</v>
      </c>
      <c r="N569" s="46" t="s">
        <v>36</v>
      </c>
      <c r="O569" s="46" t="s">
        <v>36</v>
      </c>
      <c r="P569" s="46" t="s">
        <v>36</v>
      </c>
      <c r="Q569" s="46" t="s">
        <v>37</v>
      </c>
      <c r="R569" s="46" t="s">
        <v>36</v>
      </c>
      <c r="S569" s="46" t="s">
        <v>36</v>
      </c>
      <c r="T569" s="46" t="s">
        <v>36</v>
      </c>
      <c r="U569" s="46" t="s">
        <v>36</v>
      </c>
      <c r="V569" s="46" t="s">
        <v>36</v>
      </c>
      <c r="W569" s="46" t="s">
        <v>36</v>
      </c>
      <c r="X569" s="46" t="s">
        <v>37</v>
      </c>
      <c r="Y569" s="46" t="s">
        <v>36</v>
      </c>
      <c r="Z569" s="46" t="s">
        <v>36</v>
      </c>
      <c r="AA569" s="46" t="s">
        <v>36</v>
      </c>
      <c r="AB569" s="46" t="s">
        <v>36</v>
      </c>
      <c r="AC569" s="46" t="s">
        <v>36</v>
      </c>
      <c r="AD569" s="46" t="s">
        <v>36</v>
      </c>
      <c r="AE569" s="46" t="s">
        <v>37</v>
      </c>
      <c r="AF569" s="46" t="s">
        <v>36</v>
      </c>
      <c r="AG569" s="46" t="s">
        <v>36</v>
      </c>
      <c r="AH569" s="46" t="s">
        <v>43</v>
      </c>
      <c r="AI569" s="46" t="s">
        <v>36</v>
      </c>
      <c r="AJ569" s="46">
        <f>=SUM(E570:AI570)</f>
      </c>
      <c r="AK569" s="46">
        <f>=+AY569</f>
      </c>
      <c r="AL569" s="46"/>
      <c r="AM569" s="1"/>
      <c r="AN569" s="1">
        <f>=COUNTIF(E569:AI569,"A")+COUNTIF(E569:AI569,"B")+COUNTIF(E569:AI569,"C")+COUNTIF(E569:AI569,"D")+COUNTIF(E569:AI569,"E")+COUNTIF(E569:AI569,"F")+COUNTIF(E569:AI569,"M")+COUNTIF(E569:AI569,"AB")+COUNTIF(E569:AI569,"UZ")+COUNTIF(E569:AI569,"G")+(COUNTIF(E569:AI569,"RT.")/2)+(COUNTIF(E569:AI569,"ÇRT.")/2)</f>
      </c>
      <c r="AO569" s="1">
        <f>=COUNTIF(E569:AI569,"O")</f>
      </c>
      <c r="AP569" s="1">
        <f>=COUNTIF(E569:AI569,"RT")+(COUNTIF(E569:AI569,"RT.")/2)</f>
      </c>
      <c r="AQ569" s="1">
        <f>=COUNTIF(E569:AI569,"ÇRT")+(COUNTIF(E569:AI569,"ÇRT.")/2)</f>
      </c>
      <c r="AR569" s="1">
        <f>=COUNTIF(E569:AI569,"ÇHT")</f>
      </c>
      <c r="AS569" s="1">
        <f>=COUNTIF(E569:AI569,"Ö")+COUNTIF(E569:AI569,"T")</f>
      </c>
      <c r="AT569" s="1">
        <f>=COUNTIF(E569:AI569,"Y")</f>
      </c>
      <c r="AU569" s="1">
        <f>=COUNTIF(E569:AI569,"R.")</f>
      </c>
      <c r="AV569" s="1">
        <f>=COUNTIF(E569:AI569,"Ü")</f>
      </c>
      <c r="AW569" s="1">
        <f>=COUNTIF(E569:AI569,"R")</f>
      </c>
      <c r="AX569" s="1">
        <f>=COUNTIF(E569:AI569,"DV")</f>
      </c>
      <c r="AY569" s="1">
        <f>=+AN569+AO569+AP569+AQ569+AR569+AS569+AT569+AU569</f>
      </c>
    </row>
    <row r="570" ht="16" customHeight="1" spans="1:51" x14ac:dyDescent="0.25">
      <c r="A570" s="45"/>
      <c r="B570" s="46"/>
      <c r="C570" s="46"/>
      <c r="D570" s="46" t="s">
        <v>33</v>
      </c>
      <c r="E570" s="46"/>
      <c r="F570" s="46"/>
      <c r="G570" s="46"/>
      <c r="H570" s="46">
        <v>0</v>
      </c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  <c r="AC570" s="46"/>
      <c r="AD570" s="46"/>
      <c r="AE570" s="46"/>
      <c r="AF570" s="46">
        <v>2</v>
      </c>
      <c r="AG570" s="46"/>
      <c r="AH570" s="46"/>
      <c r="AI570" s="46"/>
      <c r="AJ570" s="46"/>
      <c r="AK570" s="46"/>
      <c r="AL570" s="46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</row>
    <row r="571" ht="16" customHeight="1" spans="1:51" x14ac:dyDescent="0.25">
      <c r="A571" s="45"/>
      <c r="B571" s="46" t="s">
        <v>613</v>
      </c>
      <c r="C571" s="46" t="s">
        <v>614</v>
      </c>
      <c r="D571" s="46" t="s">
        <v>29</v>
      </c>
      <c r="E571" s="46" t="s">
        <v>37</v>
      </c>
      <c r="F571" s="46" t="s">
        <v>36</v>
      </c>
      <c r="G571" s="46" t="s">
        <v>36</v>
      </c>
      <c r="H571" s="46" t="s">
        <v>36</v>
      </c>
      <c r="I571" s="46" t="s">
        <v>36</v>
      </c>
      <c r="J571" s="46" t="s">
        <v>36</v>
      </c>
      <c r="K571" s="46" t="s">
        <v>36</v>
      </c>
      <c r="L571" s="46" t="s">
        <v>37</v>
      </c>
      <c r="M571" s="46" t="s">
        <v>31</v>
      </c>
      <c r="N571" s="46" t="s">
        <v>31</v>
      </c>
      <c r="O571" s="46" t="s">
        <v>31</v>
      </c>
      <c r="P571" s="46" t="s">
        <v>37</v>
      </c>
      <c r="Q571" s="46" t="s">
        <v>36</v>
      </c>
      <c r="R571" s="46" t="s">
        <v>36</v>
      </c>
      <c r="S571" s="46" t="s">
        <v>36</v>
      </c>
      <c r="T571" s="46" t="s">
        <v>36</v>
      </c>
      <c r="U571" s="46" t="s">
        <v>36</v>
      </c>
      <c r="V571" s="46" t="s">
        <v>36</v>
      </c>
      <c r="W571" s="46" t="s">
        <v>36</v>
      </c>
      <c r="X571" s="46" t="s">
        <v>36</v>
      </c>
      <c r="Y571" s="46" t="s">
        <v>36</v>
      </c>
      <c r="Z571" s="46" t="s">
        <v>37</v>
      </c>
      <c r="AA571" s="46" t="s">
        <v>337</v>
      </c>
      <c r="AB571" s="46" t="s">
        <v>337</v>
      </c>
      <c r="AC571" s="46" t="s">
        <v>31</v>
      </c>
      <c r="AD571" s="46" t="s">
        <v>36</v>
      </c>
      <c r="AE571" s="46" t="s">
        <v>36</v>
      </c>
      <c r="AF571" s="46" t="s">
        <v>36</v>
      </c>
      <c r="AG571" s="46" t="s">
        <v>37</v>
      </c>
      <c r="AH571" s="46" t="s">
        <v>43</v>
      </c>
      <c r="AI571" s="46" t="s">
        <v>36</v>
      </c>
      <c r="AJ571" s="46">
        <f>=SUM(E572:AI572)</f>
      </c>
      <c r="AK571" s="46">
        <f>=+AY571</f>
      </c>
      <c r="AL571" s="46"/>
      <c r="AM571" s="1"/>
      <c r="AN571" s="1">
        <f>=COUNTIF(E571:AI571,"A")+COUNTIF(E571:AI571,"B")+COUNTIF(E571:AI571,"C")+COUNTIF(E571:AI571,"D")+COUNTIF(E571:AI571,"E")+COUNTIF(E571:AI571,"F")+COUNTIF(E571:AI571,"M")+COUNTIF(E571:AI571,"AB")+COUNTIF(E571:AI571,"UZ")+COUNTIF(E571:AI571,"G")+(COUNTIF(E571:AI571,"RT.")/2)+(COUNTIF(E571:AI571,"ÇRT.")/2)</f>
      </c>
      <c r="AO571" s="1">
        <f>=COUNTIF(E571:AI571,"O")</f>
      </c>
      <c r="AP571" s="1">
        <f>=COUNTIF(E571:AI571,"RT")+(COUNTIF(E571:AI571,"RT.")/2)</f>
      </c>
      <c r="AQ571" s="1">
        <f>=COUNTIF(E571:AI571,"ÇRT")+(COUNTIF(E571:AI571,"ÇRT.")/2)</f>
      </c>
      <c r="AR571" s="1">
        <f>=COUNTIF(E571:AI571,"ÇHT")</f>
      </c>
      <c r="AS571" s="1">
        <f>=COUNTIF(E571:AI571,"Ö")+COUNTIF(E571:AI571,"T")</f>
      </c>
      <c r="AT571" s="1">
        <f>=COUNTIF(E571:AI571,"Y")</f>
      </c>
      <c r="AU571" s="1">
        <f>=COUNTIF(E571:AI571,"R.")</f>
      </c>
      <c r="AV571" s="1">
        <f>=COUNTIF(E571:AI571,"Ü")</f>
      </c>
      <c r="AW571" s="1">
        <f>=COUNTIF(E571:AI571,"R")</f>
      </c>
      <c r="AX571" s="1">
        <f>=COUNTIF(E571:AI571,"DV")</f>
      </c>
      <c r="AY571" s="1">
        <f>=+AN571+AO571+AP571+AQ571+AR571+AS571+AT571+AU571</f>
      </c>
    </row>
    <row r="572" ht="16" customHeight="1" spans="1:51" x14ac:dyDescent="0.25">
      <c r="A572" s="45"/>
      <c r="B572" s="46"/>
      <c r="C572" s="46"/>
      <c r="D572" s="46" t="s">
        <v>33</v>
      </c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  <c r="AC572" s="46"/>
      <c r="AD572" s="46"/>
      <c r="AE572" s="46"/>
      <c r="AF572" s="46">
        <v>2</v>
      </c>
      <c r="AG572" s="46"/>
      <c r="AH572" s="46"/>
      <c r="AI572" s="46"/>
      <c r="AJ572" s="46"/>
      <c r="AK572" s="46"/>
      <c r="AL572" s="46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</row>
    <row r="573" ht="16" customHeight="1" spans="1:51" x14ac:dyDescent="0.25">
      <c r="A573" s="45"/>
      <c r="B573" s="46" t="s">
        <v>615</v>
      </c>
      <c r="C573" s="46" t="s">
        <v>616</v>
      </c>
      <c r="D573" s="46" t="s">
        <v>29</v>
      </c>
      <c r="E573" s="46" t="s">
        <v>36</v>
      </c>
      <c r="F573" s="46" t="s">
        <v>36</v>
      </c>
      <c r="G573" s="46" t="s">
        <v>36</v>
      </c>
      <c r="H573" s="46" t="s">
        <v>36</v>
      </c>
      <c r="I573" s="46" t="s">
        <v>37</v>
      </c>
      <c r="J573" s="46" t="s">
        <v>36</v>
      </c>
      <c r="K573" s="46" t="s">
        <v>36</v>
      </c>
      <c r="L573" s="46" t="s">
        <v>36</v>
      </c>
      <c r="M573" s="46" t="s">
        <v>36</v>
      </c>
      <c r="N573" s="46" t="s">
        <v>36</v>
      </c>
      <c r="O573" s="46" t="s">
        <v>36</v>
      </c>
      <c r="P573" s="46" t="s">
        <v>37</v>
      </c>
      <c r="Q573" s="46" t="s">
        <v>36</v>
      </c>
      <c r="R573" s="46" t="s">
        <v>36</v>
      </c>
      <c r="S573" s="46" t="s">
        <v>36</v>
      </c>
      <c r="T573" s="46" t="s">
        <v>36</v>
      </c>
      <c r="U573" s="46" t="s">
        <v>36</v>
      </c>
      <c r="V573" s="46" t="s">
        <v>36</v>
      </c>
      <c r="W573" s="46" t="s">
        <v>37</v>
      </c>
      <c r="X573" s="46" t="s">
        <v>36</v>
      </c>
      <c r="Y573" s="46" t="s">
        <v>36</v>
      </c>
      <c r="Z573" s="46" t="s">
        <v>36</v>
      </c>
      <c r="AA573" s="46" t="s">
        <v>36</v>
      </c>
      <c r="AB573" s="46" t="s">
        <v>36</v>
      </c>
      <c r="AC573" s="46" t="s">
        <v>36</v>
      </c>
      <c r="AD573" s="46" t="s">
        <v>36</v>
      </c>
      <c r="AE573" s="46" t="s">
        <v>36</v>
      </c>
      <c r="AF573" s="46" t="s">
        <v>37</v>
      </c>
      <c r="AG573" s="46" t="s">
        <v>36</v>
      </c>
      <c r="AH573" s="46" t="s">
        <v>43</v>
      </c>
      <c r="AI573" s="46" t="s">
        <v>36</v>
      </c>
      <c r="AJ573" s="46">
        <f>=SUM(E574:AI574)</f>
      </c>
      <c r="AK573" s="46">
        <f>=+AY573</f>
      </c>
      <c r="AL573" s="46"/>
      <c r="AM573" s="1"/>
      <c r="AN573" s="1">
        <f>=COUNTIF(E573:AI573,"A")+COUNTIF(E573:AI573,"B")+COUNTIF(E573:AI573,"C")+COUNTIF(E573:AI573,"D")+COUNTIF(E573:AI573,"E")+COUNTIF(E573:AI573,"F")+COUNTIF(E573:AI573,"M")+COUNTIF(E573:AI573,"AB")+COUNTIF(E573:AI573,"UZ")+COUNTIF(E573:AI573,"G")+(COUNTIF(E573:AI573,"RT.")/2)+(COUNTIF(E573:AI573,"ÇRT.")/2)</f>
      </c>
      <c r="AO573" s="1">
        <f>=COUNTIF(E573:AI573,"O")</f>
      </c>
      <c r="AP573" s="1">
        <f>=COUNTIF(E573:AI573,"RT")+(COUNTIF(E573:AI573,"RT.")/2)</f>
      </c>
      <c r="AQ573" s="1">
        <f>=COUNTIF(E573:AI573,"ÇRT")+(COUNTIF(E573:AI573,"ÇRT.")/2)</f>
      </c>
      <c r="AR573" s="1">
        <f>=COUNTIF(E573:AI573,"ÇHT")</f>
      </c>
      <c r="AS573" s="1">
        <f>=COUNTIF(E573:AI573,"Ö")+COUNTIF(E573:AI573,"T")</f>
      </c>
      <c r="AT573" s="1">
        <f>=COUNTIF(E573:AI573,"Y")</f>
      </c>
      <c r="AU573" s="1">
        <f>=COUNTIF(E573:AI573,"R.")</f>
      </c>
      <c r="AV573" s="1">
        <f>=COUNTIF(E573:AI573,"Ü")</f>
      </c>
      <c r="AW573" s="1">
        <f>=COUNTIF(E573:AI573,"R")</f>
      </c>
      <c r="AX573" s="1">
        <f>=COUNTIF(E573:AI573,"DV")</f>
      </c>
      <c r="AY573" s="1">
        <f>=+AN573+AO573+AP573+AQ573+AR573+AS573+AT573+AU573</f>
      </c>
    </row>
    <row r="574" ht="16" customHeight="1" spans="1:51" x14ac:dyDescent="0.25">
      <c r="A574" s="45"/>
      <c r="B574" s="46"/>
      <c r="C574" s="46"/>
      <c r="D574" s="46" t="s">
        <v>33</v>
      </c>
      <c r="E574" s="46"/>
      <c r="F574" s="46"/>
      <c r="G574" s="46">
        <v>2</v>
      </c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>
        <v>3</v>
      </c>
      <c r="S574" s="46"/>
      <c r="T574" s="46"/>
      <c r="U574" s="46"/>
      <c r="V574" s="46"/>
      <c r="W574" s="46"/>
      <c r="X574" s="46"/>
      <c r="Y574" s="46"/>
      <c r="Z574" s="46"/>
      <c r="AA574" s="46"/>
      <c r="AB574" s="46"/>
      <c r="AC574" s="46"/>
      <c r="AD574" s="46"/>
      <c r="AE574" s="46"/>
      <c r="AF574" s="46"/>
      <c r="AG574" s="46">
        <v>3</v>
      </c>
      <c r="AH574" s="46">
        <v>2</v>
      </c>
      <c r="AI574" s="46"/>
      <c r="AJ574" s="46"/>
      <c r="AK574" s="46"/>
      <c r="AL574" s="46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</row>
    <row r="575" ht="16" customHeight="1" spans="1:51" x14ac:dyDescent="0.25">
      <c r="A575" s="45"/>
      <c r="B575" s="46" t="s">
        <v>617</v>
      </c>
      <c r="C575" s="46" t="s">
        <v>618</v>
      </c>
      <c r="D575" s="46" t="s">
        <v>29</v>
      </c>
      <c r="E575" s="46" t="s">
        <v>30</v>
      </c>
      <c r="F575" s="46" t="s">
        <v>37</v>
      </c>
      <c r="G575" s="46" t="s">
        <v>36</v>
      </c>
      <c r="H575" s="46" t="s">
        <v>36</v>
      </c>
      <c r="I575" s="46" t="s">
        <v>36</v>
      </c>
      <c r="J575" s="46" t="s">
        <v>36</v>
      </c>
      <c r="K575" s="46" t="s">
        <v>36</v>
      </c>
      <c r="L575" s="46" t="s">
        <v>36</v>
      </c>
      <c r="M575" s="46" t="s">
        <v>36</v>
      </c>
      <c r="N575" s="46" t="s">
        <v>37</v>
      </c>
      <c r="O575" s="46" t="s">
        <v>36</v>
      </c>
      <c r="P575" s="46" t="s">
        <v>36</v>
      </c>
      <c r="Q575" s="46" t="s">
        <v>36</v>
      </c>
      <c r="R575" s="46" t="s">
        <v>36</v>
      </c>
      <c r="S575" s="46" t="s">
        <v>36</v>
      </c>
      <c r="T575" s="46" t="s">
        <v>36</v>
      </c>
      <c r="U575" s="46" t="s">
        <v>36</v>
      </c>
      <c r="V575" s="46" t="s">
        <v>37</v>
      </c>
      <c r="W575" s="46" t="s">
        <v>30</v>
      </c>
      <c r="X575" s="46" t="s">
        <v>30</v>
      </c>
      <c r="Y575" s="46" t="s">
        <v>30</v>
      </c>
      <c r="Z575" s="46" t="s">
        <v>30</v>
      </c>
      <c r="AA575" s="46" t="s">
        <v>30</v>
      </c>
      <c r="AB575" s="46" t="s">
        <v>37</v>
      </c>
      <c r="AC575" s="46" t="s">
        <v>30</v>
      </c>
      <c r="AD575" s="46" t="s">
        <v>30</v>
      </c>
      <c r="AE575" s="46" t="s">
        <v>30</v>
      </c>
      <c r="AF575" s="46" t="s">
        <v>30</v>
      </c>
      <c r="AG575" s="46" t="s">
        <v>30</v>
      </c>
      <c r="AH575" s="46" t="s">
        <v>43</v>
      </c>
      <c r="AI575" s="46" t="s">
        <v>30</v>
      </c>
      <c r="AJ575" s="46">
        <f>=SUM(E576:AI576)</f>
      </c>
      <c r="AK575" s="46">
        <f>=+AY575</f>
      </c>
      <c r="AL575" s="46"/>
      <c r="AM575" s="1"/>
      <c r="AN575" s="1">
        <f>=COUNTIF(E575:AI575,"A")+COUNTIF(E575:AI575,"B")+COUNTIF(E575:AI575,"C")+COUNTIF(E575:AI575,"D")+COUNTIF(E575:AI575,"E")+COUNTIF(E575:AI575,"F")+COUNTIF(E575:AI575,"M")+COUNTIF(E575:AI575,"AB")+COUNTIF(E575:AI575,"UZ")+COUNTIF(E575:AI575,"G")+(COUNTIF(E575:AI575,"RT.")/2)+(COUNTIF(E575:AI575,"ÇRT.")/2)</f>
      </c>
      <c r="AO575" s="1">
        <f>=COUNTIF(E575:AI575,"O")</f>
      </c>
      <c r="AP575" s="1">
        <f>=COUNTIF(E575:AI575,"RT")+(COUNTIF(E575:AI575,"RT.")/2)</f>
      </c>
      <c r="AQ575" s="1">
        <f>=COUNTIF(E575:AI575,"ÇRT")+(COUNTIF(E575:AI575,"ÇRT.")/2)</f>
      </c>
      <c r="AR575" s="1">
        <f>=COUNTIF(E575:AI575,"ÇHT")</f>
      </c>
      <c r="AS575" s="1">
        <f>=COUNTIF(E575:AI575,"Ö")+COUNTIF(E575:AI575,"T")</f>
      </c>
      <c r="AT575" s="1">
        <f>=COUNTIF(E575:AI575,"Y")</f>
      </c>
      <c r="AU575" s="1">
        <f>=COUNTIF(E575:AI575,"R.")</f>
      </c>
      <c r="AV575" s="1">
        <f>=COUNTIF(E575:AI575,"Ü")</f>
      </c>
      <c r="AW575" s="1">
        <f>=COUNTIF(E575:AI575,"R")</f>
      </c>
      <c r="AX575" s="1">
        <f>=COUNTIF(E575:AI575,"DV")</f>
      </c>
      <c r="AY575" s="1">
        <f>=+AN575+AO575+AP575+AQ575+AR575+AS575+AT575+AU575</f>
      </c>
    </row>
    <row r="576" ht="16" customHeight="1" spans="1:51" x14ac:dyDescent="0.25">
      <c r="A576" s="45"/>
      <c r="B576" s="46"/>
      <c r="C576" s="46"/>
      <c r="D576" s="46" t="s">
        <v>33</v>
      </c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  <c r="AC576" s="46"/>
      <c r="AD576" s="46"/>
      <c r="AE576" s="46"/>
      <c r="AF576" s="46"/>
      <c r="AG576" s="46"/>
      <c r="AH576" s="46"/>
      <c r="AI576" s="46"/>
      <c r="AJ576" s="46"/>
      <c r="AK576" s="46"/>
      <c r="AL576" s="46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</row>
    <row r="577" ht="16" customHeight="1" spans="1:51" x14ac:dyDescent="0.25">
      <c r="A577" s="45"/>
      <c r="B577" s="46" t="s">
        <v>619</v>
      </c>
      <c r="C577" s="46" t="s">
        <v>620</v>
      </c>
      <c r="D577" s="46" t="s">
        <v>29</v>
      </c>
      <c r="E577" s="46" t="s">
        <v>36</v>
      </c>
      <c r="F577" s="46" t="s">
        <v>36</v>
      </c>
      <c r="G577" s="46" t="s">
        <v>36</v>
      </c>
      <c r="H577" s="46" t="s">
        <v>36</v>
      </c>
      <c r="I577" s="46" t="s">
        <v>36</v>
      </c>
      <c r="J577" s="46" t="s">
        <v>37</v>
      </c>
      <c r="K577" s="46" t="s">
        <v>36</v>
      </c>
      <c r="L577" s="46" t="s">
        <v>36</v>
      </c>
      <c r="M577" s="46" t="s">
        <v>36</v>
      </c>
      <c r="N577" s="46" t="s">
        <v>36</v>
      </c>
      <c r="O577" s="46" t="s">
        <v>36</v>
      </c>
      <c r="P577" s="46" t="s">
        <v>37</v>
      </c>
      <c r="Q577" s="46" t="s">
        <v>36</v>
      </c>
      <c r="R577" s="46" t="s">
        <v>36</v>
      </c>
      <c r="S577" s="46" t="s">
        <v>36</v>
      </c>
      <c r="T577" s="46" t="s">
        <v>36</v>
      </c>
      <c r="U577" s="46" t="s">
        <v>36</v>
      </c>
      <c r="V577" s="46" t="s">
        <v>36</v>
      </c>
      <c r="W577" s="46" t="s">
        <v>37</v>
      </c>
      <c r="X577" s="46" t="s">
        <v>36</v>
      </c>
      <c r="Y577" s="46" t="s">
        <v>36</v>
      </c>
      <c r="Z577" s="46" t="s">
        <v>36</v>
      </c>
      <c r="AA577" s="46" t="s">
        <v>36</v>
      </c>
      <c r="AB577" s="46" t="s">
        <v>36</v>
      </c>
      <c r="AC577" s="46" t="s">
        <v>36</v>
      </c>
      <c r="AD577" s="46" t="s">
        <v>37</v>
      </c>
      <c r="AE577" s="46" t="s">
        <v>36</v>
      </c>
      <c r="AF577" s="46" t="s">
        <v>36</v>
      </c>
      <c r="AG577" s="46" t="s">
        <v>36</v>
      </c>
      <c r="AH577" s="46" t="s">
        <v>43</v>
      </c>
      <c r="AI577" s="46" t="s">
        <v>36</v>
      </c>
      <c r="AJ577" s="46">
        <f>=SUM(E578:AI578)</f>
      </c>
      <c r="AK577" s="46">
        <f>=+AY577</f>
      </c>
      <c r="AL577" s="46"/>
      <c r="AM577" s="1"/>
      <c r="AN577" s="1">
        <f>=COUNTIF(E577:AI577,"A")+COUNTIF(E577:AI577,"B")+COUNTIF(E577:AI577,"C")+COUNTIF(E577:AI577,"D")+COUNTIF(E577:AI577,"E")+COUNTIF(E577:AI577,"F")+COUNTIF(E577:AI577,"M")+COUNTIF(E577:AI577,"AB")+COUNTIF(E577:AI577,"UZ")+COUNTIF(E577:AI577,"G")+(COUNTIF(E577:AI577,"RT.")/2)+(COUNTIF(E577:AI577,"ÇRT.")/2)</f>
      </c>
      <c r="AO577" s="1">
        <f>=COUNTIF(E577:AI577,"O")</f>
      </c>
      <c r="AP577" s="1">
        <f>=COUNTIF(E577:AI577,"RT")+(COUNTIF(E577:AI577,"RT.")/2)</f>
      </c>
      <c r="AQ577" s="1">
        <f>=COUNTIF(E577:AI577,"ÇRT")+(COUNTIF(E577:AI577,"ÇRT.")/2)</f>
      </c>
      <c r="AR577" s="1">
        <f>=COUNTIF(E577:AI577,"ÇHT")</f>
      </c>
      <c r="AS577" s="1">
        <f>=COUNTIF(E577:AI577,"Ö")+COUNTIF(E577:AI577,"T")</f>
      </c>
      <c r="AT577" s="1">
        <f>=COUNTIF(E577:AI577,"Y")</f>
      </c>
      <c r="AU577" s="1">
        <f>=COUNTIF(E577:AI577,"R.")</f>
      </c>
      <c r="AV577" s="1">
        <f>=COUNTIF(E577:AI577,"Ü")</f>
      </c>
      <c r="AW577" s="1">
        <f>=COUNTIF(E577:AI577,"R")</f>
      </c>
      <c r="AX577" s="1">
        <f>=COUNTIF(E577:AI577,"DV")</f>
      </c>
      <c r="AY577" s="1">
        <f>=+AN577+AO577+AP577+AQ577+AR577+AS577+AT577+AU577</f>
      </c>
    </row>
    <row r="578" ht="16" customHeight="1" spans="1:51" x14ac:dyDescent="0.25">
      <c r="A578" s="45"/>
      <c r="B578" s="46"/>
      <c r="C578" s="46"/>
      <c r="D578" s="46" t="s">
        <v>33</v>
      </c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>
        <v>1</v>
      </c>
      <c r="Z578" s="46"/>
      <c r="AA578" s="46"/>
      <c r="AB578" s="46"/>
      <c r="AC578" s="46"/>
      <c r="AD578" s="46"/>
      <c r="AE578" s="46"/>
      <c r="AF578" s="46"/>
      <c r="AG578" s="46">
        <v>3</v>
      </c>
      <c r="AH578" s="46">
        <v>2</v>
      </c>
      <c r="AI578" s="46"/>
      <c r="AJ578" s="46"/>
      <c r="AK578" s="46"/>
      <c r="AL578" s="46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</row>
    <row r="579" ht="16" customHeight="1" spans="1:51" x14ac:dyDescent="0.25">
      <c r="A579" s="45"/>
      <c r="B579" s="46" t="s">
        <v>621</v>
      </c>
      <c r="C579" s="46" t="s">
        <v>622</v>
      </c>
      <c r="D579" s="46" t="s">
        <v>29</v>
      </c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  <c r="AC579" s="46"/>
      <c r="AD579" s="46"/>
      <c r="AE579" s="46"/>
      <c r="AF579" s="46"/>
      <c r="AG579" s="46"/>
      <c r="AH579" s="46"/>
      <c r="AI579" s="46"/>
      <c r="AJ579" s="46">
        <f>=SUM(E580:AI580)</f>
      </c>
      <c r="AK579" s="46">
        <f>=+AY579</f>
      </c>
      <c r="AL579" s="46"/>
      <c r="AM579" s="1"/>
      <c r="AN579" s="1">
        <f>=COUNTIF(E579:AI579,"A")+COUNTIF(E579:AI579,"B")+COUNTIF(E579:AI579,"C")+COUNTIF(E579:AI579,"D")+COUNTIF(E579:AI579,"E")+COUNTIF(E579:AI579,"F")+COUNTIF(E579:AI579,"M")+COUNTIF(E579:AI579,"AB")+COUNTIF(E579:AI579,"UZ")+COUNTIF(E579:AI579,"G")+(COUNTIF(E579:AI579,"RT.")/2)+(COUNTIF(E579:AI579,"ÇRT.")/2)</f>
      </c>
      <c r="AO579" s="1">
        <f>=COUNTIF(E579:AI579,"O")</f>
      </c>
      <c r="AP579" s="1">
        <f>=COUNTIF(E579:AI579,"RT")+(COUNTIF(E579:AI579,"RT.")/2)</f>
      </c>
      <c r="AQ579" s="1">
        <f>=COUNTIF(E579:AI579,"ÇRT")+(COUNTIF(E579:AI579,"ÇRT.")/2)</f>
      </c>
      <c r="AR579" s="1">
        <f>=COUNTIF(E579:AI579,"ÇHT")</f>
      </c>
      <c r="AS579" s="1">
        <f>=COUNTIF(E579:AI579,"Ö")+COUNTIF(E579:AI579,"T")</f>
      </c>
      <c r="AT579" s="1">
        <f>=COUNTIF(E579:AI579,"Y")</f>
      </c>
      <c r="AU579" s="1">
        <f>=COUNTIF(E579:AI579,"R.")</f>
      </c>
      <c r="AV579" s="1">
        <f>=COUNTIF(E579:AI579,"Ü")</f>
      </c>
      <c r="AW579" s="1">
        <f>=COUNTIF(E579:AI579,"R")</f>
      </c>
      <c r="AX579" s="1">
        <f>=COUNTIF(E579:AI579,"DV")</f>
      </c>
      <c r="AY579" s="1">
        <f>=+AN579+AO579+AP579+AQ579+AR579+AS579+AT579+AU579</f>
      </c>
    </row>
    <row r="580" ht="16" customHeight="1" spans="1:51" x14ac:dyDescent="0.25">
      <c r="A580" s="45"/>
      <c r="B580" s="46"/>
      <c r="C580" s="46"/>
      <c r="D580" s="46" t="s">
        <v>33</v>
      </c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  <c r="AC580" s="46"/>
      <c r="AD580" s="46"/>
      <c r="AE580" s="46"/>
      <c r="AF580" s="46"/>
      <c r="AG580" s="46"/>
      <c r="AH580" s="46"/>
      <c r="AI580" s="46"/>
      <c r="AJ580" s="46"/>
      <c r="AK580" s="46"/>
      <c r="AL580" s="46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</row>
    <row r="581" ht="16" customHeight="1" spans="1:51" x14ac:dyDescent="0.25">
      <c r="A581" s="45"/>
      <c r="B581" s="46" t="s">
        <v>623</v>
      </c>
      <c r="C581" s="46" t="s">
        <v>624</v>
      </c>
      <c r="D581" s="46" t="s">
        <v>29</v>
      </c>
      <c r="E581" s="46" t="s">
        <v>36</v>
      </c>
      <c r="F581" s="46" t="s">
        <v>36</v>
      </c>
      <c r="G581" s="46" t="s">
        <v>37</v>
      </c>
      <c r="H581" s="46" t="s">
        <v>36</v>
      </c>
      <c r="I581" s="46" t="s">
        <v>36</v>
      </c>
      <c r="J581" s="46" t="s">
        <v>36</v>
      </c>
      <c r="K581" s="46" t="s">
        <v>36</v>
      </c>
      <c r="L581" s="46" t="s">
        <v>36</v>
      </c>
      <c r="M581" s="46" t="s">
        <v>36</v>
      </c>
      <c r="N581" s="46" t="s">
        <v>36</v>
      </c>
      <c r="O581" s="46" t="s">
        <v>37</v>
      </c>
      <c r="P581" s="46" t="s">
        <v>36</v>
      </c>
      <c r="Q581" s="46" t="s">
        <v>36</v>
      </c>
      <c r="R581" s="46" t="s">
        <v>36</v>
      </c>
      <c r="S581" s="46" t="s">
        <v>36</v>
      </c>
      <c r="T581" s="46" t="s">
        <v>36</v>
      </c>
      <c r="U581" s="46" t="s">
        <v>37</v>
      </c>
      <c r="V581" s="46" t="s">
        <v>36</v>
      </c>
      <c r="W581" s="46" t="s">
        <v>36</v>
      </c>
      <c r="X581" s="46" t="s">
        <v>36</v>
      </c>
      <c r="Y581" s="46" t="s">
        <v>36</v>
      </c>
      <c r="Z581" s="46" t="s">
        <v>36</v>
      </c>
      <c r="AA581" s="46" t="s">
        <v>36</v>
      </c>
      <c r="AB581" s="46" t="s">
        <v>37</v>
      </c>
      <c r="AC581" s="46" t="s">
        <v>36</v>
      </c>
      <c r="AD581" s="46" t="s">
        <v>36</v>
      </c>
      <c r="AE581" s="46" t="s">
        <v>36</v>
      </c>
      <c r="AF581" s="46" t="s">
        <v>36</v>
      </c>
      <c r="AG581" s="46" t="s">
        <v>36</v>
      </c>
      <c r="AH581" s="46" t="s">
        <v>43</v>
      </c>
      <c r="AI581" s="46" t="s">
        <v>37</v>
      </c>
      <c r="AJ581" s="46">
        <f>=SUM(E582:AI582)</f>
      </c>
      <c r="AK581" s="46">
        <f>=+AY581</f>
      </c>
      <c r="AL581" s="46"/>
      <c r="AM581" s="1"/>
      <c r="AN581" s="1">
        <f>=COUNTIF(E581:AI581,"A")+COUNTIF(E581:AI581,"B")+COUNTIF(E581:AI581,"C")+COUNTIF(E581:AI581,"D")+COUNTIF(E581:AI581,"E")+COUNTIF(E581:AI581,"F")+COUNTIF(E581:AI581,"M")+COUNTIF(E581:AI581,"AB")+COUNTIF(E581:AI581,"UZ")+COUNTIF(E581:AI581,"G")+(COUNTIF(E581:AI581,"RT.")/2)+(COUNTIF(E581:AI581,"ÇRT.")/2)</f>
      </c>
      <c r="AO581" s="1">
        <f>=COUNTIF(E581:AI581,"O")</f>
      </c>
      <c r="AP581" s="1">
        <f>=COUNTIF(E581:AI581,"RT")+(COUNTIF(E581:AI581,"RT.")/2)</f>
      </c>
      <c r="AQ581" s="1">
        <f>=COUNTIF(E581:AI581,"ÇRT")+(COUNTIF(E581:AI581,"ÇRT.")/2)</f>
      </c>
      <c r="AR581" s="1">
        <f>=COUNTIF(E581:AI581,"ÇHT")</f>
      </c>
      <c r="AS581" s="1">
        <f>=COUNTIF(E581:AI581,"Ö")+COUNTIF(E581:AI581,"T")</f>
      </c>
      <c r="AT581" s="1">
        <f>=COUNTIF(E581:AI581,"Y")</f>
      </c>
      <c r="AU581" s="1">
        <f>=COUNTIF(E581:AI581,"R.")</f>
      </c>
      <c r="AV581" s="1">
        <f>=COUNTIF(E581:AI581,"Ü")</f>
      </c>
      <c r="AW581" s="1">
        <f>=COUNTIF(E581:AI581,"R")</f>
      </c>
      <c r="AX581" s="1">
        <f>=COUNTIF(E581:AI581,"DV")</f>
      </c>
      <c r="AY581" s="1">
        <f>=+AN581+AO581+AP581+AQ581+AR581+AS581+AT581+AU581</f>
      </c>
    </row>
    <row r="582" ht="16" customHeight="1" spans="1:51" x14ac:dyDescent="0.25">
      <c r="A582" s="45"/>
      <c r="B582" s="46"/>
      <c r="C582" s="46"/>
      <c r="D582" s="46" t="s">
        <v>33</v>
      </c>
      <c r="E582" s="46"/>
      <c r="F582" s="46"/>
      <c r="G582" s="46"/>
      <c r="H582" s="46"/>
      <c r="I582" s="46"/>
      <c r="J582" s="46"/>
      <c r="K582" s="46"/>
      <c r="L582" s="46"/>
      <c r="M582" s="46">
        <v>1</v>
      </c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  <c r="AC582" s="46"/>
      <c r="AD582" s="46"/>
      <c r="AE582" s="46"/>
      <c r="AF582" s="46"/>
      <c r="AG582" s="46">
        <v>3</v>
      </c>
      <c r="AH582" s="46">
        <v>2</v>
      </c>
      <c r="AI582" s="46"/>
      <c r="AJ582" s="46"/>
      <c r="AK582" s="46"/>
      <c r="AL582" s="46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</row>
    <row r="583" ht="16" customHeight="1" spans="1:51" x14ac:dyDescent="0.25">
      <c r="A583" s="45"/>
      <c r="B583" s="46" t="s">
        <v>625</v>
      </c>
      <c r="C583" s="46" t="s">
        <v>626</v>
      </c>
      <c r="D583" s="46" t="s">
        <v>29</v>
      </c>
      <c r="E583" s="46" t="s">
        <v>36</v>
      </c>
      <c r="F583" s="46" t="s">
        <v>36</v>
      </c>
      <c r="G583" s="46" t="s">
        <v>36</v>
      </c>
      <c r="H583" s="46" t="s">
        <v>37</v>
      </c>
      <c r="I583" s="46" t="s">
        <v>36</v>
      </c>
      <c r="J583" s="46" t="s">
        <v>36</v>
      </c>
      <c r="K583" s="46" t="s">
        <v>36</v>
      </c>
      <c r="L583" s="46" t="s">
        <v>36</v>
      </c>
      <c r="M583" s="46" t="s">
        <v>36</v>
      </c>
      <c r="N583" s="46" t="s">
        <v>222</v>
      </c>
      <c r="O583" s="46" t="s">
        <v>36</v>
      </c>
      <c r="P583" s="46" t="s">
        <v>36</v>
      </c>
      <c r="Q583" s="46" t="s">
        <v>36</v>
      </c>
      <c r="R583" s="46" t="s">
        <v>36</v>
      </c>
      <c r="S583" s="46" t="s">
        <v>36</v>
      </c>
      <c r="T583" s="46" t="s">
        <v>36</v>
      </c>
      <c r="U583" s="46" t="s">
        <v>37</v>
      </c>
      <c r="V583" s="46" t="s">
        <v>36</v>
      </c>
      <c r="W583" s="46" t="s">
        <v>36</v>
      </c>
      <c r="X583" s="46" t="s">
        <v>36</v>
      </c>
      <c r="Y583" s="46" t="s">
        <v>36</v>
      </c>
      <c r="Z583" s="46" t="s">
        <v>36</v>
      </c>
      <c r="AA583" s="46" t="s">
        <v>36</v>
      </c>
      <c r="AB583" s="46" t="s">
        <v>37</v>
      </c>
      <c r="AC583" s="46" t="s">
        <v>36</v>
      </c>
      <c r="AD583" s="46" t="s">
        <v>36</v>
      </c>
      <c r="AE583" s="46" t="s">
        <v>36</v>
      </c>
      <c r="AF583" s="46" t="s">
        <v>36</v>
      </c>
      <c r="AG583" s="46" t="s">
        <v>36</v>
      </c>
      <c r="AH583" s="46" t="s">
        <v>43</v>
      </c>
      <c r="AI583" s="46" t="s">
        <v>37</v>
      </c>
      <c r="AJ583" s="46">
        <f>=SUM(E584:AI584)</f>
      </c>
      <c r="AK583" s="46">
        <f>=+AY583</f>
      </c>
      <c r="AL583" s="46"/>
      <c r="AM583" s="1"/>
      <c r="AN583" s="1">
        <f>=COUNTIF(E583:AI583,"A")+COUNTIF(E583:AI583,"B")+COUNTIF(E583:AI583,"C")+COUNTIF(E583:AI583,"D")+COUNTIF(E583:AI583,"E")+COUNTIF(E583:AI583,"F")+COUNTIF(E583:AI583,"M")+COUNTIF(E583:AI583,"AB")+COUNTIF(E583:AI583,"UZ")+COUNTIF(E583:AI583,"G")+(COUNTIF(E583:AI583,"RT.")/2)+(COUNTIF(E583:AI583,"ÇRT.")/2)</f>
      </c>
      <c r="AO583" s="1">
        <f>=COUNTIF(E583:AI583,"O")</f>
      </c>
      <c r="AP583" s="1">
        <f>=COUNTIF(E583:AI583,"RT")+(COUNTIF(E583:AI583,"RT.")/2)</f>
      </c>
      <c r="AQ583" s="1">
        <f>=COUNTIF(E583:AI583,"ÇRT")+(COUNTIF(E583:AI583,"ÇRT.")/2)</f>
      </c>
      <c r="AR583" s="1">
        <f>=COUNTIF(E583:AI583,"ÇHT")</f>
      </c>
      <c r="AS583" s="1">
        <f>=COUNTIF(E583:AI583,"Ö")+COUNTIF(E583:AI583,"T")</f>
      </c>
      <c r="AT583" s="1">
        <f>=COUNTIF(E583:AI583,"Y")</f>
      </c>
      <c r="AU583" s="1">
        <f>=COUNTIF(E583:AI583,"R.")</f>
      </c>
      <c r="AV583" s="1">
        <f>=COUNTIF(E583:AI583,"Ü")</f>
      </c>
      <c r="AW583" s="1">
        <f>=COUNTIF(E583:AI583,"R")</f>
      </c>
      <c r="AX583" s="1">
        <f>=COUNTIF(E583:AI583,"DV")</f>
      </c>
      <c r="AY583" s="1">
        <f>=+AN583+AO583+AP583+AQ583+AR583+AS583+AT583+AU583</f>
      </c>
    </row>
    <row r="584" ht="16" customHeight="1" spans="1:51" x14ac:dyDescent="0.25">
      <c r="A584" s="45"/>
      <c r="B584" s="46"/>
      <c r="C584" s="46"/>
      <c r="D584" s="46" t="s">
        <v>33</v>
      </c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  <c r="AC584" s="46"/>
      <c r="AD584" s="46"/>
      <c r="AE584" s="46"/>
      <c r="AF584" s="46"/>
      <c r="AG584" s="46">
        <v>3</v>
      </c>
      <c r="AH584" s="46">
        <v>2</v>
      </c>
      <c r="AI584" s="46"/>
      <c r="AJ584" s="46"/>
      <c r="AK584" s="46"/>
      <c r="AL584" s="46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</row>
    <row r="585" ht="16" customHeight="1" spans="1:51" x14ac:dyDescent="0.25">
      <c r="A585" s="45"/>
      <c r="B585" s="46" t="s">
        <v>627</v>
      </c>
      <c r="C585" s="46" t="s">
        <v>628</v>
      </c>
      <c r="D585" s="46" t="s">
        <v>29</v>
      </c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  <c r="AC585" s="46"/>
      <c r="AD585" s="46"/>
      <c r="AE585" s="46"/>
      <c r="AF585" s="46"/>
      <c r="AG585" s="46"/>
      <c r="AH585" s="46"/>
      <c r="AI585" s="46"/>
      <c r="AJ585" s="46">
        <f>=SUM(E586:AI586)</f>
      </c>
      <c r="AK585" s="46">
        <f>=+AY585</f>
      </c>
      <c r="AL585" s="46"/>
      <c r="AM585" s="1"/>
      <c r="AN585" s="1">
        <f>=COUNTIF(E585:AI585,"A")+COUNTIF(E585:AI585,"B")+COUNTIF(E585:AI585,"C")+COUNTIF(E585:AI585,"D")+COUNTIF(E585:AI585,"E")+COUNTIF(E585:AI585,"F")+COUNTIF(E585:AI585,"M")+COUNTIF(E585:AI585,"AB")+COUNTIF(E585:AI585,"UZ")+COUNTIF(E585:AI585,"G")+(COUNTIF(E585:AI585,"RT.")/2)+(COUNTIF(E585:AI585,"ÇRT.")/2)</f>
      </c>
      <c r="AO585" s="1">
        <f>=COUNTIF(E585:AI585,"O")</f>
      </c>
      <c r="AP585" s="1">
        <f>=COUNTIF(E585:AI585,"RT")+(COUNTIF(E585:AI585,"RT.")/2)</f>
      </c>
      <c r="AQ585" s="1">
        <f>=COUNTIF(E585:AI585,"ÇRT")+(COUNTIF(E585:AI585,"ÇRT.")/2)</f>
      </c>
      <c r="AR585" s="1">
        <f>=COUNTIF(E585:AI585,"ÇHT")</f>
      </c>
      <c r="AS585" s="1">
        <f>=COUNTIF(E585:AI585,"Ö")+COUNTIF(E585:AI585,"T")</f>
      </c>
      <c r="AT585" s="1">
        <f>=COUNTIF(E585:AI585,"Y")</f>
      </c>
      <c r="AU585" s="1">
        <f>=COUNTIF(E585:AI585,"R.")</f>
      </c>
      <c r="AV585" s="1">
        <f>=COUNTIF(E585:AI585,"Ü")</f>
      </c>
      <c r="AW585" s="1">
        <f>=COUNTIF(E585:AI585,"R")</f>
      </c>
      <c r="AX585" s="1">
        <f>=COUNTIF(E585:AI585,"DV")</f>
      </c>
      <c r="AY585" s="1">
        <f>=+AN585+AO585+AP585+AQ585+AR585+AS585+AT585+AU585</f>
      </c>
    </row>
    <row r="586" ht="16" customHeight="1" spans="1:51" x14ac:dyDescent="0.25">
      <c r="A586" s="45"/>
      <c r="B586" s="46"/>
      <c r="C586" s="46"/>
      <c r="D586" s="46" t="s">
        <v>33</v>
      </c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  <c r="AC586" s="46"/>
      <c r="AD586" s="46"/>
      <c r="AE586" s="46"/>
      <c r="AF586" s="46"/>
      <c r="AG586" s="46"/>
      <c r="AH586" s="46"/>
      <c r="AI586" s="46"/>
      <c r="AJ586" s="46"/>
      <c r="AK586" s="46"/>
      <c r="AL586" s="46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</row>
    <row r="587" ht="16" customHeight="1" spans="1:51" x14ac:dyDescent="0.25">
      <c r="A587" s="45"/>
      <c r="B587" s="46" t="s">
        <v>629</v>
      </c>
      <c r="C587" s="46" t="s">
        <v>630</v>
      </c>
      <c r="D587" s="46" t="s">
        <v>29</v>
      </c>
      <c r="E587" s="46" t="s">
        <v>36</v>
      </c>
      <c r="F587" s="46" t="s">
        <v>36</v>
      </c>
      <c r="G587" s="46" t="s">
        <v>36</v>
      </c>
      <c r="H587" s="46" t="s">
        <v>36</v>
      </c>
      <c r="I587" s="46" t="s">
        <v>36</v>
      </c>
      <c r="J587" s="46" t="s">
        <v>37</v>
      </c>
      <c r="K587" s="46" t="s">
        <v>36</v>
      </c>
      <c r="L587" s="46" t="s">
        <v>36</v>
      </c>
      <c r="M587" s="46" t="s">
        <v>36</v>
      </c>
      <c r="N587" s="46" t="s">
        <v>36</v>
      </c>
      <c r="O587" s="46" t="s">
        <v>36</v>
      </c>
      <c r="P587" s="46" t="s">
        <v>36</v>
      </c>
      <c r="Q587" s="46" t="s">
        <v>37</v>
      </c>
      <c r="R587" s="46" t="s">
        <v>36</v>
      </c>
      <c r="S587" s="46" t="s">
        <v>36</v>
      </c>
      <c r="T587" s="46" t="s">
        <v>36</v>
      </c>
      <c r="U587" s="46" t="s">
        <v>36</v>
      </c>
      <c r="V587" s="46" t="s">
        <v>36</v>
      </c>
      <c r="W587" s="46" t="s">
        <v>36</v>
      </c>
      <c r="X587" s="46" t="s">
        <v>37</v>
      </c>
      <c r="Y587" s="46" t="s">
        <v>36</v>
      </c>
      <c r="Z587" s="46" t="s">
        <v>36</v>
      </c>
      <c r="AA587" s="46" t="s">
        <v>36</v>
      </c>
      <c r="AB587" s="46" t="s">
        <v>36</v>
      </c>
      <c r="AC587" s="46" t="s">
        <v>36</v>
      </c>
      <c r="AD587" s="46" t="s">
        <v>36</v>
      </c>
      <c r="AE587" s="46" t="s">
        <v>37</v>
      </c>
      <c r="AF587" s="46" t="s">
        <v>36</v>
      </c>
      <c r="AG587" s="46" t="s">
        <v>36</v>
      </c>
      <c r="AH587" s="46" t="s">
        <v>43</v>
      </c>
      <c r="AI587" s="46" t="s">
        <v>36</v>
      </c>
      <c r="AJ587" s="46">
        <f>=SUM(E588:AI588)</f>
      </c>
      <c r="AK587" s="46">
        <f>=+AY587</f>
      </c>
      <c r="AL587" s="46"/>
      <c r="AM587" s="1"/>
      <c r="AN587" s="1">
        <f>=COUNTIF(E587:AI587,"A")+COUNTIF(E587:AI587,"B")+COUNTIF(E587:AI587,"C")+COUNTIF(E587:AI587,"D")+COUNTIF(E587:AI587,"E")+COUNTIF(E587:AI587,"F")+COUNTIF(E587:AI587,"M")+COUNTIF(E587:AI587,"AB")+COUNTIF(E587:AI587,"UZ")+COUNTIF(E587:AI587,"G")+(COUNTIF(E587:AI587,"RT.")/2)+(COUNTIF(E587:AI587,"ÇRT.")/2)</f>
      </c>
      <c r="AO587" s="1">
        <f>=COUNTIF(E587:AI587,"O")</f>
      </c>
      <c r="AP587" s="1">
        <f>=COUNTIF(E587:AI587,"RT")+(COUNTIF(E587:AI587,"RT.")/2)</f>
      </c>
      <c r="AQ587" s="1">
        <f>=COUNTIF(E587:AI587,"ÇRT")+(COUNTIF(E587:AI587,"ÇRT.")/2)</f>
      </c>
      <c r="AR587" s="1">
        <f>=COUNTIF(E587:AI587,"ÇHT")</f>
      </c>
      <c r="AS587" s="1">
        <f>=COUNTIF(E587:AI587,"Ö")+COUNTIF(E587:AI587,"T")</f>
      </c>
      <c r="AT587" s="1">
        <f>=COUNTIF(E587:AI587,"Y")</f>
      </c>
      <c r="AU587" s="1">
        <f>=COUNTIF(E587:AI587,"R.")</f>
      </c>
      <c r="AV587" s="1">
        <f>=COUNTIF(E587:AI587,"Ü")</f>
      </c>
      <c r="AW587" s="1">
        <f>=COUNTIF(E587:AI587,"R")</f>
      </c>
      <c r="AX587" s="1">
        <f>=COUNTIF(E587:AI587,"DV")</f>
      </c>
      <c r="AY587" s="1">
        <f>=+AN587+AO587+AP587+AQ587+AR587+AS587+AT587+AU587</f>
      </c>
    </row>
    <row r="588" ht="16" customHeight="1" spans="1:51" x14ac:dyDescent="0.25">
      <c r="A588" s="45"/>
      <c r="B588" s="46"/>
      <c r="C588" s="46"/>
      <c r="D588" s="46" t="s">
        <v>33</v>
      </c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  <c r="AC588" s="46"/>
      <c r="AD588" s="46"/>
      <c r="AE588" s="46"/>
      <c r="AF588" s="46"/>
      <c r="AG588" s="46">
        <v>3</v>
      </c>
      <c r="AH588" s="46">
        <v>2</v>
      </c>
      <c r="AI588" s="46"/>
      <c r="AJ588" s="46"/>
      <c r="AK588" s="46"/>
      <c r="AL588" s="46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</row>
    <row r="589" ht="16" customHeight="1" spans="1:51" x14ac:dyDescent="0.25">
      <c r="A589" s="45"/>
      <c r="B589" s="46" t="s">
        <v>631</v>
      </c>
      <c r="C589" s="46" t="s">
        <v>632</v>
      </c>
      <c r="D589" s="46" t="s">
        <v>29</v>
      </c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 t="s">
        <v>36</v>
      </c>
      <c r="P589" s="46" t="s">
        <v>59</v>
      </c>
      <c r="Q589" s="46" t="s">
        <v>59</v>
      </c>
      <c r="R589" s="46" t="s">
        <v>59</v>
      </c>
      <c r="S589" s="46" t="s">
        <v>37</v>
      </c>
      <c r="T589" s="46" t="s">
        <v>59</v>
      </c>
      <c r="U589" s="46" t="s">
        <v>59</v>
      </c>
      <c r="V589" s="46" t="s">
        <v>38</v>
      </c>
      <c r="W589" s="46" t="s">
        <v>38</v>
      </c>
      <c r="X589" s="46" t="s">
        <v>38</v>
      </c>
      <c r="Y589" s="46"/>
      <c r="Z589" s="46"/>
      <c r="AA589" s="46"/>
      <c r="AB589" s="46"/>
      <c r="AC589" s="46"/>
      <c r="AD589" s="46"/>
      <c r="AE589" s="46"/>
      <c r="AF589" s="46"/>
      <c r="AG589" s="46"/>
      <c r="AH589" s="46"/>
      <c r="AI589" s="46"/>
      <c r="AJ589" s="46">
        <f>=SUM(E590:AI590)</f>
      </c>
      <c r="AK589" s="46">
        <f>=+AY589</f>
      </c>
      <c r="AL589" s="46"/>
      <c r="AM589" s="1"/>
      <c r="AN589" s="1">
        <f>=COUNTIF(E589:AI589,"A")+COUNTIF(E589:AI589,"B")+COUNTIF(E589:AI589,"C")+COUNTIF(E589:AI589,"D")+COUNTIF(E589:AI589,"E")+COUNTIF(E589:AI589,"F")+COUNTIF(E589:AI589,"M")+COUNTIF(E589:AI589,"AB")+COUNTIF(E589:AI589,"UZ")+COUNTIF(E589:AI589,"G")+(COUNTIF(E589:AI589,"RT.")/2)+(COUNTIF(E589:AI589,"ÇRT.")/2)</f>
      </c>
      <c r="AO589" s="1">
        <f>=COUNTIF(E589:AI589,"O")</f>
      </c>
      <c r="AP589" s="1">
        <f>=COUNTIF(E589:AI589,"RT")+(COUNTIF(E589:AI589,"RT.")/2)</f>
      </c>
      <c r="AQ589" s="1">
        <f>=COUNTIF(E589:AI589,"ÇRT")+(COUNTIF(E589:AI589,"ÇRT.")/2)</f>
      </c>
      <c r="AR589" s="1">
        <f>=COUNTIF(E589:AI589,"ÇHT")</f>
      </c>
      <c r="AS589" s="1">
        <f>=COUNTIF(E589:AI589,"Ö")+COUNTIF(E589:AI589,"T")</f>
      </c>
      <c r="AT589" s="1">
        <f>=COUNTIF(E589:AI589,"Y")</f>
      </c>
      <c r="AU589" s="1">
        <f>=COUNTIF(E589:AI589,"R.")</f>
      </c>
      <c r="AV589" s="1">
        <f>=COUNTIF(E589:AI589,"Ü")</f>
      </c>
      <c r="AW589" s="1">
        <f>=COUNTIF(E589:AI589,"R")</f>
      </c>
      <c r="AX589" s="1">
        <f>=COUNTIF(E589:AI589,"DV")</f>
      </c>
      <c r="AY589" s="1">
        <f>=+AN589+AO589+AP589+AQ589+AR589+AS589+AT589+AU589</f>
      </c>
    </row>
    <row r="590" ht="16" customHeight="1" spans="1:51" x14ac:dyDescent="0.25">
      <c r="A590" s="45"/>
      <c r="B590" s="46"/>
      <c r="C590" s="46"/>
      <c r="D590" s="46" t="s">
        <v>33</v>
      </c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  <c r="AC590" s="46"/>
      <c r="AD590" s="46"/>
      <c r="AE590" s="46"/>
      <c r="AF590" s="46"/>
      <c r="AG590" s="46"/>
      <c r="AH590" s="46"/>
      <c r="AI590" s="46"/>
      <c r="AJ590" s="46"/>
      <c r="AK590" s="46"/>
      <c r="AL590" s="46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</row>
    <row r="591" ht="16" customHeight="1" spans="1:51" x14ac:dyDescent="0.25">
      <c r="A591" s="45"/>
      <c r="B591" s="46" t="s">
        <v>633</v>
      </c>
      <c r="C591" s="46" t="s">
        <v>634</v>
      </c>
      <c r="D591" s="46" t="s">
        <v>29</v>
      </c>
      <c r="E591" s="46" t="s">
        <v>36</v>
      </c>
      <c r="F591" s="46" t="s">
        <v>36</v>
      </c>
      <c r="G591" s="46" t="s">
        <v>37</v>
      </c>
      <c r="H591" s="46" t="s">
        <v>36</v>
      </c>
      <c r="I591" s="46" t="s">
        <v>36</v>
      </c>
      <c r="J591" s="46" t="s">
        <v>36</v>
      </c>
      <c r="K591" s="46" t="s">
        <v>36</v>
      </c>
      <c r="L591" s="46" t="s">
        <v>36</v>
      </c>
      <c r="M591" s="46" t="s">
        <v>36</v>
      </c>
      <c r="N591" s="46" t="s">
        <v>37</v>
      </c>
      <c r="O591" s="46" t="s">
        <v>36</v>
      </c>
      <c r="P591" s="46" t="s">
        <v>36</v>
      </c>
      <c r="Q591" s="46" t="s">
        <v>36</v>
      </c>
      <c r="R591" s="46" t="s">
        <v>36</v>
      </c>
      <c r="S591" s="46" t="s">
        <v>36</v>
      </c>
      <c r="T591" s="46" t="s">
        <v>36</v>
      </c>
      <c r="U591" s="46" t="s">
        <v>37</v>
      </c>
      <c r="V591" s="46" t="s">
        <v>36</v>
      </c>
      <c r="W591" s="46" t="s">
        <v>36</v>
      </c>
      <c r="X591" s="46" t="s">
        <v>36</v>
      </c>
      <c r="Y591" s="46" t="s">
        <v>36</v>
      </c>
      <c r="Z591" s="46" t="s">
        <v>36</v>
      </c>
      <c r="AA591" s="46" t="s">
        <v>36</v>
      </c>
      <c r="AB591" s="46" t="s">
        <v>37</v>
      </c>
      <c r="AC591" s="46" t="s">
        <v>36</v>
      </c>
      <c r="AD591" s="46" t="s">
        <v>36</v>
      </c>
      <c r="AE591" s="46" t="s">
        <v>36</v>
      </c>
      <c r="AF591" s="46" t="s">
        <v>36</v>
      </c>
      <c r="AG591" s="46" t="s">
        <v>36</v>
      </c>
      <c r="AH591" s="46" t="s">
        <v>43</v>
      </c>
      <c r="AI591" s="46" t="s">
        <v>37</v>
      </c>
      <c r="AJ591" s="46">
        <f>=SUM(E592:AI592)</f>
      </c>
      <c r="AK591" s="46">
        <f>=+AY591</f>
      </c>
      <c r="AL591" s="46"/>
      <c r="AM591" s="1"/>
      <c r="AN591" s="1">
        <f>=COUNTIF(E591:AI591,"A")+COUNTIF(E591:AI591,"B")+COUNTIF(E591:AI591,"C")+COUNTIF(E591:AI591,"D")+COUNTIF(E591:AI591,"E")+COUNTIF(E591:AI591,"F")+COUNTIF(E591:AI591,"M")+COUNTIF(E591:AI591,"AB")+COUNTIF(E591:AI591,"UZ")+COUNTIF(E591:AI591,"G")+(COUNTIF(E591:AI591,"RT.")/2)+(COUNTIF(E591:AI591,"ÇRT.")/2)</f>
      </c>
      <c r="AO591" s="1">
        <f>=COUNTIF(E591:AI591,"O")</f>
      </c>
      <c r="AP591" s="1">
        <f>=COUNTIF(E591:AI591,"RT")+(COUNTIF(E591:AI591,"RT.")/2)</f>
      </c>
      <c r="AQ591" s="1">
        <f>=COUNTIF(E591:AI591,"ÇRT")+(COUNTIF(E591:AI591,"ÇRT.")/2)</f>
      </c>
      <c r="AR591" s="1">
        <f>=COUNTIF(E591:AI591,"ÇHT")</f>
      </c>
      <c r="AS591" s="1">
        <f>=COUNTIF(E591:AI591,"Ö")+COUNTIF(E591:AI591,"T")</f>
      </c>
      <c r="AT591" s="1">
        <f>=COUNTIF(E591:AI591,"Y")</f>
      </c>
      <c r="AU591" s="1">
        <f>=COUNTIF(E591:AI591,"R.")</f>
      </c>
      <c r="AV591" s="1">
        <f>=COUNTIF(E591:AI591,"Ü")</f>
      </c>
      <c r="AW591" s="1">
        <f>=COUNTIF(E591:AI591,"R")</f>
      </c>
      <c r="AX591" s="1">
        <f>=COUNTIF(E591:AI591,"DV")</f>
      </c>
      <c r="AY591" s="1">
        <f>=+AN591+AO591+AP591+AQ591+AR591+AS591+AT591+AU591</f>
      </c>
    </row>
    <row r="592" ht="16" customHeight="1" spans="1:51" x14ac:dyDescent="0.25">
      <c r="A592" s="45"/>
      <c r="B592" s="46"/>
      <c r="C592" s="46"/>
      <c r="D592" s="46" t="s">
        <v>33</v>
      </c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  <c r="AC592" s="46"/>
      <c r="AD592" s="46"/>
      <c r="AE592" s="46"/>
      <c r="AF592" s="46"/>
      <c r="AG592" s="46"/>
      <c r="AH592" s="46"/>
      <c r="AI592" s="46"/>
      <c r="AJ592" s="46"/>
      <c r="AK592" s="46"/>
      <c r="AL592" s="46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</row>
    <row r="593" ht="16" customHeight="1" spans="1:51" x14ac:dyDescent="0.25">
      <c r="A593" s="45"/>
      <c r="B593" s="46" t="s">
        <v>635</v>
      </c>
      <c r="C593" s="46" t="s">
        <v>636</v>
      </c>
      <c r="D593" s="46" t="s">
        <v>29</v>
      </c>
      <c r="E593" s="46" t="s">
        <v>37</v>
      </c>
      <c r="F593" s="46" t="s">
        <v>36</v>
      </c>
      <c r="G593" s="46" t="s">
        <v>153</v>
      </c>
      <c r="H593" s="46" t="s">
        <v>36</v>
      </c>
      <c r="I593" s="46" t="s">
        <v>36</v>
      </c>
      <c r="J593" s="46" t="s">
        <v>36</v>
      </c>
      <c r="K593" s="46" t="s">
        <v>36</v>
      </c>
      <c r="L593" s="46" t="s">
        <v>36</v>
      </c>
      <c r="M593" s="46" t="s">
        <v>36</v>
      </c>
      <c r="N593" s="46" t="s">
        <v>36</v>
      </c>
      <c r="O593" s="46" t="s">
        <v>36</v>
      </c>
      <c r="P593" s="46" t="s">
        <v>37</v>
      </c>
      <c r="Q593" s="46" t="s">
        <v>36</v>
      </c>
      <c r="R593" s="46" t="s">
        <v>36</v>
      </c>
      <c r="S593" s="46" t="s">
        <v>37</v>
      </c>
      <c r="T593" s="46" t="s">
        <v>36</v>
      </c>
      <c r="U593" s="46" t="s">
        <v>36</v>
      </c>
      <c r="V593" s="46" t="s">
        <v>36</v>
      </c>
      <c r="W593" s="46" t="s">
        <v>36</v>
      </c>
      <c r="X593" s="46" t="s">
        <v>36</v>
      </c>
      <c r="Y593" s="46" t="s">
        <v>36</v>
      </c>
      <c r="Z593" s="46" t="s">
        <v>36</v>
      </c>
      <c r="AA593" s="46" t="s">
        <v>37</v>
      </c>
      <c r="AB593" s="46" t="s">
        <v>36</v>
      </c>
      <c r="AC593" s="46" t="s">
        <v>36</v>
      </c>
      <c r="AD593" s="46" t="s">
        <v>36</v>
      </c>
      <c r="AE593" s="46" t="s">
        <v>36</v>
      </c>
      <c r="AF593" s="46" t="s">
        <v>36</v>
      </c>
      <c r="AG593" s="46" t="s">
        <v>37</v>
      </c>
      <c r="AH593" s="46" t="s">
        <v>43</v>
      </c>
      <c r="AI593" s="46" t="s">
        <v>36</v>
      </c>
      <c r="AJ593" s="46">
        <f>=SUM(E594:AI594)</f>
      </c>
      <c r="AK593" s="46">
        <f>=+AY593</f>
      </c>
      <c r="AL593" s="46"/>
      <c r="AM593" s="1"/>
      <c r="AN593" s="1">
        <f>=COUNTIF(E593:AI593,"A")+COUNTIF(E593:AI593,"B")+COUNTIF(E593:AI593,"C")+COUNTIF(E593:AI593,"D")+COUNTIF(E593:AI593,"E")+COUNTIF(E593:AI593,"F")+COUNTIF(E593:AI593,"M")+COUNTIF(E593:AI593,"AB")+COUNTIF(E593:AI593,"UZ")+COUNTIF(E593:AI593,"G")+(COUNTIF(E593:AI593,"RT.")/2)+(COUNTIF(E593:AI593,"ÇRT.")/2)</f>
      </c>
      <c r="AO593" s="1">
        <f>=COUNTIF(E593:AI593,"O")</f>
      </c>
      <c r="AP593" s="1">
        <f>=COUNTIF(E593:AI593,"RT")+(COUNTIF(E593:AI593,"RT.")/2)</f>
      </c>
      <c r="AQ593" s="1">
        <f>=COUNTIF(E593:AI593,"ÇRT")+(COUNTIF(E593:AI593,"ÇRT.")/2)</f>
      </c>
      <c r="AR593" s="1">
        <f>=COUNTIF(E593:AI593,"ÇHT")</f>
      </c>
      <c r="AS593" s="1">
        <f>=COUNTIF(E593:AI593,"Ö")+COUNTIF(E593:AI593,"T")</f>
      </c>
      <c r="AT593" s="1">
        <f>=COUNTIF(E593:AI593,"Y")</f>
      </c>
      <c r="AU593" s="1">
        <f>=COUNTIF(E593:AI593,"R.")</f>
      </c>
      <c r="AV593" s="1">
        <f>=COUNTIF(E593:AI593,"Ü")</f>
      </c>
      <c r="AW593" s="1">
        <f>=COUNTIF(E593:AI593,"R")</f>
      </c>
      <c r="AX593" s="1">
        <f>=COUNTIF(E593:AI593,"DV")</f>
      </c>
      <c r="AY593" s="1">
        <f>=+AN593+AO593+AP593+AQ593+AR593+AS593+AT593+AU593</f>
      </c>
    </row>
    <row r="594" ht="16" customHeight="1" spans="1:51" x14ac:dyDescent="0.25">
      <c r="A594" s="45"/>
      <c r="B594" s="46"/>
      <c r="C594" s="46"/>
      <c r="D594" s="46" t="s">
        <v>33</v>
      </c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  <c r="AC594" s="46"/>
      <c r="AD594" s="46"/>
      <c r="AE594" s="46"/>
      <c r="AF594" s="46">
        <v>2</v>
      </c>
      <c r="AG594" s="46"/>
      <c r="AH594" s="46"/>
      <c r="AI594" s="46"/>
      <c r="AJ594" s="46"/>
      <c r="AK594" s="46"/>
      <c r="AL594" s="46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</row>
    <row r="595" ht="16" customHeight="1" spans="1:51" x14ac:dyDescent="0.25">
      <c r="A595" s="45"/>
      <c r="B595" s="46" t="s">
        <v>637</v>
      </c>
      <c r="C595" s="46" t="s">
        <v>638</v>
      </c>
      <c r="D595" s="46" t="s">
        <v>29</v>
      </c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  <c r="AD595" s="46"/>
      <c r="AE595" s="46"/>
      <c r="AF595" s="46"/>
      <c r="AG595" s="46"/>
      <c r="AH595" s="46"/>
      <c r="AI595" s="46"/>
      <c r="AJ595" s="46">
        <f>=SUM(E596:AI596)</f>
      </c>
      <c r="AK595" s="46">
        <f>=+AY595</f>
      </c>
      <c r="AL595" s="46"/>
      <c r="AM595" s="1"/>
      <c r="AN595" s="1">
        <f>=COUNTIF(E595:AI595,"A")+COUNTIF(E595:AI595,"B")+COUNTIF(E595:AI595,"C")+COUNTIF(E595:AI595,"D")+COUNTIF(E595:AI595,"E")+COUNTIF(E595:AI595,"F")+COUNTIF(E595:AI595,"M")+COUNTIF(E595:AI595,"AB")+COUNTIF(E595:AI595,"UZ")+COUNTIF(E595:AI595,"G")+(COUNTIF(E595:AI595,"RT.")/2)+(COUNTIF(E595:AI595,"ÇRT.")/2)</f>
      </c>
      <c r="AO595" s="1">
        <f>=COUNTIF(E595:AI595,"O")</f>
      </c>
      <c r="AP595" s="1">
        <f>=COUNTIF(E595:AI595,"RT")+(COUNTIF(E595:AI595,"RT.")/2)</f>
      </c>
      <c r="AQ595" s="1">
        <f>=COUNTIF(E595:AI595,"ÇRT")+(COUNTIF(E595:AI595,"ÇRT.")/2)</f>
      </c>
      <c r="AR595" s="1">
        <f>=COUNTIF(E595:AI595,"ÇHT")</f>
      </c>
      <c r="AS595" s="1">
        <f>=COUNTIF(E595:AI595,"Ö")+COUNTIF(E595:AI595,"T")</f>
      </c>
      <c r="AT595" s="1">
        <f>=COUNTIF(E595:AI595,"Y")</f>
      </c>
      <c r="AU595" s="1">
        <f>=COUNTIF(E595:AI595,"R.")</f>
      </c>
      <c r="AV595" s="1">
        <f>=COUNTIF(E595:AI595,"Ü")</f>
      </c>
      <c r="AW595" s="1">
        <f>=COUNTIF(E595:AI595,"R")</f>
      </c>
      <c r="AX595" s="1">
        <f>=COUNTIF(E595:AI595,"DV")</f>
      </c>
      <c r="AY595" s="1">
        <f>=+AN595+AO595+AP595+AQ595+AR595+AS595+AT595+AU595</f>
      </c>
    </row>
    <row r="596" ht="16" customHeight="1" spans="1:51" x14ac:dyDescent="0.25">
      <c r="A596" s="45"/>
      <c r="B596" s="46"/>
      <c r="C596" s="46"/>
      <c r="D596" s="46" t="s">
        <v>33</v>
      </c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  <c r="AC596" s="46"/>
      <c r="AD596" s="46"/>
      <c r="AE596" s="46"/>
      <c r="AF596" s="46"/>
      <c r="AG596" s="46"/>
      <c r="AH596" s="46"/>
      <c r="AI596" s="46"/>
      <c r="AJ596" s="46"/>
      <c r="AK596" s="46"/>
      <c r="AL596" s="46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</row>
    <row r="597" ht="16" customHeight="1" spans="1:51" x14ac:dyDescent="0.25">
      <c r="A597" s="45"/>
      <c r="B597" s="46" t="s">
        <v>639</v>
      </c>
      <c r="C597" s="46" t="s">
        <v>640</v>
      </c>
      <c r="D597" s="46" t="s">
        <v>29</v>
      </c>
      <c r="E597" s="46" t="s">
        <v>41</v>
      </c>
      <c r="F597" s="46" t="s">
        <v>41</v>
      </c>
      <c r="G597" s="46" t="s">
        <v>37</v>
      </c>
      <c r="H597" s="46" t="s">
        <v>41</v>
      </c>
      <c r="I597" s="46" t="s">
        <v>41</v>
      </c>
      <c r="J597" s="46" t="s">
        <v>41</v>
      </c>
      <c r="K597" s="46" t="s">
        <v>41</v>
      </c>
      <c r="L597" s="46" t="s">
        <v>41</v>
      </c>
      <c r="M597" s="46" t="s">
        <v>153</v>
      </c>
      <c r="N597" s="46" t="s">
        <v>37</v>
      </c>
      <c r="O597" s="46" t="s">
        <v>41</v>
      </c>
      <c r="P597" s="46" t="s">
        <v>41</v>
      </c>
      <c r="Q597" s="46" t="s">
        <v>41</v>
      </c>
      <c r="R597" s="46" t="s">
        <v>41</v>
      </c>
      <c r="S597" s="46" t="s">
        <v>41</v>
      </c>
      <c r="T597" s="46" t="s">
        <v>41</v>
      </c>
      <c r="U597" s="46" t="s">
        <v>37</v>
      </c>
      <c r="V597" s="46" t="s">
        <v>46</v>
      </c>
      <c r="W597" s="46" t="s">
        <v>41</v>
      </c>
      <c r="X597" s="46" t="s">
        <v>41</v>
      </c>
      <c r="Y597" s="46" t="s">
        <v>41</v>
      </c>
      <c r="Z597" s="46" t="s">
        <v>41</v>
      </c>
      <c r="AA597" s="46" t="s">
        <v>41</v>
      </c>
      <c r="AB597" s="46" t="s">
        <v>37</v>
      </c>
      <c r="AC597" s="46" t="s">
        <v>41</v>
      </c>
      <c r="AD597" s="46" t="s">
        <v>41</v>
      </c>
      <c r="AE597" s="46" t="s">
        <v>41</v>
      </c>
      <c r="AF597" s="46" t="s">
        <v>41</v>
      </c>
      <c r="AG597" s="46" t="s">
        <v>41</v>
      </c>
      <c r="AH597" s="46" t="s">
        <v>43</v>
      </c>
      <c r="AI597" s="46" t="s">
        <v>37</v>
      </c>
      <c r="AJ597" s="46">
        <f>=SUM(E598:AI598)</f>
      </c>
      <c r="AK597" s="46">
        <f>=+AY597</f>
      </c>
      <c r="AL597" s="46"/>
      <c r="AM597" s="1"/>
      <c r="AN597" s="1">
        <f>=COUNTIF(E597:AI597,"A")+COUNTIF(E597:AI597,"B")+COUNTIF(E597:AI597,"C")+COUNTIF(E597:AI597,"D")+COUNTIF(E597:AI597,"E")+COUNTIF(E597:AI597,"F")+COUNTIF(E597:AI597,"M")+COUNTIF(E597:AI597,"AB")+COUNTIF(E597:AI597,"UZ")+COUNTIF(E597:AI597,"G")+(COUNTIF(E597:AI597,"RT.")/2)+(COUNTIF(E597:AI597,"ÇRT.")/2)</f>
      </c>
      <c r="AO597" s="1">
        <f>=COUNTIF(E597:AI597,"O")</f>
      </c>
      <c r="AP597" s="1">
        <f>=COUNTIF(E597:AI597,"RT")+(COUNTIF(E597:AI597,"RT.")/2)</f>
      </c>
      <c r="AQ597" s="1">
        <f>=COUNTIF(E597:AI597,"ÇRT")+(COUNTIF(E597:AI597,"ÇRT.")/2)</f>
      </c>
      <c r="AR597" s="1">
        <f>=COUNTIF(E597:AI597,"ÇHT")</f>
      </c>
      <c r="AS597" s="1">
        <f>=COUNTIF(E597:AI597,"Ö")+COUNTIF(E597:AI597,"T")</f>
      </c>
      <c r="AT597" s="1">
        <f>=COUNTIF(E597:AI597,"Y")</f>
      </c>
      <c r="AU597" s="1">
        <f>=COUNTIF(E597:AI597,"R.")</f>
      </c>
      <c r="AV597" s="1">
        <f>=COUNTIF(E597:AI597,"Ü")</f>
      </c>
      <c r="AW597" s="1">
        <f>=COUNTIF(E597:AI597,"R")</f>
      </c>
      <c r="AX597" s="1">
        <f>=COUNTIF(E597:AI597,"DV")</f>
      </c>
      <c r="AY597" s="1">
        <f>=+AN597+AO597+AP597+AQ597+AR597+AS597+AT597+AU597</f>
      </c>
    </row>
    <row r="598" ht="16" customHeight="1" spans="1:51" x14ac:dyDescent="0.25">
      <c r="A598" s="45"/>
      <c r="B598" s="46"/>
      <c r="C598" s="46"/>
      <c r="D598" s="46" t="s">
        <v>33</v>
      </c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  <c r="AD598" s="46"/>
      <c r="AE598" s="46"/>
      <c r="AF598" s="46"/>
      <c r="AG598" s="46"/>
      <c r="AH598" s="46"/>
      <c r="AI598" s="46"/>
      <c r="AJ598" s="46"/>
      <c r="AK598" s="46"/>
      <c r="AL598" s="46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</row>
    <row r="599" ht="16" customHeight="1" spans="1:51" x14ac:dyDescent="0.25">
      <c r="A599" s="45"/>
      <c r="B599" s="46" t="s">
        <v>641</v>
      </c>
      <c r="C599" s="46" t="s">
        <v>642</v>
      </c>
      <c r="D599" s="46" t="s">
        <v>29</v>
      </c>
      <c r="E599" s="46" t="s">
        <v>37</v>
      </c>
      <c r="F599" s="46" t="s">
        <v>36</v>
      </c>
      <c r="G599" s="46" t="s">
        <v>36</v>
      </c>
      <c r="H599" s="46" t="s">
        <v>36</v>
      </c>
      <c r="I599" s="46" t="s">
        <v>36</v>
      </c>
      <c r="J599" s="46" t="s">
        <v>37</v>
      </c>
      <c r="K599" s="46" t="s">
        <v>36</v>
      </c>
      <c r="L599" s="46" t="s">
        <v>36</v>
      </c>
      <c r="M599" s="46" t="s">
        <v>36</v>
      </c>
      <c r="N599" s="46" t="s">
        <v>36</v>
      </c>
      <c r="O599" s="46" t="s">
        <v>36</v>
      </c>
      <c r="P599" s="46" t="s">
        <v>36</v>
      </c>
      <c r="Q599" s="46" t="s">
        <v>37</v>
      </c>
      <c r="R599" s="46" t="s">
        <v>36</v>
      </c>
      <c r="S599" s="46" t="s">
        <v>36</v>
      </c>
      <c r="T599" s="46" t="s">
        <v>36</v>
      </c>
      <c r="U599" s="46" t="s">
        <v>36</v>
      </c>
      <c r="V599" s="46" t="s">
        <v>36</v>
      </c>
      <c r="W599" s="46" t="s">
        <v>36</v>
      </c>
      <c r="X599" s="46" t="s">
        <v>37</v>
      </c>
      <c r="Y599" s="46" t="s">
        <v>36</v>
      </c>
      <c r="Z599" s="46" t="s">
        <v>36</v>
      </c>
      <c r="AA599" s="46" t="s">
        <v>36</v>
      </c>
      <c r="AB599" s="46" t="s">
        <v>36</v>
      </c>
      <c r="AC599" s="46" t="s">
        <v>31</v>
      </c>
      <c r="AD599" s="46" t="s">
        <v>36</v>
      </c>
      <c r="AE599" s="46" t="s">
        <v>37</v>
      </c>
      <c r="AF599" s="46" t="s">
        <v>153</v>
      </c>
      <c r="AG599" s="46" t="s">
        <v>153</v>
      </c>
      <c r="AH599" s="46" t="s">
        <v>154</v>
      </c>
      <c r="AI599" s="46" t="s">
        <v>36</v>
      </c>
      <c r="AJ599" s="46">
        <f>=SUM(E600:AI600)</f>
      </c>
      <c r="AK599" s="46">
        <f>=+AY599</f>
      </c>
      <c r="AL599" s="46"/>
      <c r="AM599" s="1"/>
      <c r="AN599" s="1">
        <f>=COUNTIF(E599:AI599,"A")+COUNTIF(E599:AI599,"B")+COUNTIF(E599:AI599,"C")+COUNTIF(E599:AI599,"D")+COUNTIF(E599:AI599,"E")+COUNTIF(E599:AI599,"F")+COUNTIF(E599:AI599,"M")+COUNTIF(E599:AI599,"AB")+COUNTIF(E599:AI599,"UZ")+COUNTIF(E599:AI599,"G")+(COUNTIF(E599:AI599,"RT.")/2)+(COUNTIF(E599:AI599,"ÇRT.")/2)</f>
      </c>
      <c r="AO599" s="1">
        <f>=COUNTIF(E599:AI599,"O")</f>
      </c>
      <c r="AP599" s="1">
        <f>=COUNTIF(E599:AI599,"RT")+(COUNTIF(E599:AI599,"RT.")/2)</f>
      </c>
      <c r="AQ599" s="1">
        <f>=COUNTIF(E599:AI599,"ÇRT")+(COUNTIF(E599:AI599,"ÇRT.")/2)</f>
      </c>
      <c r="AR599" s="1">
        <f>=COUNTIF(E599:AI599,"ÇHT")</f>
      </c>
      <c r="AS599" s="1">
        <f>=COUNTIF(E599:AI599,"Ö")+COUNTIF(E599:AI599,"T")</f>
      </c>
      <c r="AT599" s="1">
        <f>=COUNTIF(E599:AI599,"Y")</f>
      </c>
      <c r="AU599" s="1">
        <f>=COUNTIF(E599:AI599,"R.")</f>
      </c>
      <c r="AV599" s="1">
        <f>=COUNTIF(E599:AI599,"Ü")</f>
      </c>
      <c r="AW599" s="1">
        <f>=COUNTIF(E599:AI599,"R")</f>
      </c>
      <c r="AX599" s="1">
        <f>=COUNTIF(E599:AI599,"DV")</f>
      </c>
      <c r="AY599" s="1">
        <f>=+AN599+AO599+AP599+AQ599+AR599+AS599+AT599+AU599</f>
      </c>
    </row>
    <row r="600" ht="16" customHeight="1" spans="1:51" x14ac:dyDescent="0.25">
      <c r="A600" s="45"/>
      <c r="B600" s="46"/>
      <c r="C600" s="46"/>
      <c r="D600" s="46" t="s">
        <v>33</v>
      </c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  <c r="AC600" s="46"/>
      <c r="AD600" s="46"/>
      <c r="AE600" s="46"/>
      <c r="AF600" s="46"/>
      <c r="AG600" s="46"/>
      <c r="AH600" s="46"/>
      <c r="AI600" s="46"/>
      <c r="AJ600" s="46"/>
      <c r="AK600" s="46"/>
      <c r="AL600" s="46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</row>
    <row r="601" ht="16" customHeight="1" spans="1:51" x14ac:dyDescent="0.25">
      <c r="A601" s="45"/>
      <c r="B601" s="46" t="s">
        <v>643</v>
      </c>
      <c r="C601" s="46" t="s">
        <v>644</v>
      </c>
      <c r="D601" s="46" t="s">
        <v>29</v>
      </c>
      <c r="E601" s="46" t="s">
        <v>59</v>
      </c>
      <c r="F601" s="46" t="s">
        <v>59</v>
      </c>
      <c r="G601" s="46" t="s">
        <v>59</v>
      </c>
      <c r="H601" s="46" t="s">
        <v>59</v>
      </c>
      <c r="I601" s="46" t="s">
        <v>59</v>
      </c>
      <c r="J601" s="46" t="s">
        <v>37</v>
      </c>
      <c r="K601" s="46" t="s">
        <v>59</v>
      </c>
      <c r="L601" s="46" t="s">
        <v>59</v>
      </c>
      <c r="M601" s="46" t="s">
        <v>59</v>
      </c>
      <c r="N601" s="46" t="s">
        <v>59</v>
      </c>
      <c r="O601" s="46" t="s">
        <v>59</v>
      </c>
      <c r="P601" s="46" t="s">
        <v>59</v>
      </c>
      <c r="Q601" s="46" t="s">
        <v>37</v>
      </c>
      <c r="R601" s="46" t="s">
        <v>59</v>
      </c>
      <c r="S601" s="46" t="s">
        <v>59</v>
      </c>
      <c r="T601" s="46" t="s">
        <v>59</v>
      </c>
      <c r="U601" s="46" t="s">
        <v>59</v>
      </c>
      <c r="V601" s="46" t="s">
        <v>59</v>
      </c>
      <c r="W601" s="46" t="s">
        <v>59</v>
      </c>
      <c r="X601" s="46" t="s">
        <v>37</v>
      </c>
      <c r="Y601" s="46" t="s">
        <v>59</v>
      </c>
      <c r="Z601" s="46" t="s">
        <v>59</v>
      </c>
      <c r="AA601" s="46" t="s">
        <v>59</v>
      </c>
      <c r="AB601" s="46" t="s">
        <v>59</v>
      </c>
      <c r="AC601" s="46" t="s">
        <v>59</v>
      </c>
      <c r="AD601" s="46" t="s">
        <v>59</v>
      </c>
      <c r="AE601" s="46" t="s">
        <v>37</v>
      </c>
      <c r="AF601" s="46" t="s">
        <v>59</v>
      </c>
      <c r="AG601" s="46" t="s">
        <v>59</v>
      </c>
      <c r="AH601" s="46" t="s">
        <v>43</v>
      </c>
      <c r="AI601" s="46" t="s">
        <v>59</v>
      </c>
      <c r="AJ601" s="46">
        <f>=SUM(E602:AI602)</f>
      </c>
      <c r="AK601" s="46">
        <f>=+AY601</f>
      </c>
      <c r="AL601" s="46"/>
      <c r="AM601" s="1"/>
      <c r="AN601" s="1">
        <f>=COUNTIF(E601:AI601,"A")+COUNTIF(E601:AI601,"B")+COUNTIF(E601:AI601,"C")+COUNTIF(E601:AI601,"D")+COUNTIF(E601:AI601,"E")+COUNTIF(E601:AI601,"F")+COUNTIF(E601:AI601,"M")+COUNTIF(E601:AI601,"AB")+COUNTIF(E601:AI601,"UZ")+COUNTIF(E601:AI601,"G")+(COUNTIF(E601:AI601,"RT.")/2)+(COUNTIF(E601:AI601,"ÇRT.")/2)</f>
      </c>
      <c r="AO601" s="1">
        <f>=COUNTIF(E601:AI601,"O")</f>
      </c>
      <c r="AP601" s="1">
        <f>=COUNTIF(E601:AI601,"RT")+(COUNTIF(E601:AI601,"RT.")/2)</f>
      </c>
      <c r="AQ601" s="1">
        <f>=COUNTIF(E601:AI601,"ÇRT")+(COUNTIF(E601:AI601,"ÇRT.")/2)</f>
      </c>
      <c r="AR601" s="1">
        <f>=COUNTIF(E601:AI601,"ÇHT")</f>
      </c>
      <c r="AS601" s="1">
        <f>=COUNTIF(E601:AI601,"Ö")+COUNTIF(E601:AI601,"T")</f>
      </c>
      <c r="AT601" s="1">
        <f>=COUNTIF(E601:AI601,"Y")</f>
      </c>
      <c r="AU601" s="1">
        <f>=COUNTIF(E601:AI601,"R.")</f>
      </c>
      <c r="AV601" s="1">
        <f>=COUNTIF(E601:AI601,"Ü")</f>
      </c>
      <c r="AW601" s="1">
        <f>=COUNTIF(E601:AI601,"R")</f>
      </c>
      <c r="AX601" s="1">
        <f>=COUNTIF(E601:AI601,"DV")</f>
      </c>
      <c r="AY601" s="1">
        <f>=+AN601+AO601+AP601+AQ601+AR601+AS601+AT601+AU601</f>
      </c>
    </row>
    <row r="602" ht="16" customHeight="1" spans="1:51" x14ac:dyDescent="0.25">
      <c r="A602" s="45"/>
      <c r="B602" s="46"/>
      <c r="C602" s="46"/>
      <c r="D602" s="46" t="s">
        <v>33</v>
      </c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  <c r="AC602" s="46"/>
      <c r="AD602" s="46"/>
      <c r="AE602" s="46"/>
      <c r="AF602" s="46"/>
      <c r="AG602" s="46"/>
      <c r="AH602" s="46"/>
      <c r="AI602" s="46"/>
      <c r="AJ602" s="46"/>
      <c r="AK602" s="46"/>
      <c r="AL602" s="46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</row>
    <row r="603" ht="16" customHeight="1" spans="1:51" x14ac:dyDescent="0.25">
      <c r="A603" s="45"/>
      <c r="B603" s="46" t="s">
        <v>645</v>
      </c>
      <c r="C603" s="46" t="s">
        <v>646</v>
      </c>
      <c r="D603" s="46" t="s">
        <v>29</v>
      </c>
      <c r="E603" s="46" t="s">
        <v>36</v>
      </c>
      <c r="F603" s="46" t="s">
        <v>36</v>
      </c>
      <c r="G603" s="46" t="s">
        <v>36</v>
      </c>
      <c r="H603" s="46" t="s">
        <v>36</v>
      </c>
      <c r="I603" s="46" t="s">
        <v>36</v>
      </c>
      <c r="J603" s="46" t="s">
        <v>36</v>
      </c>
      <c r="K603" s="46" t="s">
        <v>37</v>
      </c>
      <c r="L603" s="46" t="s">
        <v>36</v>
      </c>
      <c r="M603" s="46" t="s">
        <v>36</v>
      </c>
      <c r="N603" s="46" t="s">
        <v>36</v>
      </c>
      <c r="O603" s="46" t="s">
        <v>36</v>
      </c>
      <c r="P603" s="46" t="s">
        <v>36</v>
      </c>
      <c r="Q603" s="46" t="s">
        <v>36</v>
      </c>
      <c r="R603" s="46" t="s">
        <v>37</v>
      </c>
      <c r="S603" s="46" t="s">
        <v>36</v>
      </c>
      <c r="T603" s="46" t="s">
        <v>36</v>
      </c>
      <c r="U603" s="46" t="s">
        <v>36</v>
      </c>
      <c r="V603" s="46" t="s">
        <v>36</v>
      </c>
      <c r="W603" s="46" t="s">
        <v>36</v>
      </c>
      <c r="X603" s="46" t="s">
        <v>36</v>
      </c>
      <c r="Y603" s="46" t="s">
        <v>36</v>
      </c>
      <c r="Z603" s="46" t="s">
        <v>37</v>
      </c>
      <c r="AA603" s="46" t="s">
        <v>36</v>
      </c>
      <c r="AB603" s="46" t="s">
        <v>36</v>
      </c>
      <c r="AC603" s="46" t="s">
        <v>36</v>
      </c>
      <c r="AD603" s="46" t="s">
        <v>36</v>
      </c>
      <c r="AE603" s="46" t="s">
        <v>36</v>
      </c>
      <c r="AF603" s="46" t="s">
        <v>37</v>
      </c>
      <c r="AG603" s="46" t="s">
        <v>36</v>
      </c>
      <c r="AH603" s="46" t="s">
        <v>43</v>
      </c>
      <c r="AI603" s="46" t="s">
        <v>36</v>
      </c>
      <c r="AJ603" s="46">
        <f>=SUM(E604:AI604)</f>
      </c>
      <c r="AK603" s="46">
        <f>=+AY603</f>
      </c>
      <c r="AL603" s="46"/>
      <c r="AM603" s="1"/>
      <c r="AN603" s="1">
        <f>=COUNTIF(E603:AI603,"A")+COUNTIF(E603:AI603,"B")+COUNTIF(E603:AI603,"C")+COUNTIF(E603:AI603,"D")+COUNTIF(E603:AI603,"E")+COUNTIF(E603:AI603,"F")+COUNTIF(E603:AI603,"M")+COUNTIF(E603:AI603,"AB")+COUNTIF(E603:AI603,"UZ")+COUNTIF(E603:AI603,"G")+(COUNTIF(E603:AI603,"RT.")/2)+(COUNTIF(E603:AI603,"ÇRT.")/2)</f>
      </c>
      <c r="AO603" s="1">
        <f>=COUNTIF(E603:AI603,"O")</f>
      </c>
      <c r="AP603" s="1">
        <f>=COUNTIF(E603:AI603,"RT")+(COUNTIF(E603:AI603,"RT.")/2)</f>
      </c>
      <c r="AQ603" s="1">
        <f>=COUNTIF(E603:AI603,"ÇRT")+(COUNTIF(E603:AI603,"ÇRT.")/2)</f>
      </c>
      <c r="AR603" s="1">
        <f>=COUNTIF(E603:AI603,"ÇHT")</f>
      </c>
      <c r="AS603" s="1">
        <f>=COUNTIF(E603:AI603,"Ö")+COUNTIF(E603:AI603,"T")</f>
      </c>
      <c r="AT603" s="1">
        <f>=COUNTIF(E603:AI603,"Y")</f>
      </c>
      <c r="AU603" s="1">
        <f>=COUNTIF(E603:AI603,"R.")</f>
      </c>
      <c r="AV603" s="1">
        <f>=COUNTIF(E603:AI603,"Ü")</f>
      </c>
      <c r="AW603" s="1">
        <f>=COUNTIF(E603:AI603,"R")</f>
      </c>
      <c r="AX603" s="1">
        <f>=COUNTIF(E603:AI603,"DV")</f>
      </c>
      <c r="AY603" s="1">
        <f>=+AN603+AO603+AP603+AQ603+AR603+AS603+AT603+AU603</f>
      </c>
    </row>
    <row r="604" ht="16" customHeight="1" spans="1:51" x14ac:dyDescent="0.25">
      <c r="A604" s="45"/>
      <c r="B604" s="46"/>
      <c r="C604" s="46"/>
      <c r="D604" s="46" t="s">
        <v>33</v>
      </c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  <c r="AC604" s="46"/>
      <c r="AD604" s="46"/>
      <c r="AE604" s="46"/>
      <c r="AF604" s="46"/>
      <c r="AG604" s="46"/>
      <c r="AH604" s="46"/>
      <c r="AI604" s="46"/>
      <c r="AJ604" s="46"/>
      <c r="AK604" s="46"/>
      <c r="AL604" s="46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</row>
    <row r="605" ht="16" customHeight="1" spans="1:51" x14ac:dyDescent="0.25">
      <c r="A605" s="45"/>
      <c r="B605" s="46" t="s">
        <v>647</v>
      </c>
      <c r="C605" s="46" t="s">
        <v>648</v>
      </c>
      <c r="D605" s="46" t="s">
        <v>29</v>
      </c>
      <c r="E605" s="46" t="s">
        <v>31</v>
      </c>
      <c r="F605" s="46" t="s">
        <v>32</v>
      </c>
      <c r="G605" s="46" t="s">
        <v>32</v>
      </c>
      <c r="H605" s="46" t="s">
        <v>32</v>
      </c>
      <c r="I605" s="46" t="s">
        <v>36</v>
      </c>
      <c r="J605" s="46" t="s">
        <v>36</v>
      </c>
      <c r="K605" s="46" t="s">
        <v>36</v>
      </c>
      <c r="L605" s="46" t="s">
        <v>36</v>
      </c>
      <c r="M605" s="46" t="s">
        <v>36</v>
      </c>
      <c r="N605" s="46" t="s">
        <v>36</v>
      </c>
      <c r="O605" s="46" t="s">
        <v>37</v>
      </c>
      <c r="P605" s="46" t="s">
        <v>36</v>
      </c>
      <c r="Q605" s="46" t="s">
        <v>36</v>
      </c>
      <c r="R605" s="46" t="s">
        <v>36</v>
      </c>
      <c r="S605" s="46" t="s">
        <v>153</v>
      </c>
      <c r="T605" s="46" t="s">
        <v>36</v>
      </c>
      <c r="U605" s="46" t="s">
        <v>37</v>
      </c>
      <c r="V605" s="46" t="s">
        <v>30</v>
      </c>
      <c r="W605" s="46" t="s">
        <v>30</v>
      </c>
      <c r="X605" s="46" t="s">
        <v>30</v>
      </c>
      <c r="Y605" s="46" t="s">
        <v>30</v>
      </c>
      <c r="Z605" s="46" t="s">
        <v>30</v>
      </c>
      <c r="AA605" s="46" t="s">
        <v>30</v>
      </c>
      <c r="AB605" s="46" t="s">
        <v>30</v>
      </c>
      <c r="AC605" s="46" t="s">
        <v>37</v>
      </c>
      <c r="AD605" s="46" t="s">
        <v>30</v>
      </c>
      <c r="AE605" s="46" t="s">
        <v>30</v>
      </c>
      <c r="AF605" s="46" t="s">
        <v>30</v>
      </c>
      <c r="AG605" s="46" t="s">
        <v>30</v>
      </c>
      <c r="AH605" s="46" t="s">
        <v>43</v>
      </c>
      <c r="AI605" s="46" t="s">
        <v>37</v>
      </c>
      <c r="AJ605" s="46">
        <f>=SUM(E606:AI606)</f>
      </c>
      <c r="AK605" s="46">
        <f>=+AY605</f>
      </c>
      <c r="AL605" s="46"/>
      <c r="AM605" s="1"/>
      <c r="AN605" s="1">
        <f>=COUNTIF(E605:AI605,"A")+COUNTIF(E605:AI605,"B")+COUNTIF(E605:AI605,"C")+COUNTIF(E605:AI605,"D")+COUNTIF(E605:AI605,"E")+COUNTIF(E605:AI605,"F")+COUNTIF(E605:AI605,"M")+COUNTIF(E605:AI605,"AB")+COUNTIF(E605:AI605,"UZ")+COUNTIF(E605:AI605,"G")+(COUNTIF(E605:AI605,"RT.")/2)+(COUNTIF(E605:AI605,"ÇRT.")/2)</f>
      </c>
      <c r="AO605" s="1">
        <f>=COUNTIF(E605:AI605,"O")</f>
      </c>
      <c r="AP605" s="1">
        <f>=COUNTIF(E605:AI605,"RT")+(COUNTIF(E605:AI605,"RT.")/2)</f>
      </c>
      <c r="AQ605" s="1">
        <f>=COUNTIF(E605:AI605,"ÇRT")+(COUNTIF(E605:AI605,"ÇRT.")/2)</f>
      </c>
      <c r="AR605" s="1">
        <f>=COUNTIF(E605:AI605,"ÇHT")</f>
      </c>
      <c r="AS605" s="1">
        <f>=COUNTIF(E605:AI605,"Ö")+COUNTIF(E605:AI605,"T")</f>
      </c>
      <c r="AT605" s="1">
        <f>=COUNTIF(E605:AI605,"Y")</f>
      </c>
      <c r="AU605" s="1">
        <f>=COUNTIF(E605:AI605,"R.")</f>
      </c>
      <c r="AV605" s="1">
        <f>=COUNTIF(E605:AI605,"Ü")</f>
      </c>
      <c r="AW605" s="1">
        <f>=COUNTIF(E605:AI605,"R")</f>
      </c>
      <c r="AX605" s="1">
        <f>=COUNTIF(E605:AI605,"DV")</f>
      </c>
      <c r="AY605" s="1">
        <f>=+AN605+AO605+AP605+AQ605+AR605+AS605+AT605+AU605</f>
      </c>
    </row>
    <row r="606" ht="16" customHeight="1" spans="1:51" x14ac:dyDescent="0.25">
      <c r="A606" s="45"/>
      <c r="B606" s="46"/>
      <c r="C606" s="46"/>
      <c r="D606" s="46" t="s">
        <v>33</v>
      </c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  <c r="AC606" s="46"/>
      <c r="AD606" s="46"/>
      <c r="AE606" s="46"/>
      <c r="AF606" s="46"/>
      <c r="AG606" s="46"/>
      <c r="AH606" s="46"/>
      <c r="AI606" s="46"/>
      <c r="AJ606" s="46"/>
      <c r="AK606" s="46"/>
      <c r="AL606" s="46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</row>
    <row r="607" ht="16" customHeight="1" spans="1:51" x14ac:dyDescent="0.25">
      <c r="A607" s="45"/>
      <c r="B607" s="46" t="s">
        <v>649</v>
      </c>
      <c r="C607" s="46" t="s">
        <v>650</v>
      </c>
      <c r="D607" s="46" t="s">
        <v>29</v>
      </c>
      <c r="E607" s="46" t="s">
        <v>36</v>
      </c>
      <c r="F607" s="46" t="s">
        <v>36</v>
      </c>
      <c r="G607" s="46" t="s">
        <v>37</v>
      </c>
      <c r="H607" s="46" t="s">
        <v>36</v>
      </c>
      <c r="I607" s="46" t="s">
        <v>36</v>
      </c>
      <c r="J607" s="46" t="s">
        <v>36</v>
      </c>
      <c r="K607" s="46" t="s">
        <v>36</v>
      </c>
      <c r="L607" s="46" t="s">
        <v>36</v>
      </c>
      <c r="M607" s="46" t="s">
        <v>36</v>
      </c>
      <c r="N607" s="46" t="s">
        <v>37</v>
      </c>
      <c r="O607" s="46" t="s">
        <v>36</v>
      </c>
      <c r="P607" s="46" t="s">
        <v>36</v>
      </c>
      <c r="Q607" s="46" t="s">
        <v>36</v>
      </c>
      <c r="R607" s="46" t="s">
        <v>36</v>
      </c>
      <c r="S607" s="46" t="s">
        <v>36</v>
      </c>
      <c r="T607" s="46" t="s">
        <v>37</v>
      </c>
      <c r="U607" s="46" t="s">
        <v>36</v>
      </c>
      <c r="V607" s="46" t="s">
        <v>36</v>
      </c>
      <c r="W607" s="46" t="s">
        <v>36</v>
      </c>
      <c r="X607" s="46" t="s">
        <v>36</v>
      </c>
      <c r="Y607" s="46" t="s">
        <v>36</v>
      </c>
      <c r="Z607" s="46" t="s">
        <v>36</v>
      </c>
      <c r="AA607" s="46" t="s">
        <v>36</v>
      </c>
      <c r="AB607" s="46" t="s">
        <v>37</v>
      </c>
      <c r="AC607" s="46" t="s">
        <v>36</v>
      </c>
      <c r="AD607" s="46" t="s">
        <v>36</v>
      </c>
      <c r="AE607" s="46" t="s">
        <v>36</v>
      </c>
      <c r="AF607" s="46" t="s">
        <v>36</v>
      </c>
      <c r="AG607" s="46" t="s">
        <v>36</v>
      </c>
      <c r="AH607" s="46" t="s">
        <v>43</v>
      </c>
      <c r="AI607" s="46" t="s">
        <v>37</v>
      </c>
      <c r="AJ607" s="46">
        <f>=SUM(E608:AI608)</f>
      </c>
      <c r="AK607" s="46">
        <f>=+AY607</f>
      </c>
      <c r="AL607" s="46"/>
      <c r="AM607" s="1"/>
      <c r="AN607" s="1">
        <f>=COUNTIF(E607:AI607,"A")+COUNTIF(E607:AI607,"B")+COUNTIF(E607:AI607,"C")+COUNTIF(E607:AI607,"D")+COUNTIF(E607:AI607,"E")+COUNTIF(E607:AI607,"F")+COUNTIF(E607:AI607,"M")+COUNTIF(E607:AI607,"AB")+COUNTIF(E607:AI607,"UZ")+COUNTIF(E607:AI607,"G")+(COUNTIF(E607:AI607,"RT.")/2)+(COUNTIF(E607:AI607,"ÇRT.")/2)</f>
      </c>
      <c r="AO607" s="1">
        <f>=COUNTIF(E607:AI607,"O")</f>
      </c>
      <c r="AP607" s="1">
        <f>=COUNTIF(E607:AI607,"RT")+(COUNTIF(E607:AI607,"RT.")/2)</f>
      </c>
      <c r="AQ607" s="1">
        <f>=COUNTIF(E607:AI607,"ÇRT")+(COUNTIF(E607:AI607,"ÇRT.")/2)</f>
      </c>
      <c r="AR607" s="1">
        <f>=COUNTIF(E607:AI607,"ÇHT")</f>
      </c>
      <c r="AS607" s="1">
        <f>=COUNTIF(E607:AI607,"Ö")+COUNTIF(E607:AI607,"T")</f>
      </c>
      <c r="AT607" s="1">
        <f>=COUNTIF(E607:AI607,"Y")</f>
      </c>
      <c r="AU607" s="1">
        <f>=COUNTIF(E607:AI607,"R.")</f>
      </c>
      <c r="AV607" s="1">
        <f>=COUNTIF(E607:AI607,"Ü")</f>
      </c>
      <c r="AW607" s="1">
        <f>=COUNTIF(E607:AI607,"R")</f>
      </c>
      <c r="AX607" s="1">
        <f>=COUNTIF(E607:AI607,"DV")</f>
      </c>
      <c r="AY607" s="1">
        <f>=+AN607+AO607+AP607+AQ607+AR607+AS607+AT607+AU607</f>
      </c>
    </row>
    <row r="608" ht="16" customHeight="1" spans="1:51" x14ac:dyDescent="0.25">
      <c r="A608" s="45"/>
      <c r="B608" s="46"/>
      <c r="C608" s="46"/>
      <c r="D608" s="46" t="s">
        <v>33</v>
      </c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  <c r="AC608" s="46"/>
      <c r="AD608" s="46"/>
      <c r="AE608" s="46"/>
      <c r="AF608" s="46"/>
      <c r="AG608" s="46"/>
      <c r="AH608" s="46"/>
      <c r="AI608" s="46"/>
      <c r="AJ608" s="46"/>
      <c r="AK608" s="46"/>
      <c r="AL608" s="46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</row>
    <row r="609" ht="16" customHeight="1" spans="1:51" x14ac:dyDescent="0.25">
      <c r="A609" s="45"/>
      <c r="B609" s="46" t="s">
        <v>651</v>
      </c>
      <c r="C609" s="46" t="s">
        <v>652</v>
      </c>
      <c r="D609" s="46" t="s">
        <v>29</v>
      </c>
      <c r="E609" s="46" t="s">
        <v>36</v>
      </c>
      <c r="F609" s="46" t="s">
        <v>36</v>
      </c>
      <c r="G609" s="46" t="s">
        <v>36</v>
      </c>
      <c r="H609" s="46" t="s">
        <v>36</v>
      </c>
      <c r="I609" s="46" t="s">
        <v>37</v>
      </c>
      <c r="J609" s="46" t="s">
        <v>36</v>
      </c>
      <c r="K609" s="46" t="s">
        <v>36</v>
      </c>
      <c r="L609" s="46" t="s">
        <v>36</v>
      </c>
      <c r="M609" s="46" t="s">
        <v>36</v>
      </c>
      <c r="N609" s="46" t="s">
        <v>36</v>
      </c>
      <c r="O609" s="46" t="s">
        <v>36</v>
      </c>
      <c r="P609" s="46" t="s">
        <v>37</v>
      </c>
      <c r="Q609" s="46" t="s">
        <v>36</v>
      </c>
      <c r="R609" s="46" t="s">
        <v>36</v>
      </c>
      <c r="S609" s="46" t="s">
        <v>36</v>
      </c>
      <c r="T609" s="46" t="s">
        <v>36</v>
      </c>
      <c r="U609" s="46" t="s">
        <v>36</v>
      </c>
      <c r="V609" s="46" t="s">
        <v>36</v>
      </c>
      <c r="W609" s="46" t="s">
        <v>36</v>
      </c>
      <c r="X609" s="46" t="s">
        <v>36</v>
      </c>
      <c r="Y609" s="46" t="s">
        <v>36</v>
      </c>
      <c r="Z609" s="46" t="s">
        <v>37</v>
      </c>
      <c r="AA609" s="46" t="s">
        <v>36</v>
      </c>
      <c r="AB609" s="46" t="s">
        <v>36</v>
      </c>
      <c r="AC609" s="46" t="s">
        <v>36</v>
      </c>
      <c r="AD609" s="46" t="s">
        <v>37</v>
      </c>
      <c r="AE609" s="46" t="s">
        <v>36</v>
      </c>
      <c r="AF609" s="46" t="s">
        <v>36</v>
      </c>
      <c r="AG609" s="46" t="s">
        <v>36</v>
      </c>
      <c r="AH609" s="46" t="s">
        <v>43</v>
      </c>
      <c r="AI609" s="46" t="s">
        <v>36</v>
      </c>
      <c r="AJ609" s="46">
        <f>=SUM(E610:AI610)</f>
      </c>
      <c r="AK609" s="46">
        <f>=+AY609</f>
      </c>
      <c r="AL609" s="46"/>
      <c r="AM609" s="1"/>
      <c r="AN609" s="1">
        <f>=COUNTIF(E609:AI609,"A")+COUNTIF(E609:AI609,"B")+COUNTIF(E609:AI609,"C")+COUNTIF(E609:AI609,"D")+COUNTIF(E609:AI609,"E")+COUNTIF(E609:AI609,"F")+COUNTIF(E609:AI609,"M")+COUNTIF(E609:AI609,"AB")+COUNTIF(E609:AI609,"UZ")+COUNTIF(E609:AI609,"G")+(COUNTIF(E609:AI609,"RT.")/2)+(COUNTIF(E609:AI609,"ÇRT.")/2)</f>
      </c>
      <c r="AO609" s="1">
        <f>=COUNTIF(E609:AI609,"O")</f>
      </c>
      <c r="AP609" s="1">
        <f>=COUNTIF(E609:AI609,"RT")+(COUNTIF(E609:AI609,"RT.")/2)</f>
      </c>
      <c r="AQ609" s="1">
        <f>=COUNTIF(E609:AI609,"ÇRT")+(COUNTIF(E609:AI609,"ÇRT.")/2)</f>
      </c>
      <c r="AR609" s="1">
        <f>=COUNTIF(E609:AI609,"ÇHT")</f>
      </c>
      <c r="AS609" s="1">
        <f>=COUNTIF(E609:AI609,"Ö")+COUNTIF(E609:AI609,"T")</f>
      </c>
      <c r="AT609" s="1">
        <f>=COUNTIF(E609:AI609,"Y")</f>
      </c>
      <c r="AU609" s="1">
        <f>=COUNTIF(E609:AI609,"R.")</f>
      </c>
      <c r="AV609" s="1">
        <f>=COUNTIF(E609:AI609,"Ü")</f>
      </c>
      <c r="AW609" s="1">
        <f>=COUNTIF(E609:AI609,"R")</f>
      </c>
      <c r="AX609" s="1">
        <f>=COUNTIF(E609:AI609,"DV")</f>
      </c>
      <c r="AY609" s="1">
        <f>=+AN609+AO609+AP609+AQ609+AR609+AS609+AT609+AU609</f>
      </c>
    </row>
    <row r="610" ht="16" customHeight="1" spans="1:51" x14ac:dyDescent="0.25">
      <c r="A610" s="45"/>
      <c r="B610" s="46"/>
      <c r="C610" s="46"/>
      <c r="D610" s="46" t="s">
        <v>33</v>
      </c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  <c r="AC610" s="46"/>
      <c r="AD610" s="46"/>
      <c r="AE610" s="46"/>
      <c r="AF610" s="46">
        <v>2</v>
      </c>
      <c r="AG610" s="46">
        <v>3</v>
      </c>
      <c r="AH610" s="46">
        <v>2</v>
      </c>
      <c r="AI610" s="46"/>
      <c r="AJ610" s="46"/>
      <c r="AK610" s="46"/>
      <c r="AL610" s="46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</row>
    <row r="611" ht="16" customHeight="1" spans="1:51" x14ac:dyDescent="0.25">
      <c r="A611" s="45"/>
      <c r="B611" s="46" t="s">
        <v>653</v>
      </c>
      <c r="C611" s="46" t="s">
        <v>654</v>
      </c>
      <c r="D611" s="46" t="s">
        <v>29</v>
      </c>
      <c r="E611" s="46" t="s">
        <v>59</v>
      </c>
      <c r="F611" s="46" t="s">
        <v>59</v>
      </c>
      <c r="G611" s="46" t="s">
        <v>59</v>
      </c>
      <c r="H611" s="46" t="s">
        <v>59</v>
      </c>
      <c r="I611" s="46" t="s">
        <v>37</v>
      </c>
      <c r="J611" s="46" t="s">
        <v>59</v>
      </c>
      <c r="K611" s="46" t="s">
        <v>31</v>
      </c>
      <c r="L611" s="46" t="s">
        <v>59</v>
      </c>
      <c r="M611" s="46" t="s">
        <v>59</v>
      </c>
      <c r="N611" s="46" t="s">
        <v>59</v>
      </c>
      <c r="O611" s="46" t="s">
        <v>59</v>
      </c>
      <c r="P611" s="46" t="s">
        <v>37</v>
      </c>
      <c r="Q611" s="46" t="s">
        <v>59</v>
      </c>
      <c r="R611" s="46" t="s">
        <v>59</v>
      </c>
      <c r="S611" s="46" t="s">
        <v>59</v>
      </c>
      <c r="T611" s="46" t="s">
        <v>59</v>
      </c>
      <c r="U611" s="46" t="s">
        <v>59</v>
      </c>
      <c r="V611" s="46" t="s">
        <v>59</v>
      </c>
      <c r="W611" s="46" t="s">
        <v>37</v>
      </c>
      <c r="X611" s="46" t="s">
        <v>59</v>
      </c>
      <c r="Y611" s="46" t="s">
        <v>59</v>
      </c>
      <c r="Z611" s="46" t="s">
        <v>59</v>
      </c>
      <c r="AA611" s="46" t="s">
        <v>59</v>
      </c>
      <c r="AB611" s="46" t="s">
        <v>59</v>
      </c>
      <c r="AC611" s="46" t="s">
        <v>59</v>
      </c>
      <c r="AD611" s="46" t="s">
        <v>37</v>
      </c>
      <c r="AE611" s="46" t="s">
        <v>337</v>
      </c>
      <c r="AF611" s="46" t="s">
        <v>59</v>
      </c>
      <c r="AG611" s="46" t="s">
        <v>59</v>
      </c>
      <c r="AH611" s="46" t="s">
        <v>43</v>
      </c>
      <c r="AI611" s="46" t="s">
        <v>59</v>
      </c>
      <c r="AJ611" s="46">
        <f>=SUM(E612:AI612)</f>
      </c>
      <c r="AK611" s="46">
        <f>=+AY611</f>
      </c>
      <c r="AL611" s="46"/>
      <c r="AM611" s="1"/>
      <c r="AN611" s="1">
        <f>=COUNTIF(E611:AI611,"A")+COUNTIF(E611:AI611,"B")+COUNTIF(E611:AI611,"C")+COUNTIF(E611:AI611,"D")+COUNTIF(E611:AI611,"E")+COUNTIF(E611:AI611,"F")+COUNTIF(E611:AI611,"M")+COUNTIF(E611:AI611,"AB")+COUNTIF(E611:AI611,"UZ")+COUNTIF(E611:AI611,"G")+(COUNTIF(E611:AI611,"RT.")/2)+(COUNTIF(E611:AI611,"ÇRT.")/2)</f>
      </c>
      <c r="AO611" s="1">
        <f>=COUNTIF(E611:AI611,"O")</f>
      </c>
      <c r="AP611" s="1">
        <f>=COUNTIF(E611:AI611,"RT")+(COUNTIF(E611:AI611,"RT.")/2)</f>
      </c>
      <c r="AQ611" s="1">
        <f>=COUNTIF(E611:AI611,"ÇRT")+(COUNTIF(E611:AI611,"ÇRT.")/2)</f>
      </c>
      <c r="AR611" s="1">
        <f>=COUNTIF(E611:AI611,"ÇHT")</f>
      </c>
      <c r="AS611" s="1">
        <f>=COUNTIF(E611:AI611,"Ö")+COUNTIF(E611:AI611,"T")</f>
      </c>
      <c r="AT611" s="1">
        <f>=COUNTIF(E611:AI611,"Y")</f>
      </c>
      <c r="AU611" s="1">
        <f>=COUNTIF(E611:AI611,"R.")</f>
      </c>
      <c r="AV611" s="1">
        <f>=COUNTIF(E611:AI611,"Ü")</f>
      </c>
      <c r="AW611" s="1">
        <f>=COUNTIF(E611:AI611,"R")</f>
      </c>
      <c r="AX611" s="1">
        <f>=COUNTIF(E611:AI611,"DV")</f>
      </c>
      <c r="AY611" s="1">
        <f>=+AN611+AO611+AP611+AQ611+AR611+AS611+AT611+AU611</f>
      </c>
    </row>
    <row r="612" ht="16" customHeight="1" spans="1:51" x14ac:dyDescent="0.25">
      <c r="A612" s="45"/>
      <c r="B612" s="46"/>
      <c r="C612" s="46"/>
      <c r="D612" s="46" t="s">
        <v>33</v>
      </c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  <c r="AC612" s="46"/>
      <c r="AD612" s="46"/>
      <c r="AE612" s="46"/>
      <c r="AF612" s="46"/>
      <c r="AG612" s="46"/>
      <c r="AH612" s="46"/>
      <c r="AI612" s="46"/>
      <c r="AJ612" s="46"/>
      <c r="AK612" s="46"/>
      <c r="AL612" s="46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</row>
    <row r="613" ht="16" customHeight="1" spans="1:51" x14ac:dyDescent="0.25">
      <c r="A613" s="45"/>
      <c r="B613" s="46" t="s">
        <v>655</v>
      </c>
      <c r="C613" s="46" t="s">
        <v>656</v>
      </c>
      <c r="D613" s="46" t="s">
        <v>29</v>
      </c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 t="s">
        <v>36</v>
      </c>
      <c r="P613" s="46" t="s">
        <v>36</v>
      </c>
      <c r="Q613" s="46" t="s">
        <v>36</v>
      </c>
      <c r="R613" s="46" t="s">
        <v>36</v>
      </c>
      <c r="S613" s="46" t="s">
        <v>36</v>
      </c>
      <c r="T613" s="46" t="s">
        <v>36</v>
      </c>
      <c r="U613" s="46" t="s">
        <v>36</v>
      </c>
      <c r="V613" s="46" t="s">
        <v>37</v>
      </c>
      <c r="W613" s="46" t="s">
        <v>36</v>
      </c>
      <c r="X613" s="46" t="s">
        <v>36</v>
      </c>
      <c r="Y613" s="46" t="s">
        <v>36</v>
      </c>
      <c r="Z613" s="46" t="s">
        <v>36</v>
      </c>
      <c r="AA613" s="46" t="s">
        <v>36</v>
      </c>
      <c r="AB613" s="46" t="s">
        <v>36</v>
      </c>
      <c r="AC613" s="46" t="s">
        <v>37</v>
      </c>
      <c r="AD613" s="46" t="s">
        <v>36</v>
      </c>
      <c r="AE613" s="46" t="s">
        <v>36</v>
      </c>
      <c r="AF613" s="46" t="s">
        <v>36</v>
      </c>
      <c r="AG613" s="46" t="s">
        <v>36</v>
      </c>
      <c r="AH613" s="46" t="s">
        <v>43</v>
      </c>
      <c r="AI613" s="46" t="s">
        <v>36</v>
      </c>
      <c r="AJ613" s="46">
        <f>=SUM(E614:AI614)</f>
      </c>
      <c r="AK613" s="46">
        <f>=+AY613</f>
      </c>
      <c r="AL613" s="46"/>
      <c r="AM613" s="1"/>
      <c r="AN613" s="1">
        <f>=COUNTIF(E613:AI613,"A")+COUNTIF(E613:AI613,"B")+COUNTIF(E613:AI613,"C")+COUNTIF(E613:AI613,"D")+COUNTIF(E613:AI613,"E")+COUNTIF(E613:AI613,"F")+COUNTIF(E613:AI613,"M")+COUNTIF(E613:AI613,"AB")+COUNTIF(E613:AI613,"UZ")+COUNTIF(E613:AI613,"G")+(COUNTIF(E613:AI613,"RT.")/2)+(COUNTIF(E613:AI613,"ÇRT.")/2)</f>
      </c>
      <c r="AO613" s="1">
        <f>=COUNTIF(E613:AI613,"O")</f>
      </c>
      <c r="AP613" s="1">
        <f>=COUNTIF(E613:AI613,"RT")+(COUNTIF(E613:AI613,"RT.")/2)</f>
      </c>
      <c r="AQ613" s="1">
        <f>=COUNTIF(E613:AI613,"ÇRT")+(COUNTIF(E613:AI613,"ÇRT.")/2)</f>
      </c>
      <c r="AR613" s="1">
        <f>=COUNTIF(E613:AI613,"ÇHT")</f>
      </c>
      <c r="AS613" s="1">
        <f>=COUNTIF(E613:AI613,"Ö")+COUNTIF(E613:AI613,"T")</f>
      </c>
      <c r="AT613" s="1">
        <f>=COUNTIF(E613:AI613,"Y")</f>
      </c>
      <c r="AU613" s="1">
        <f>=COUNTIF(E613:AI613,"R.")</f>
      </c>
      <c r="AV613" s="1">
        <f>=COUNTIF(E613:AI613,"Ü")</f>
      </c>
      <c r="AW613" s="1">
        <f>=COUNTIF(E613:AI613,"R")</f>
      </c>
      <c r="AX613" s="1">
        <f>=COUNTIF(E613:AI613,"DV")</f>
      </c>
      <c r="AY613" s="1">
        <f>=+AN613+AO613+AP613+AQ613+AR613+AS613+AT613+AU613</f>
      </c>
    </row>
    <row r="614" ht="16" customHeight="1" spans="1:51" x14ac:dyDescent="0.25">
      <c r="A614" s="45"/>
      <c r="B614" s="46"/>
      <c r="C614" s="46"/>
      <c r="D614" s="46" t="s">
        <v>33</v>
      </c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  <c r="AD614" s="46">
        <v>1</v>
      </c>
      <c r="AE614" s="46"/>
      <c r="AF614" s="46"/>
      <c r="AG614" s="46">
        <v>3</v>
      </c>
      <c r="AH614" s="46">
        <v>2</v>
      </c>
      <c r="AI614" s="46"/>
      <c r="AJ614" s="46"/>
      <c r="AK614" s="46"/>
      <c r="AL614" s="46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</row>
    <row r="615" ht="16" customHeight="1" spans="1:51" x14ac:dyDescent="0.25">
      <c r="A615" s="45"/>
      <c r="B615" s="46" t="s">
        <v>657</v>
      </c>
      <c r="C615" s="46" t="s">
        <v>658</v>
      </c>
      <c r="D615" s="46" t="s">
        <v>29</v>
      </c>
      <c r="E615" s="46" t="s">
        <v>36</v>
      </c>
      <c r="F615" s="46" t="s">
        <v>36</v>
      </c>
      <c r="G615" s="46" t="s">
        <v>36</v>
      </c>
      <c r="H615" s="46" t="s">
        <v>37</v>
      </c>
      <c r="I615" s="46" t="s">
        <v>30</v>
      </c>
      <c r="J615" s="46" t="s">
        <v>30</v>
      </c>
      <c r="K615" s="46" t="s">
        <v>30</v>
      </c>
      <c r="L615" s="46" t="s">
        <v>30</v>
      </c>
      <c r="M615" s="46" t="s">
        <v>30</v>
      </c>
      <c r="N615" s="46" t="s">
        <v>30</v>
      </c>
      <c r="O615" s="46" t="s">
        <v>37</v>
      </c>
      <c r="P615" s="46" t="s">
        <v>30</v>
      </c>
      <c r="Q615" s="46" t="s">
        <v>30</v>
      </c>
      <c r="R615" s="46" t="s">
        <v>30</v>
      </c>
      <c r="S615" s="46" t="s">
        <v>30</v>
      </c>
      <c r="T615" s="46" t="s">
        <v>30</v>
      </c>
      <c r="U615" s="46" t="s">
        <v>30</v>
      </c>
      <c r="V615" s="46" t="s">
        <v>37</v>
      </c>
      <c r="W615" s="46" t="s">
        <v>36</v>
      </c>
      <c r="X615" s="46" t="s">
        <v>36</v>
      </c>
      <c r="Y615" s="46" t="s">
        <v>36</v>
      </c>
      <c r="Z615" s="46" t="s">
        <v>36</v>
      </c>
      <c r="AA615" s="46" t="s">
        <v>37</v>
      </c>
      <c r="AB615" s="46" t="s">
        <v>36</v>
      </c>
      <c r="AC615" s="46" t="s">
        <v>36</v>
      </c>
      <c r="AD615" s="46" t="s">
        <v>36</v>
      </c>
      <c r="AE615" s="46" t="s">
        <v>36</v>
      </c>
      <c r="AF615" s="46" t="s">
        <v>36</v>
      </c>
      <c r="AG615" s="46" t="s">
        <v>36</v>
      </c>
      <c r="AH615" s="46" t="s">
        <v>43</v>
      </c>
      <c r="AI615" s="46" t="s">
        <v>37</v>
      </c>
      <c r="AJ615" s="46">
        <f>=SUM(E616:AI616)</f>
      </c>
      <c r="AK615" s="46">
        <f>=+AY615</f>
      </c>
      <c r="AL615" s="46"/>
      <c r="AM615" s="1"/>
      <c r="AN615" s="1">
        <f>=COUNTIF(E615:AI615,"A")+COUNTIF(E615:AI615,"B")+COUNTIF(E615:AI615,"C")+COUNTIF(E615:AI615,"D")+COUNTIF(E615:AI615,"E")+COUNTIF(E615:AI615,"F")+COUNTIF(E615:AI615,"M")+COUNTIF(E615:AI615,"AB")+COUNTIF(E615:AI615,"UZ")+COUNTIF(E615:AI615,"G")+(COUNTIF(E615:AI615,"RT.")/2)+(COUNTIF(E615:AI615,"ÇRT.")/2)</f>
      </c>
      <c r="AO615" s="1">
        <f>=COUNTIF(E615:AI615,"O")</f>
      </c>
      <c r="AP615" s="1">
        <f>=COUNTIF(E615:AI615,"RT")+(COUNTIF(E615:AI615,"RT.")/2)</f>
      </c>
      <c r="AQ615" s="1">
        <f>=COUNTIF(E615:AI615,"ÇRT")+(COUNTIF(E615:AI615,"ÇRT.")/2)</f>
      </c>
      <c r="AR615" s="1">
        <f>=COUNTIF(E615:AI615,"ÇHT")</f>
      </c>
      <c r="AS615" s="1">
        <f>=COUNTIF(E615:AI615,"Ö")+COUNTIF(E615:AI615,"T")</f>
      </c>
      <c r="AT615" s="1">
        <f>=COUNTIF(E615:AI615,"Y")</f>
      </c>
      <c r="AU615" s="1">
        <f>=COUNTIF(E615:AI615,"R.")</f>
      </c>
      <c r="AV615" s="1">
        <f>=COUNTIF(E615:AI615,"Ü")</f>
      </c>
      <c r="AW615" s="1">
        <f>=COUNTIF(E615:AI615,"R")</f>
      </c>
      <c r="AX615" s="1">
        <f>=COUNTIF(E615:AI615,"DV")</f>
      </c>
      <c r="AY615" s="1">
        <f>=+AN615+AO615+AP615+AQ615+AR615+AS615+AT615+AU615</f>
      </c>
    </row>
    <row r="616" ht="16" customHeight="1" spans="1:51" x14ac:dyDescent="0.25">
      <c r="A616" s="45"/>
      <c r="B616" s="46"/>
      <c r="C616" s="46"/>
      <c r="D616" s="46" t="s">
        <v>33</v>
      </c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  <c r="AC616" s="46"/>
      <c r="AD616" s="46">
        <v>0</v>
      </c>
      <c r="AE616" s="46"/>
      <c r="AF616" s="46">
        <v>2</v>
      </c>
      <c r="AG616" s="46">
        <v>3</v>
      </c>
      <c r="AH616" s="46">
        <v>2</v>
      </c>
      <c r="AI616" s="46"/>
      <c r="AJ616" s="46"/>
      <c r="AK616" s="46"/>
      <c r="AL616" s="46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</row>
    <row r="617" ht="16" customHeight="1" spans="1:51" x14ac:dyDescent="0.25">
      <c r="A617" s="45"/>
      <c r="B617" s="46" t="s">
        <v>659</v>
      </c>
      <c r="C617" s="46" t="s">
        <v>660</v>
      </c>
      <c r="D617" s="46" t="s">
        <v>29</v>
      </c>
      <c r="E617" s="46" t="s">
        <v>36</v>
      </c>
      <c r="F617" s="46" t="s">
        <v>36</v>
      </c>
      <c r="G617" s="46" t="s">
        <v>37</v>
      </c>
      <c r="H617" s="46" t="s">
        <v>36</v>
      </c>
      <c r="I617" s="46" t="s">
        <v>36</v>
      </c>
      <c r="J617" s="46" t="s">
        <v>36</v>
      </c>
      <c r="K617" s="46" t="s">
        <v>36</v>
      </c>
      <c r="L617" s="46" t="s">
        <v>36</v>
      </c>
      <c r="M617" s="46" t="s">
        <v>36</v>
      </c>
      <c r="N617" s="46" t="s">
        <v>37</v>
      </c>
      <c r="O617" s="46" t="s">
        <v>36</v>
      </c>
      <c r="P617" s="46" t="s">
        <v>36</v>
      </c>
      <c r="Q617" s="46" t="s">
        <v>36</v>
      </c>
      <c r="R617" s="46" t="s">
        <v>36</v>
      </c>
      <c r="S617" s="46" t="s">
        <v>36</v>
      </c>
      <c r="T617" s="46" t="s">
        <v>36</v>
      </c>
      <c r="U617" s="46" t="s">
        <v>37</v>
      </c>
      <c r="V617" s="46" t="s">
        <v>36</v>
      </c>
      <c r="W617" s="46" t="s">
        <v>36</v>
      </c>
      <c r="X617" s="46" t="s">
        <v>36</v>
      </c>
      <c r="Y617" s="46" t="s">
        <v>36</v>
      </c>
      <c r="Z617" s="46" t="s">
        <v>36</v>
      </c>
      <c r="AA617" s="46" t="s">
        <v>36</v>
      </c>
      <c r="AB617" s="46" t="s">
        <v>37</v>
      </c>
      <c r="AC617" s="46" t="s">
        <v>36</v>
      </c>
      <c r="AD617" s="46" t="s">
        <v>36</v>
      </c>
      <c r="AE617" s="46" t="s">
        <v>36</v>
      </c>
      <c r="AF617" s="46" t="s">
        <v>36</v>
      </c>
      <c r="AG617" s="46" t="s">
        <v>36</v>
      </c>
      <c r="AH617" s="46" t="s">
        <v>43</v>
      </c>
      <c r="AI617" s="46" t="s">
        <v>37</v>
      </c>
      <c r="AJ617" s="46">
        <f>=SUM(E618:AI618)</f>
      </c>
      <c r="AK617" s="46">
        <f>=+AY617</f>
      </c>
      <c r="AL617" s="46"/>
      <c r="AM617" s="1"/>
      <c r="AN617" s="1">
        <f>=COUNTIF(E617:AI617,"A")+COUNTIF(E617:AI617,"B")+COUNTIF(E617:AI617,"C")+COUNTIF(E617:AI617,"D")+COUNTIF(E617:AI617,"E")+COUNTIF(E617:AI617,"F")+COUNTIF(E617:AI617,"M")+COUNTIF(E617:AI617,"AB")+COUNTIF(E617:AI617,"UZ")+COUNTIF(E617:AI617,"G")+(COUNTIF(E617:AI617,"RT.")/2)+(COUNTIF(E617:AI617,"ÇRT.")/2)</f>
      </c>
      <c r="AO617" s="1">
        <f>=COUNTIF(E617:AI617,"O")</f>
      </c>
      <c r="AP617" s="1">
        <f>=COUNTIF(E617:AI617,"RT")+(COUNTIF(E617:AI617,"RT.")/2)</f>
      </c>
      <c r="AQ617" s="1">
        <f>=COUNTIF(E617:AI617,"ÇRT")+(COUNTIF(E617:AI617,"ÇRT.")/2)</f>
      </c>
      <c r="AR617" s="1">
        <f>=COUNTIF(E617:AI617,"ÇHT")</f>
      </c>
      <c r="AS617" s="1">
        <f>=COUNTIF(E617:AI617,"Ö")+COUNTIF(E617:AI617,"T")</f>
      </c>
      <c r="AT617" s="1">
        <f>=COUNTIF(E617:AI617,"Y")</f>
      </c>
      <c r="AU617" s="1">
        <f>=COUNTIF(E617:AI617,"R.")</f>
      </c>
      <c r="AV617" s="1">
        <f>=COUNTIF(E617:AI617,"Ü")</f>
      </c>
      <c r="AW617" s="1">
        <f>=COUNTIF(E617:AI617,"R")</f>
      </c>
      <c r="AX617" s="1">
        <f>=COUNTIF(E617:AI617,"DV")</f>
      </c>
      <c r="AY617" s="1">
        <f>=+AN617+AO617+AP617+AQ617+AR617+AS617+AT617+AU617</f>
      </c>
    </row>
    <row r="618" ht="16" customHeight="1" spans="1:51" x14ac:dyDescent="0.25">
      <c r="A618" s="45"/>
      <c r="B618" s="46"/>
      <c r="C618" s="46"/>
      <c r="D618" s="46" t="s">
        <v>33</v>
      </c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  <c r="AC618" s="46"/>
      <c r="AD618" s="46"/>
      <c r="AE618" s="46"/>
      <c r="AF618" s="46"/>
      <c r="AG618" s="46"/>
      <c r="AH618" s="46"/>
      <c r="AI618" s="46"/>
      <c r="AJ618" s="46"/>
      <c r="AK618" s="46"/>
      <c r="AL618" s="46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</row>
    <row r="619" ht="16" customHeight="1" spans="1:51" x14ac:dyDescent="0.25">
      <c r="A619" s="45"/>
      <c r="B619" s="46" t="s">
        <v>661</v>
      </c>
      <c r="C619" s="46" t="s">
        <v>662</v>
      </c>
      <c r="D619" s="46" t="s">
        <v>29</v>
      </c>
      <c r="E619" s="46" t="s">
        <v>36</v>
      </c>
      <c r="F619" s="46" t="s">
        <v>37</v>
      </c>
      <c r="G619" s="46" t="s">
        <v>36</v>
      </c>
      <c r="H619" s="46" t="s">
        <v>31</v>
      </c>
      <c r="I619" s="46" t="s">
        <v>36</v>
      </c>
      <c r="J619" s="46" t="s">
        <v>36</v>
      </c>
      <c r="K619" s="46" t="s">
        <v>36</v>
      </c>
      <c r="L619" s="46" t="s">
        <v>36</v>
      </c>
      <c r="M619" s="46" t="s">
        <v>37</v>
      </c>
      <c r="N619" s="46" t="s">
        <v>36</v>
      </c>
      <c r="O619" s="46" t="s">
        <v>36</v>
      </c>
      <c r="P619" s="46" t="s">
        <v>36</v>
      </c>
      <c r="Q619" s="46" t="s">
        <v>36</v>
      </c>
      <c r="R619" s="46" t="s">
        <v>36</v>
      </c>
      <c r="S619" s="46" t="s">
        <v>36</v>
      </c>
      <c r="T619" s="46" t="s">
        <v>37</v>
      </c>
      <c r="U619" s="46" t="s">
        <v>36</v>
      </c>
      <c r="V619" s="46" t="s">
        <v>36</v>
      </c>
      <c r="W619" s="46" t="s">
        <v>36</v>
      </c>
      <c r="X619" s="46" t="s">
        <v>36</v>
      </c>
      <c r="Y619" s="46" t="s">
        <v>36</v>
      </c>
      <c r="Z619" s="46" t="s">
        <v>36</v>
      </c>
      <c r="AA619" s="46" t="s">
        <v>37</v>
      </c>
      <c r="AB619" s="46" t="s">
        <v>36</v>
      </c>
      <c r="AC619" s="46" t="s">
        <v>36</v>
      </c>
      <c r="AD619" s="46" t="s">
        <v>36</v>
      </c>
      <c r="AE619" s="46" t="s">
        <v>36</v>
      </c>
      <c r="AF619" s="46" t="s">
        <v>36</v>
      </c>
      <c r="AG619" s="46" t="s">
        <v>36</v>
      </c>
      <c r="AH619" s="46" t="s">
        <v>222</v>
      </c>
      <c r="AI619" s="46" t="s">
        <v>36</v>
      </c>
      <c r="AJ619" s="46">
        <f>=SUM(E620:AI620)</f>
      </c>
      <c r="AK619" s="46">
        <f>=+AY619</f>
      </c>
      <c r="AL619" s="46"/>
      <c r="AM619" s="1"/>
      <c r="AN619" s="1">
        <f>=COUNTIF(E619:AI619,"A")+COUNTIF(E619:AI619,"B")+COUNTIF(E619:AI619,"C")+COUNTIF(E619:AI619,"D")+COUNTIF(E619:AI619,"E")+COUNTIF(E619:AI619,"F")+COUNTIF(E619:AI619,"M")+COUNTIF(E619:AI619,"AB")+COUNTIF(E619:AI619,"UZ")+COUNTIF(E619:AI619,"G")+(COUNTIF(E619:AI619,"RT.")/2)+(COUNTIF(E619:AI619,"ÇRT.")/2)</f>
      </c>
      <c r="AO619" s="1">
        <f>=COUNTIF(E619:AI619,"O")</f>
      </c>
      <c r="AP619" s="1">
        <f>=COUNTIF(E619:AI619,"RT")+(COUNTIF(E619:AI619,"RT.")/2)</f>
      </c>
      <c r="AQ619" s="1">
        <f>=COUNTIF(E619:AI619,"ÇRT")+(COUNTIF(E619:AI619,"ÇRT.")/2)</f>
      </c>
      <c r="AR619" s="1">
        <f>=COUNTIF(E619:AI619,"ÇHT")</f>
      </c>
      <c r="AS619" s="1">
        <f>=COUNTIF(E619:AI619,"Ö")+COUNTIF(E619:AI619,"T")</f>
      </c>
      <c r="AT619" s="1">
        <f>=COUNTIF(E619:AI619,"Y")</f>
      </c>
      <c r="AU619" s="1">
        <f>=COUNTIF(E619:AI619,"R.")</f>
      </c>
      <c r="AV619" s="1">
        <f>=COUNTIF(E619:AI619,"Ü")</f>
      </c>
      <c r="AW619" s="1">
        <f>=COUNTIF(E619:AI619,"R")</f>
      </c>
      <c r="AX619" s="1">
        <f>=COUNTIF(E619:AI619,"DV")</f>
      </c>
      <c r="AY619" s="1">
        <f>=+AN619+AO619+AP619+AQ619+AR619+AS619+AT619+AU619</f>
      </c>
    </row>
    <row r="620" ht="16" customHeight="1" spans="1:51" x14ac:dyDescent="0.25">
      <c r="A620" s="45"/>
      <c r="B620" s="46"/>
      <c r="C620" s="46"/>
      <c r="D620" s="46" t="s">
        <v>33</v>
      </c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  <c r="AC620" s="46"/>
      <c r="AD620" s="46"/>
      <c r="AE620" s="46"/>
      <c r="AF620" s="46">
        <v>2</v>
      </c>
      <c r="AG620" s="46"/>
      <c r="AH620" s="46"/>
      <c r="AI620" s="46"/>
      <c r="AJ620" s="46"/>
      <c r="AK620" s="46"/>
      <c r="AL620" s="46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</row>
    <row r="621" ht="16" customHeight="1" spans="1:51" x14ac:dyDescent="0.25">
      <c r="A621" s="45"/>
      <c r="B621" s="46" t="s">
        <v>663</v>
      </c>
      <c r="C621" s="46" t="s">
        <v>664</v>
      </c>
      <c r="D621" s="46" t="s">
        <v>29</v>
      </c>
      <c r="E621" s="46" t="s">
        <v>36</v>
      </c>
      <c r="F621" s="46" t="s">
        <v>37</v>
      </c>
      <c r="G621" s="46" t="s">
        <v>36</v>
      </c>
      <c r="H621" s="46" t="s">
        <v>36</v>
      </c>
      <c r="I621" s="46" t="s">
        <v>36</v>
      </c>
      <c r="J621" s="46" t="s">
        <v>36</v>
      </c>
      <c r="K621" s="46" t="s">
        <v>36</v>
      </c>
      <c r="L621" s="46" t="s">
        <v>36</v>
      </c>
      <c r="M621" s="46" t="s">
        <v>37</v>
      </c>
      <c r="N621" s="46" t="s">
        <v>36</v>
      </c>
      <c r="O621" s="46" t="s">
        <v>36</v>
      </c>
      <c r="P621" s="46" t="s">
        <v>36</v>
      </c>
      <c r="Q621" s="46" t="s">
        <v>36</v>
      </c>
      <c r="R621" s="46" t="s">
        <v>36</v>
      </c>
      <c r="S621" s="46" t="s">
        <v>36</v>
      </c>
      <c r="T621" s="46" t="s">
        <v>37</v>
      </c>
      <c r="U621" s="46" t="s">
        <v>36</v>
      </c>
      <c r="V621" s="46" t="s">
        <v>36</v>
      </c>
      <c r="W621" s="46" t="s">
        <v>36</v>
      </c>
      <c r="X621" s="46" t="s">
        <v>36</v>
      </c>
      <c r="Y621" s="46" t="s">
        <v>36</v>
      </c>
      <c r="Z621" s="46" t="s">
        <v>36</v>
      </c>
      <c r="AA621" s="46" t="s">
        <v>36</v>
      </c>
      <c r="AB621" s="46" t="s">
        <v>36</v>
      </c>
      <c r="AC621" s="46" t="s">
        <v>36</v>
      </c>
      <c r="AD621" s="46" t="s">
        <v>36</v>
      </c>
      <c r="AE621" s="46" t="s">
        <v>36</v>
      </c>
      <c r="AF621" s="46" t="s">
        <v>36</v>
      </c>
      <c r="AG621" s="46" t="s">
        <v>37</v>
      </c>
      <c r="AH621" s="46" t="s">
        <v>43</v>
      </c>
      <c r="AI621" s="46" t="s">
        <v>36</v>
      </c>
      <c r="AJ621" s="46">
        <f>=SUM(E622:AI622)</f>
      </c>
      <c r="AK621" s="46">
        <f>=+AY621</f>
      </c>
      <c r="AL621" s="46"/>
      <c r="AM621" s="1"/>
      <c r="AN621" s="1">
        <f>=COUNTIF(E621:AI621,"A")+COUNTIF(E621:AI621,"B")+COUNTIF(E621:AI621,"C")+COUNTIF(E621:AI621,"D")+COUNTIF(E621:AI621,"E")+COUNTIF(E621:AI621,"F")+COUNTIF(E621:AI621,"M")+COUNTIF(E621:AI621,"AB")+COUNTIF(E621:AI621,"UZ")+COUNTIF(E621:AI621,"G")+(COUNTIF(E621:AI621,"RT.")/2)+(COUNTIF(E621:AI621,"ÇRT.")/2)</f>
      </c>
      <c r="AO621" s="1">
        <f>=COUNTIF(E621:AI621,"O")</f>
      </c>
      <c r="AP621" s="1">
        <f>=COUNTIF(E621:AI621,"RT")+(COUNTIF(E621:AI621,"RT.")/2)</f>
      </c>
      <c r="AQ621" s="1">
        <f>=COUNTIF(E621:AI621,"ÇRT")+(COUNTIF(E621:AI621,"ÇRT.")/2)</f>
      </c>
      <c r="AR621" s="1">
        <f>=COUNTIF(E621:AI621,"ÇHT")</f>
      </c>
      <c r="AS621" s="1">
        <f>=COUNTIF(E621:AI621,"Ö")+COUNTIF(E621:AI621,"T")</f>
      </c>
      <c r="AT621" s="1">
        <f>=COUNTIF(E621:AI621,"Y")</f>
      </c>
      <c r="AU621" s="1">
        <f>=COUNTIF(E621:AI621,"R.")</f>
      </c>
      <c r="AV621" s="1">
        <f>=COUNTIF(E621:AI621,"Ü")</f>
      </c>
      <c r="AW621" s="1">
        <f>=COUNTIF(E621:AI621,"R")</f>
      </c>
      <c r="AX621" s="1">
        <f>=COUNTIF(E621:AI621,"DV")</f>
      </c>
      <c r="AY621" s="1">
        <f>=+AN621+AO621+AP621+AQ621+AR621+AS621+AT621+AU621</f>
      </c>
    </row>
    <row r="622" ht="16" customHeight="1" spans="1:51" x14ac:dyDescent="0.25">
      <c r="A622" s="45"/>
      <c r="B622" s="46"/>
      <c r="C622" s="46"/>
      <c r="D622" s="46" t="s">
        <v>33</v>
      </c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>
        <v>1</v>
      </c>
      <c r="Z622" s="46"/>
      <c r="AA622" s="46"/>
      <c r="AB622" s="46"/>
      <c r="AC622" s="46"/>
      <c r="AD622" s="46"/>
      <c r="AE622" s="46"/>
      <c r="AF622" s="46"/>
      <c r="AG622" s="46"/>
      <c r="AH622" s="46"/>
      <c r="AI622" s="46"/>
      <c r="AJ622" s="46"/>
      <c r="AK622" s="46"/>
      <c r="AL622" s="46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</row>
    <row r="623" ht="16" customHeight="1" spans="1:51" x14ac:dyDescent="0.25">
      <c r="A623" s="45"/>
      <c r="B623" s="46" t="s">
        <v>665</v>
      </c>
      <c r="C623" s="46" t="s">
        <v>666</v>
      </c>
      <c r="D623" s="46" t="s">
        <v>29</v>
      </c>
      <c r="E623" s="46" t="s">
        <v>36</v>
      </c>
      <c r="F623" s="46" t="s">
        <v>36</v>
      </c>
      <c r="G623" s="46" t="s">
        <v>36</v>
      </c>
      <c r="H623" s="46" t="s">
        <v>36</v>
      </c>
      <c r="I623" s="46" t="s">
        <v>36</v>
      </c>
      <c r="J623" s="46" t="s">
        <v>37</v>
      </c>
      <c r="K623" s="46" t="s">
        <v>31</v>
      </c>
      <c r="L623" s="46" t="s">
        <v>31</v>
      </c>
      <c r="M623" s="46" t="s">
        <v>32</v>
      </c>
      <c r="N623" s="46" t="s">
        <v>32</v>
      </c>
      <c r="O623" s="46" t="s">
        <v>36</v>
      </c>
      <c r="P623" s="46" t="s">
        <v>36</v>
      </c>
      <c r="Q623" s="46" t="s">
        <v>37</v>
      </c>
      <c r="R623" s="46" t="s">
        <v>36</v>
      </c>
      <c r="S623" s="46" t="s">
        <v>36</v>
      </c>
      <c r="T623" s="46" t="s">
        <v>36</v>
      </c>
      <c r="U623" s="46" t="s">
        <v>36</v>
      </c>
      <c r="V623" s="46" t="s">
        <v>36</v>
      </c>
      <c r="W623" s="46" t="s">
        <v>36</v>
      </c>
      <c r="X623" s="46" t="s">
        <v>37</v>
      </c>
      <c r="Y623" s="46" t="s">
        <v>36</v>
      </c>
      <c r="Z623" s="46" t="s">
        <v>36</v>
      </c>
      <c r="AA623" s="46" t="s">
        <v>36</v>
      </c>
      <c r="AB623" s="46" t="s">
        <v>36</v>
      </c>
      <c r="AC623" s="46" t="s">
        <v>36</v>
      </c>
      <c r="AD623" s="46" t="s">
        <v>36</v>
      </c>
      <c r="AE623" s="46" t="s">
        <v>37</v>
      </c>
      <c r="AF623" s="46" t="s">
        <v>36</v>
      </c>
      <c r="AG623" s="46" t="s">
        <v>36</v>
      </c>
      <c r="AH623" s="46" t="s">
        <v>43</v>
      </c>
      <c r="AI623" s="46" t="s">
        <v>36</v>
      </c>
      <c r="AJ623" s="46">
        <f>=SUM(E624:AI624)</f>
      </c>
      <c r="AK623" s="46">
        <f>=+AY623</f>
      </c>
      <c r="AL623" s="46"/>
      <c r="AM623" s="1"/>
      <c r="AN623" s="1">
        <f>=COUNTIF(E623:AI623,"A")+COUNTIF(E623:AI623,"B")+COUNTIF(E623:AI623,"C")+COUNTIF(E623:AI623,"D")+COUNTIF(E623:AI623,"E")+COUNTIF(E623:AI623,"F")+COUNTIF(E623:AI623,"M")+COUNTIF(E623:AI623,"AB")+COUNTIF(E623:AI623,"UZ")+COUNTIF(E623:AI623,"G")+(COUNTIF(E623:AI623,"RT.")/2)+(COUNTIF(E623:AI623,"ÇRT.")/2)</f>
      </c>
      <c r="AO623" s="1">
        <f>=COUNTIF(E623:AI623,"O")</f>
      </c>
      <c r="AP623" s="1">
        <f>=COUNTIF(E623:AI623,"RT")+(COUNTIF(E623:AI623,"RT.")/2)</f>
      </c>
      <c r="AQ623" s="1">
        <f>=COUNTIF(E623:AI623,"ÇRT")+(COUNTIF(E623:AI623,"ÇRT.")/2)</f>
      </c>
      <c r="AR623" s="1">
        <f>=COUNTIF(E623:AI623,"ÇHT")</f>
      </c>
      <c r="AS623" s="1">
        <f>=COUNTIF(E623:AI623,"Ö")+COUNTIF(E623:AI623,"T")</f>
      </c>
      <c r="AT623" s="1">
        <f>=COUNTIF(E623:AI623,"Y")</f>
      </c>
      <c r="AU623" s="1">
        <f>=COUNTIF(E623:AI623,"R.")</f>
      </c>
      <c r="AV623" s="1">
        <f>=COUNTIF(E623:AI623,"Ü")</f>
      </c>
      <c r="AW623" s="1">
        <f>=COUNTIF(E623:AI623,"R")</f>
      </c>
      <c r="AX623" s="1">
        <f>=COUNTIF(E623:AI623,"DV")</f>
      </c>
      <c r="AY623" s="1">
        <f>=+AN623+AO623+AP623+AQ623+AR623+AS623+AT623+AU623</f>
      </c>
    </row>
    <row r="624" ht="16" customHeight="1" spans="1:51" x14ac:dyDescent="0.25">
      <c r="A624" s="45"/>
      <c r="B624" s="46"/>
      <c r="C624" s="46"/>
      <c r="D624" s="46" t="s">
        <v>33</v>
      </c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  <c r="AC624" s="46"/>
      <c r="AD624" s="46"/>
      <c r="AE624" s="46"/>
      <c r="AF624" s="46">
        <v>2</v>
      </c>
      <c r="AG624" s="46">
        <v>3</v>
      </c>
      <c r="AH624" s="46">
        <v>2</v>
      </c>
      <c r="AI624" s="46"/>
      <c r="AJ624" s="46"/>
      <c r="AK624" s="46"/>
      <c r="AL624" s="46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</row>
    <row r="625" ht="16" customHeight="1" spans="1:51" x14ac:dyDescent="0.25">
      <c r="A625" s="45"/>
      <c r="B625" s="46" t="s">
        <v>667</v>
      </c>
      <c r="C625" s="46" t="s">
        <v>668</v>
      </c>
      <c r="D625" s="46" t="s">
        <v>29</v>
      </c>
      <c r="E625" s="46" t="s">
        <v>37</v>
      </c>
      <c r="F625" s="46" t="s">
        <v>36</v>
      </c>
      <c r="G625" s="46" t="s">
        <v>36</v>
      </c>
      <c r="H625" s="46" t="s">
        <v>36</v>
      </c>
      <c r="I625" s="46" t="s">
        <v>37</v>
      </c>
      <c r="J625" s="46" t="s">
        <v>36</v>
      </c>
      <c r="K625" s="46" t="s">
        <v>36</v>
      </c>
      <c r="L625" s="46" t="s">
        <v>36</v>
      </c>
      <c r="M625" s="46" t="s">
        <v>36</v>
      </c>
      <c r="N625" s="46" t="s">
        <v>36</v>
      </c>
      <c r="O625" s="46" t="s">
        <v>36</v>
      </c>
      <c r="P625" s="46" t="s">
        <v>36</v>
      </c>
      <c r="Q625" s="46" t="s">
        <v>37</v>
      </c>
      <c r="R625" s="46" t="s">
        <v>36</v>
      </c>
      <c r="S625" s="46" t="s">
        <v>36</v>
      </c>
      <c r="T625" s="46" t="s">
        <v>36</v>
      </c>
      <c r="U625" s="46" t="s">
        <v>36</v>
      </c>
      <c r="V625" s="46" t="s">
        <v>36</v>
      </c>
      <c r="W625" s="46" t="s">
        <v>36</v>
      </c>
      <c r="X625" s="46" t="s">
        <v>36</v>
      </c>
      <c r="Y625" s="46" t="s">
        <v>36</v>
      </c>
      <c r="Z625" s="46" t="s">
        <v>37</v>
      </c>
      <c r="AA625" s="46" t="s">
        <v>36</v>
      </c>
      <c r="AB625" s="46" t="s">
        <v>36</v>
      </c>
      <c r="AC625" s="46" t="s">
        <v>36</v>
      </c>
      <c r="AD625" s="46" t="s">
        <v>37</v>
      </c>
      <c r="AE625" s="46" t="s">
        <v>36</v>
      </c>
      <c r="AF625" s="46" t="s">
        <v>36</v>
      </c>
      <c r="AG625" s="46" t="s">
        <v>36</v>
      </c>
      <c r="AH625" s="46" t="s">
        <v>43</v>
      </c>
      <c r="AI625" s="46" t="s">
        <v>36</v>
      </c>
      <c r="AJ625" s="46">
        <f>=SUM(E626:AI626)</f>
      </c>
      <c r="AK625" s="46">
        <f>=+AY625</f>
      </c>
      <c r="AL625" s="46"/>
      <c r="AM625" s="1"/>
      <c r="AN625" s="1">
        <f>=COUNTIF(E625:AI625,"A")+COUNTIF(E625:AI625,"B")+COUNTIF(E625:AI625,"C")+COUNTIF(E625:AI625,"D")+COUNTIF(E625:AI625,"E")+COUNTIF(E625:AI625,"F")+COUNTIF(E625:AI625,"M")+COUNTIF(E625:AI625,"AB")+COUNTIF(E625:AI625,"UZ")+COUNTIF(E625:AI625,"G")+(COUNTIF(E625:AI625,"RT.")/2)+(COUNTIF(E625:AI625,"ÇRT.")/2)</f>
      </c>
      <c r="AO625" s="1">
        <f>=COUNTIF(E625:AI625,"O")</f>
      </c>
      <c r="AP625" s="1">
        <f>=COUNTIF(E625:AI625,"RT")+(COUNTIF(E625:AI625,"RT.")/2)</f>
      </c>
      <c r="AQ625" s="1">
        <f>=COUNTIF(E625:AI625,"ÇRT")+(COUNTIF(E625:AI625,"ÇRT.")/2)</f>
      </c>
      <c r="AR625" s="1">
        <f>=COUNTIF(E625:AI625,"ÇHT")</f>
      </c>
      <c r="AS625" s="1">
        <f>=COUNTIF(E625:AI625,"Ö")+COUNTIF(E625:AI625,"T")</f>
      </c>
      <c r="AT625" s="1">
        <f>=COUNTIF(E625:AI625,"Y")</f>
      </c>
      <c r="AU625" s="1">
        <f>=COUNTIF(E625:AI625,"R.")</f>
      </c>
      <c r="AV625" s="1">
        <f>=COUNTIF(E625:AI625,"Ü")</f>
      </c>
      <c r="AW625" s="1">
        <f>=COUNTIF(E625:AI625,"R")</f>
      </c>
      <c r="AX625" s="1">
        <f>=COUNTIF(E625:AI625,"DV")</f>
      </c>
      <c r="AY625" s="1">
        <f>=+AN625+AO625+AP625+AQ625+AR625+AS625+AT625+AU625</f>
      </c>
    </row>
    <row r="626" ht="16" customHeight="1" spans="1:51" x14ac:dyDescent="0.25">
      <c r="A626" s="45"/>
      <c r="B626" s="46"/>
      <c r="C626" s="46"/>
      <c r="D626" s="46" t="s">
        <v>33</v>
      </c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  <c r="AC626" s="46"/>
      <c r="AD626" s="46"/>
      <c r="AE626" s="46"/>
      <c r="AF626" s="46"/>
      <c r="AG626" s="46"/>
      <c r="AH626" s="46"/>
      <c r="AI626" s="46"/>
      <c r="AJ626" s="46"/>
      <c r="AK626" s="46"/>
      <c r="AL626" s="46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</row>
    <row r="627" ht="16" customHeight="1" spans="1:51" x14ac:dyDescent="0.25">
      <c r="A627" s="45"/>
      <c r="B627" s="46" t="s">
        <v>669</v>
      </c>
      <c r="C627" s="46" t="s">
        <v>670</v>
      </c>
      <c r="D627" s="46" t="s">
        <v>29</v>
      </c>
      <c r="E627" s="46" t="s">
        <v>36</v>
      </c>
      <c r="F627" s="46" t="s">
        <v>36</v>
      </c>
      <c r="G627" s="46" t="s">
        <v>37</v>
      </c>
      <c r="H627" s="46" t="s">
        <v>36</v>
      </c>
      <c r="I627" s="46" t="s">
        <v>36</v>
      </c>
      <c r="J627" s="46" t="s">
        <v>36</v>
      </c>
      <c r="K627" s="46" t="s">
        <v>36</v>
      </c>
      <c r="L627" s="46" t="s">
        <v>36</v>
      </c>
      <c r="M627" s="46" t="s">
        <v>36</v>
      </c>
      <c r="N627" s="46" t="s">
        <v>36</v>
      </c>
      <c r="O627" s="46" t="s">
        <v>37</v>
      </c>
      <c r="P627" s="46" t="s">
        <v>36</v>
      </c>
      <c r="Q627" s="46" t="s">
        <v>36</v>
      </c>
      <c r="R627" s="46" t="s">
        <v>36</v>
      </c>
      <c r="S627" s="46" t="s">
        <v>36</v>
      </c>
      <c r="T627" s="46" t="s">
        <v>36</v>
      </c>
      <c r="U627" s="46" t="s">
        <v>36</v>
      </c>
      <c r="V627" s="46" t="s">
        <v>36</v>
      </c>
      <c r="W627" s="46" t="s">
        <v>36</v>
      </c>
      <c r="X627" s="46" t="s">
        <v>37</v>
      </c>
      <c r="Y627" s="46" t="s">
        <v>36</v>
      </c>
      <c r="Z627" s="46" t="s">
        <v>36</v>
      </c>
      <c r="AA627" s="46" t="s">
        <v>36</v>
      </c>
      <c r="AB627" s="46" t="s">
        <v>36</v>
      </c>
      <c r="AC627" s="46" t="s">
        <v>37</v>
      </c>
      <c r="AD627" s="46" t="s">
        <v>36</v>
      </c>
      <c r="AE627" s="46" t="s">
        <v>36</v>
      </c>
      <c r="AF627" s="46" t="s">
        <v>36</v>
      </c>
      <c r="AG627" s="46" t="s">
        <v>36</v>
      </c>
      <c r="AH627" s="46" t="s">
        <v>43</v>
      </c>
      <c r="AI627" s="46" t="s">
        <v>36</v>
      </c>
      <c r="AJ627" s="46">
        <f>=SUM(E628:AI628)</f>
      </c>
      <c r="AK627" s="46">
        <f>=+AY627</f>
      </c>
      <c r="AL627" s="46"/>
      <c r="AM627" s="1"/>
      <c r="AN627" s="1">
        <f>=COUNTIF(E627:AI627,"A")+COUNTIF(E627:AI627,"B")+COUNTIF(E627:AI627,"C")+COUNTIF(E627:AI627,"D")+COUNTIF(E627:AI627,"E")+COUNTIF(E627:AI627,"F")+COUNTIF(E627:AI627,"M")+COUNTIF(E627:AI627,"AB")+COUNTIF(E627:AI627,"UZ")+COUNTIF(E627:AI627,"G")+(COUNTIF(E627:AI627,"RT.")/2)+(COUNTIF(E627:AI627,"ÇRT.")/2)</f>
      </c>
      <c r="AO627" s="1">
        <f>=COUNTIF(E627:AI627,"O")</f>
      </c>
      <c r="AP627" s="1">
        <f>=COUNTIF(E627:AI627,"RT")+(COUNTIF(E627:AI627,"RT.")/2)</f>
      </c>
      <c r="AQ627" s="1">
        <f>=COUNTIF(E627:AI627,"ÇRT")+(COUNTIF(E627:AI627,"ÇRT.")/2)</f>
      </c>
      <c r="AR627" s="1">
        <f>=COUNTIF(E627:AI627,"ÇHT")</f>
      </c>
      <c r="AS627" s="1">
        <f>=COUNTIF(E627:AI627,"Ö")+COUNTIF(E627:AI627,"T")</f>
      </c>
      <c r="AT627" s="1">
        <f>=COUNTIF(E627:AI627,"Y")</f>
      </c>
      <c r="AU627" s="1">
        <f>=COUNTIF(E627:AI627,"R.")</f>
      </c>
      <c r="AV627" s="1">
        <f>=COUNTIF(E627:AI627,"Ü")</f>
      </c>
      <c r="AW627" s="1">
        <f>=COUNTIF(E627:AI627,"R")</f>
      </c>
      <c r="AX627" s="1">
        <f>=COUNTIF(E627:AI627,"DV")</f>
      </c>
      <c r="AY627" s="1">
        <f>=+AN627+AO627+AP627+AQ627+AR627+AS627+AT627+AU627</f>
      </c>
    </row>
    <row r="628" ht="16" customHeight="1" spans="1:51" x14ac:dyDescent="0.25">
      <c r="A628" s="45"/>
      <c r="B628" s="46"/>
      <c r="C628" s="46"/>
      <c r="D628" s="46" t="s">
        <v>33</v>
      </c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>
        <v>2</v>
      </c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  <c r="AC628" s="46"/>
      <c r="AD628" s="46"/>
      <c r="AE628" s="46"/>
      <c r="AF628" s="46"/>
      <c r="AG628" s="46">
        <v>3</v>
      </c>
      <c r="AH628" s="46">
        <v>2</v>
      </c>
      <c r="AI628" s="46"/>
      <c r="AJ628" s="46"/>
      <c r="AK628" s="46"/>
      <c r="AL628" s="46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</row>
    <row r="629" ht="16" customHeight="1" spans="1:51" x14ac:dyDescent="0.25">
      <c r="A629" s="45"/>
      <c r="B629" s="46" t="s">
        <v>671</v>
      </c>
      <c r="C629" s="46" t="s">
        <v>672</v>
      </c>
      <c r="D629" s="46" t="s">
        <v>29</v>
      </c>
      <c r="E629" s="46" t="s">
        <v>37</v>
      </c>
      <c r="F629" s="46" t="s">
        <v>59</v>
      </c>
      <c r="G629" s="46" t="s">
        <v>59</v>
      </c>
      <c r="H629" s="46" t="s">
        <v>59</v>
      </c>
      <c r="I629" s="46" t="s">
        <v>59</v>
      </c>
      <c r="J629" s="46" t="s">
        <v>59</v>
      </c>
      <c r="K629" s="46" t="s">
        <v>59</v>
      </c>
      <c r="L629" s="46" t="s">
        <v>37</v>
      </c>
      <c r="M629" s="46" t="s">
        <v>59</v>
      </c>
      <c r="N629" s="46" t="s">
        <v>59</v>
      </c>
      <c r="O629" s="46" t="s">
        <v>59</v>
      </c>
      <c r="P629" s="46" t="s">
        <v>59</v>
      </c>
      <c r="Q629" s="46" t="s">
        <v>59</v>
      </c>
      <c r="R629" s="46" t="s">
        <v>59</v>
      </c>
      <c r="S629" s="46" t="s">
        <v>37</v>
      </c>
      <c r="T629" s="46" t="s">
        <v>59</v>
      </c>
      <c r="U629" s="46" t="s">
        <v>59</v>
      </c>
      <c r="V629" s="46" t="s">
        <v>59</v>
      </c>
      <c r="W629" s="46" t="s">
        <v>59</v>
      </c>
      <c r="X629" s="46" t="s">
        <v>59</v>
      </c>
      <c r="Y629" s="46" t="s">
        <v>59</v>
      </c>
      <c r="Z629" s="46" t="s">
        <v>37</v>
      </c>
      <c r="AA629" s="46" t="s">
        <v>59</v>
      </c>
      <c r="AB629" s="46" t="s">
        <v>59</v>
      </c>
      <c r="AC629" s="46" t="s">
        <v>59</v>
      </c>
      <c r="AD629" s="46" t="s">
        <v>59</v>
      </c>
      <c r="AE629" s="46" t="s">
        <v>59</v>
      </c>
      <c r="AF629" s="46" t="s">
        <v>59</v>
      </c>
      <c r="AG629" s="46" t="s">
        <v>222</v>
      </c>
      <c r="AH629" s="46" t="s">
        <v>43</v>
      </c>
      <c r="AI629" s="46" t="s">
        <v>59</v>
      </c>
      <c r="AJ629" s="46">
        <f>=SUM(E630:AI630)</f>
      </c>
      <c r="AK629" s="46">
        <f>=+AY629</f>
      </c>
      <c r="AL629" s="46"/>
      <c r="AM629" s="1"/>
      <c r="AN629" s="1">
        <f>=COUNTIF(E629:AI629,"A")+COUNTIF(E629:AI629,"B")+COUNTIF(E629:AI629,"C")+COUNTIF(E629:AI629,"D")+COUNTIF(E629:AI629,"E")+COUNTIF(E629:AI629,"F")+COUNTIF(E629:AI629,"M")+COUNTIF(E629:AI629,"AB")+COUNTIF(E629:AI629,"UZ")+COUNTIF(E629:AI629,"G")+(COUNTIF(E629:AI629,"RT.")/2)+(COUNTIF(E629:AI629,"ÇRT.")/2)</f>
      </c>
      <c r="AO629" s="1">
        <f>=COUNTIF(E629:AI629,"O")</f>
      </c>
      <c r="AP629" s="1">
        <f>=COUNTIF(E629:AI629,"RT")+(COUNTIF(E629:AI629,"RT.")/2)</f>
      </c>
      <c r="AQ629" s="1">
        <f>=COUNTIF(E629:AI629,"ÇRT")+(COUNTIF(E629:AI629,"ÇRT.")/2)</f>
      </c>
      <c r="AR629" s="1">
        <f>=COUNTIF(E629:AI629,"ÇHT")</f>
      </c>
      <c r="AS629" s="1">
        <f>=COUNTIF(E629:AI629,"Ö")+COUNTIF(E629:AI629,"T")</f>
      </c>
      <c r="AT629" s="1">
        <f>=COUNTIF(E629:AI629,"Y")</f>
      </c>
      <c r="AU629" s="1">
        <f>=COUNTIF(E629:AI629,"R.")</f>
      </c>
      <c r="AV629" s="1">
        <f>=COUNTIF(E629:AI629,"Ü")</f>
      </c>
      <c r="AW629" s="1">
        <f>=COUNTIF(E629:AI629,"R")</f>
      </c>
      <c r="AX629" s="1">
        <f>=COUNTIF(E629:AI629,"DV")</f>
      </c>
      <c r="AY629" s="1">
        <f>=+AN629+AO629+AP629+AQ629+AR629+AS629+AT629+AU629</f>
      </c>
    </row>
    <row r="630" ht="16" customHeight="1" spans="1:51" x14ac:dyDescent="0.25">
      <c r="A630" s="45"/>
      <c r="B630" s="46"/>
      <c r="C630" s="46"/>
      <c r="D630" s="46" t="s">
        <v>33</v>
      </c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  <c r="AC630" s="46"/>
      <c r="AD630" s="46"/>
      <c r="AE630" s="46"/>
      <c r="AF630" s="46"/>
      <c r="AG630" s="46">
        <v>3</v>
      </c>
      <c r="AH630" s="46">
        <v>2</v>
      </c>
      <c r="AI630" s="46"/>
      <c r="AJ630" s="46"/>
      <c r="AK630" s="46"/>
      <c r="AL630" s="46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</row>
    <row r="631" ht="16" customHeight="1" spans="1:51" x14ac:dyDescent="0.25">
      <c r="A631" s="45"/>
      <c r="B631" s="46" t="s">
        <v>673</v>
      </c>
      <c r="C631" s="46" t="s">
        <v>152</v>
      </c>
      <c r="D631" s="46" t="s">
        <v>29</v>
      </c>
      <c r="E631" s="46" t="s">
        <v>36</v>
      </c>
      <c r="F631" s="46" t="s">
        <v>36</v>
      </c>
      <c r="G631" s="46" t="s">
        <v>46</v>
      </c>
      <c r="H631" s="46" t="s">
        <v>46</v>
      </c>
      <c r="I631" s="46" t="s">
        <v>36</v>
      </c>
      <c r="J631" s="46" t="s">
        <v>46</v>
      </c>
      <c r="K631" s="46" t="s">
        <v>37</v>
      </c>
      <c r="L631" s="46" t="s">
        <v>46</v>
      </c>
      <c r="M631" s="46" t="s">
        <v>46</v>
      </c>
      <c r="N631" s="46" t="s">
        <v>36</v>
      </c>
      <c r="O631" s="46" t="s">
        <v>36</v>
      </c>
      <c r="P631" s="46" t="s">
        <v>36</v>
      </c>
      <c r="Q631" s="46" t="s">
        <v>36</v>
      </c>
      <c r="R631" s="46" t="s">
        <v>37</v>
      </c>
      <c r="S631" s="46" t="s">
        <v>36</v>
      </c>
      <c r="T631" s="46" t="s">
        <v>36</v>
      </c>
      <c r="U631" s="46" t="s">
        <v>46</v>
      </c>
      <c r="V631" s="46" t="s">
        <v>46</v>
      </c>
      <c r="W631" s="46" t="s">
        <v>46</v>
      </c>
      <c r="X631" s="46" t="s">
        <v>46</v>
      </c>
      <c r="Y631" s="46" t="s">
        <v>37</v>
      </c>
      <c r="Z631" s="46" t="s">
        <v>46</v>
      </c>
      <c r="AA631" s="46" t="s">
        <v>46</v>
      </c>
      <c r="AB631" s="46" t="s">
        <v>36</v>
      </c>
      <c r="AC631" s="46" t="s">
        <v>36</v>
      </c>
      <c r="AD631" s="46" t="s">
        <v>36</v>
      </c>
      <c r="AE631" s="46" t="s">
        <v>36</v>
      </c>
      <c r="AF631" s="46" t="s">
        <v>37</v>
      </c>
      <c r="AG631" s="46" t="s">
        <v>36</v>
      </c>
      <c r="AH631" s="46" t="s">
        <v>43</v>
      </c>
      <c r="AI631" s="46" t="s">
        <v>46</v>
      </c>
      <c r="AJ631" s="46">
        <f>=SUM(E632:AI632)</f>
      </c>
      <c r="AK631" s="46">
        <f>=+AY631</f>
      </c>
      <c r="AL631" s="46"/>
      <c r="AM631" s="1"/>
      <c r="AN631" s="1">
        <f>=COUNTIF(E631:AI631,"A")+COUNTIF(E631:AI631,"B")+COUNTIF(E631:AI631,"C")+COUNTIF(E631:AI631,"D")+COUNTIF(E631:AI631,"E")+COUNTIF(E631:AI631,"F")+COUNTIF(E631:AI631,"M")+COUNTIF(E631:AI631,"AB")+COUNTIF(E631:AI631,"UZ")+COUNTIF(E631:AI631,"G")+(COUNTIF(E631:AI631,"RT.")/2)+(COUNTIF(E631:AI631,"ÇRT.")/2)</f>
      </c>
      <c r="AO631" s="1">
        <f>=COUNTIF(E631:AI631,"O")</f>
      </c>
      <c r="AP631" s="1">
        <f>=COUNTIF(E631:AI631,"RT")+(COUNTIF(E631:AI631,"RT.")/2)</f>
      </c>
      <c r="AQ631" s="1">
        <f>=COUNTIF(E631:AI631,"ÇRT")+(COUNTIF(E631:AI631,"ÇRT.")/2)</f>
      </c>
      <c r="AR631" s="1">
        <f>=COUNTIF(E631:AI631,"ÇHT")</f>
      </c>
      <c r="AS631" s="1">
        <f>=COUNTIF(E631:AI631,"Ö")+COUNTIF(E631:AI631,"T")</f>
      </c>
      <c r="AT631" s="1">
        <f>=COUNTIF(E631:AI631,"Y")</f>
      </c>
      <c r="AU631" s="1">
        <f>=COUNTIF(E631:AI631,"R.")</f>
      </c>
      <c r="AV631" s="1">
        <f>=COUNTIF(E631:AI631,"Ü")</f>
      </c>
      <c r="AW631" s="1">
        <f>=COUNTIF(E631:AI631,"R")</f>
      </c>
      <c r="AX631" s="1">
        <f>=COUNTIF(E631:AI631,"DV")</f>
      </c>
      <c r="AY631" s="1">
        <f>=+AN631+AO631+AP631+AQ631+AR631+AS631+AT631+AU631</f>
      </c>
    </row>
    <row r="632" ht="16" customHeight="1" spans="1:51" x14ac:dyDescent="0.25">
      <c r="A632" s="45"/>
      <c r="B632" s="46"/>
      <c r="C632" s="46"/>
      <c r="D632" s="46" t="s">
        <v>33</v>
      </c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  <c r="AC632" s="46"/>
      <c r="AD632" s="46"/>
      <c r="AE632" s="46"/>
      <c r="AF632" s="46"/>
      <c r="AG632" s="46"/>
      <c r="AH632" s="46"/>
      <c r="AI632" s="46"/>
      <c r="AJ632" s="46"/>
      <c r="AK632" s="46"/>
      <c r="AL632" s="46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</row>
    <row r="633" ht="16" customHeight="1" spans="1:51" x14ac:dyDescent="0.25">
      <c r="A633" s="45"/>
      <c r="B633" s="46" t="s">
        <v>674</v>
      </c>
      <c r="C633" s="46" t="s">
        <v>675</v>
      </c>
      <c r="D633" s="46" t="s">
        <v>29</v>
      </c>
      <c r="E633" s="46" t="s">
        <v>46</v>
      </c>
      <c r="F633" s="46" t="s">
        <v>37</v>
      </c>
      <c r="G633" s="46" t="s">
        <v>36</v>
      </c>
      <c r="H633" s="46" t="s">
        <v>36</v>
      </c>
      <c r="I633" s="46" t="s">
        <v>36</v>
      </c>
      <c r="J633" s="46" t="s">
        <v>36</v>
      </c>
      <c r="K633" s="46" t="s">
        <v>36</v>
      </c>
      <c r="L633" s="46" t="s">
        <v>36</v>
      </c>
      <c r="M633" s="46" t="s">
        <v>37</v>
      </c>
      <c r="N633" s="46" t="s">
        <v>46</v>
      </c>
      <c r="O633" s="46" t="s">
        <v>46</v>
      </c>
      <c r="P633" s="46" t="s">
        <v>46</v>
      </c>
      <c r="Q633" s="46" t="s">
        <v>46</v>
      </c>
      <c r="R633" s="46" t="s">
        <v>46</v>
      </c>
      <c r="S633" s="46" t="s">
        <v>46</v>
      </c>
      <c r="T633" s="46" t="s">
        <v>36</v>
      </c>
      <c r="U633" s="46" t="s">
        <v>37</v>
      </c>
      <c r="V633" s="46" t="s">
        <v>36</v>
      </c>
      <c r="W633" s="46" t="s">
        <v>36</v>
      </c>
      <c r="X633" s="46" t="s">
        <v>36</v>
      </c>
      <c r="Y633" s="46" t="s">
        <v>36</v>
      </c>
      <c r="Z633" s="46" t="s">
        <v>36</v>
      </c>
      <c r="AA633" s="46" t="s">
        <v>37</v>
      </c>
      <c r="AB633" s="46" t="s">
        <v>46</v>
      </c>
      <c r="AC633" s="46" t="s">
        <v>46</v>
      </c>
      <c r="AD633" s="46" t="s">
        <v>46</v>
      </c>
      <c r="AE633" s="46" t="s">
        <v>46</v>
      </c>
      <c r="AF633" s="46" t="s">
        <v>46</v>
      </c>
      <c r="AG633" s="46" t="s">
        <v>46</v>
      </c>
      <c r="AH633" s="46" t="s">
        <v>37</v>
      </c>
      <c r="AI633" s="46" t="s">
        <v>36</v>
      </c>
      <c r="AJ633" s="46">
        <f>=SUM(E634:AI634)</f>
      </c>
      <c r="AK633" s="46">
        <f>=+AY633</f>
      </c>
      <c r="AL633" s="46"/>
      <c r="AM633" s="1"/>
      <c r="AN633" s="1">
        <f>=COUNTIF(E633:AI633,"A")+COUNTIF(E633:AI633,"B")+COUNTIF(E633:AI633,"C")+COUNTIF(E633:AI633,"D")+COUNTIF(E633:AI633,"E")+COUNTIF(E633:AI633,"F")+COUNTIF(E633:AI633,"M")+COUNTIF(E633:AI633,"AB")+COUNTIF(E633:AI633,"UZ")+COUNTIF(E633:AI633,"G")+(COUNTIF(E633:AI633,"RT.")/2)+(COUNTIF(E633:AI633,"ÇRT.")/2)</f>
      </c>
      <c r="AO633" s="1">
        <f>=COUNTIF(E633:AI633,"O")</f>
      </c>
      <c r="AP633" s="1">
        <f>=COUNTIF(E633:AI633,"RT")+(COUNTIF(E633:AI633,"RT.")/2)</f>
      </c>
      <c r="AQ633" s="1">
        <f>=COUNTIF(E633:AI633,"ÇRT")+(COUNTIF(E633:AI633,"ÇRT.")/2)</f>
      </c>
      <c r="AR633" s="1">
        <f>=COUNTIF(E633:AI633,"ÇHT")</f>
      </c>
      <c r="AS633" s="1">
        <f>=COUNTIF(E633:AI633,"Ö")+COUNTIF(E633:AI633,"T")</f>
      </c>
      <c r="AT633" s="1">
        <f>=COUNTIF(E633:AI633,"Y")</f>
      </c>
      <c r="AU633" s="1">
        <f>=COUNTIF(E633:AI633,"R.")</f>
      </c>
      <c r="AV633" s="1">
        <f>=COUNTIF(E633:AI633,"Ü")</f>
      </c>
      <c r="AW633" s="1">
        <f>=COUNTIF(E633:AI633,"R")</f>
      </c>
      <c r="AX633" s="1">
        <f>=COUNTIF(E633:AI633,"DV")</f>
      </c>
      <c r="AY633" s="1">
        <f>=+AN633+AO633+AP633+AQ633+AR633+AS633+AT633+AU633</f>
      </c>
    </row>
    <row r="634" ht="16" customHeight="1" spans="1:51" x14ac:dyDescent="0.25">
      <c r="A634" s="45"/>
      <c r="B634" s="46"/>
      <c r="C634" s="46"/>
      <c r="D634" s="46" t="s">
        <v>33</v>
      </c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  <c r="AC634" s="46"/>
      <c r="AD634" s="46"/>
      <c r="AE634" s="46"/>
      <c r="AF634" s="46"/>
      <c r="AG634" s="46"/>
      <c r="AH634" s="46"/>
      <c r="AI634" s="46"/>
      <c r="AJ634" s="46"/>
      <c r="AK634" s="46"/>
      <c r="AL634" s="46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</row>
    <row r="635" ht="16" customHeight="1" spans="1:51" x14ac:dyDescent="0.25">
      <c r="A635" s="45"/>
      <c r="B635" s="46" t="s">
        <v>676</v>
      </c>
      <c r="C635" s="46" t="s">
        <v>677</v>
      </c>
      <c r="D635" s="46" t="s">
        <v>29</v>
      </c>
      <c r="E635" s="46" t="s">
        <v>31</v>
      </c>
      <c r="F635" s="46" t="s">
        <v>36</v>
      </c>
      <c r="G635" s="46" t="s">
        <v>36</v>
      </c>
      <c r="H635" s="46" t="s">
        <v>36</v>
      </c>
      <c r="I635" s="46" t="s">
        <v>37</v>
      </c>
      <c r="J635" s="46" t="s">
        <v>36</v>
      </c>
      <c r="K635" s="46" t="s">
        <v>36</v>
      </c>
      <c r="L635" s="46" t="s">
        <v>36</v>
      </c>
      <c r="M635" s="46" t="s">
        <v>36</v>
      </c>
      <c r="N635" s="46" t="s">
        <v>36</v>
      </c>
      <c r="O635" s="46" t="s">
        <v>36</v>
      </c>
      <c r="P635" s="46" t="s">
        <v>37</v>
      </c>
      <c r="Q635" s="46" t="s">
        <v>36</v>
      </c>
      <c r="R635" s="46" t="s">
        <v>36</v>
      </c>
      <c r="S635" s="46" t="s">
        <v>36</v>
      </c>
      <c r="T635" s="46" t="s">
        <v>36</v>
      </c>
      <c r="U635" s="46" t="s">
        <v>36</v>
      </c>
      <c r="V635" s="46" t="s">
        <v>36</v>
      </c>
      <c r="W635" s="46" t="s">
        <v>37</v>
      </c>
      <c r="X635" s="46" t="s">
        <v>36</v>
      </c>
      <c r="Y635" s="46" t="s">
        <v>36</v>
      </c>
      <c r="Z635" s="46" t="s">
        <v>36</v>
      </c>
      <c r="AA635" s="46" t="s">
        <v>36</v>
      </c>
      <c r="AB635" s="46" t="s">
        <v>36</v>
      </c>
      <c r="AC635" s="46" t="s">
        <v>36</v>
      </c>
      <c r="AD635" s="46" t="s">
        <v>37</v>
      </c>
      <c r="AE635" s="46" t="s">
        <v>36</v>
      </c>
      <c r="AF635" s="46" t="s">
        <v>36</v>
      </c>
      <c r="AG635" s="46" t="s">
        <v>36</v>
      </c>
      <c r="AH635" s="46" t="s">
        <v>43</v>
      </c>
      <c r="AI635" s="46" t="s">
        <v>37</v>
      </c>
      <c r="AJ635" s="46">
        <f>=SUM(E636:AI636)</f>
      </c>
      <c r="AK635" s="46">
        <f>=+AY635</f>
      </c>
      <c r="AL635" s="46"/>
      <c r="AM635" s="1"/>
      <c r="AN635" s="1">
        <f>=COUNTIF(E635:AI635,"A")+COUNTIF(E635:AI635,"B")+COUNTIF(E635:AI635,"C")+COUNTIF(E635:AI635,"D")+COUNTIF(E635:AI635,"E")+COUNTIF(E635:AI635,"F")+COUNTIF(E635:AI635,"M")+COUNTIF(E635:AI635,"AB")+COUNTIF(E635:AI635,"UZ")+COUNTIF(E635:AI635,"G")+(COUNTIF(E635:AI635,"RT.")/2)+(COUNTIF(E635:AI635,"ÇRT.")/2)</f>
      </c>
      <c r="AO635" s="1">
        <f>=COUNTIF(E635:AI635,"O")</f>
      </c>
      <c r="AP635" s="1">
        <f>=COUNTIF(E635:AI635,"RT")+(COUNTIF(E635:AI635,"RT.")/2)</f>
      </c>
      <c r="AQ635" s="1">
        <f>=COUNTIF(E635:AI635,"ÇRT")+(COUNTIF(E635:AI635,"ÇRT.")/2)</f>
      </c>
      <c r="AR635" s="1">
        <f>=COUNTIF(E635:AI635,"ÇHT")</f>
      </c>
      <c r="AS635" s="1">
        <f>=COUNTIF(E635:AI635,"Ö")+COUNTIF(E635:AI635,"T")</f>
      </c>
      <c r="AT635" s="1">
        <f>=COUNTIF(E635:AI635,"Y")</f>
      </c>
      <c r="AU635" s="1">
        <f>=COUNTIF(E635:AI635,"R.")</f>
      </c>
      <c r="AV635" s="1">
        <f>=COUNTIF(E635:AI635,"Ü")</f>
      </c>
      <c r="AW635" s="1">
        <f>=COUNTIF(E635:AI635,"R")</f>
      </c>
      <c r="AX635" s="1">
        <f>=COUNTIF(E635:AI635,"DV")</f>
      </c>
      <c r="AY635" s="1">
        <f>=+AN635+AO635+AP635+AQ635+AR635+AS635+AT635+AU635</f>
      </c>
    </row>
    <row r="636" ht="16" customHeight="1" spans="1:51" x14ac:dyDescent="0.25">
      <c r="A636" s="45"/>
      <c r="B636" s="46"/>
      <c r="C636" s="46"/>
      <c r="D636" s="46" t="s">
        <v>33</v>
      </c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  <c r="AD636" s="46"/>
      <c r="AE636" s="46"/>
      <c r="AF636" s="46"/>
      <c r="AG636" s="46"/>
      <c r="AH636" s="46"/>
      <c r="AI636" s="46"/>
      <c r="AJ636" s="46"/>
      <c r="AK636" s="46"/>
      <c r="AL636" s="46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</row>
    <row r="637" ht="16" customHeight="1" spans="1:51" x14ac:dyDescent="0.25">
      <c r="A637" s="45"/>
      <c r="B637" s="46" t="s">
        <v>678</v>
      </c>
      <c r="C637" s="46" t="s">
        <v>679</v>
      </c>
      <c r="D637" s="46" t="s">
        <v>29</v>
      </c>
      <c r="E637" s="46" t="s">
        <v>36</v>
      </c>
      <c r="F637" s="46" t="s">
        <v>37</v>
      </c>
      <c r="G637" s="46" t="s">
        <v>36</v>
      </c>
      <c r="H637" s="46" t="s">
        <v>36</v>
      </c>
      <c r="I637" s="46" t="s">
        <v>36</v>
      </c>
      <c r="J637" s="46" t="s">
        <v>36</v>
      </c>
      <c r="K637" s="46" t="s">
        <v>37</v>
      </c>
      <c r="L637" s="46" t="s">
        <v>36</v>
      </c>
      <c r="M637" s="46" t="s">
        <v>36</v>
      </c>
      <c r="N637" s="46" t="s">
        <v>36</v>
      </c>
      <c r="O637" s="46" t="s">
        <v>36</v>
      </c>
      <c r="P637" s="46" t="s">
        <v>36</v>
      </c>
      <c r="Q637" s="46" t="s">
        <v>36</v>
      </c>
      <c r="R637" s="46" t="s">
        <v>37</v>
      </c>
      <c r="S637" s="46" t="s">
        <v>36</v>
      </c>
      <c r="T637" s="46" t="s">
        <v>36</v>
      </c>
      <c r="U637" s="46" t="s">
        <v>36</v>
      </c>
      <c r="V637" s="46" t="s">
        <v>36</v>
      </c>
      <c r="W637" s="46" t="s">
        <v>36</v>
      </c>
      <c r="X637" s="46" t="s">
        <v>37</v>
      </c>
      <c r="Y637" s="46" t="s">
        <v>36</v>
      </c>
      <c r="Z637" s="46" t="s">
        <v>36</v>
      </c>
      <c r="AA637" s="46" t="s">
        <v>36</v>
      </c>
      <c r="AB637" s="46" t="s">
        <v>36</v>
      </c>
      <c r="AC637" s="46" t="s">
        <v>36</v>
      </c>
      <c r="AD637" s="46" t="s">
        <v>36</v>
      </c>
      <c r="AE637" s="46" t="s">
        <v>36</v>
      </c>
      <c r="AF637" s="46" t="s">
        <v>36</v>
      </c>
      <c r="AG637" s="46" t="s">
        <v>36</v>
      </c>
      <c r="AH637" s="46" t="s">
        <v>43</v>
      </c>
      <c r="AI637" s="46" t="s">
        <v>37</v>
      </c>
      <c r="AJ637" s="46">
        <f>=SUM(E638:AI638)</f>
      </c>
      <c r="AK637" s="46">
        <f>=+AY637</f>
      </c>
      <c r="AL637" s="46"/>
      <c r="AM637" s="1"/>
      <c r="AN637" s="1">
        <f>=COUNTIF(E637:AI637,"A")+COUNTIF(E637:AI637,"B")+COUNTIF(E637:AI637,"C")+COUNTIF(E637:AI637,"D")+COUNTIF(E637:AI637,"E")+COUNTIF(E637:AI637,"F")+COUNTIF(E637:AI637,"M")+COUNTIF(E637:AI637,"AB")+COUNTIF(E637:AI637,"UZ")+COUNTIF(E637:AI637,"G")+(COUNTIF(E637:AI637,"RT.")/2)+(COUNTIF(E637:AI637,"ÇRT.")/2)</f>
      </c>
      <c r="AO637" s="1">
        <f>=COUNTIF(E637:AI637,"O")</f>
      </c>
      <c r="AP637" s="1">
        <f>=COUNTIF(E637:AI637,"RT")+(COUNTIF(E637:AI637,"RT.")/2)</f>
      </c>
      <c r="AQ637" s="1">
        <f>=COUNTIF(E637:AI637,"ÇRT")+(COUNTIF(E637:AI637,"ÇRT.")/2)</f>
      </c>
      <c r="AR637" s="1">
        <f>=COUNTIF(E637:AI637,"ÇHT")</f>
      </c>
      <c r="AS637" s="1">
        <f>=COUNTIF(E637:AI637,"Ö")+COUNTIF(E637:AI637,"T")</f>
      </c>
      <c r="AT637" s="1">
        <f>=COUNTIF(E637:AI637,"Y")</f>
      </c>
      <c r="AU637" s="1">
        <f>=COUNTIF(E637:AI637,"R.")</f>
      </c>
      <c r="AV637" s="1">
        <f>=COUNTIF(E637:AI637,"Ü")</f>
      </c>
      <c r="AW637" s="1">
        <f>=COUNTIF(E637:AI637,"R")</f>
      </c>
      <c r="AX637" s="1">
        <f>=COUNTIF(E637:AI637,"DV")</f>
      </c>
      <c r="AY637" s="1">
        <f>=+AN637+AO637+AP637+AQ637+AR637+AS637+AT637+AU637</f>
      </c>
    </row>
    <row r="638" ht="16" customHeight="1" spans="1:51" x14ac:dyDescent="0.25">
      <c r="A638" s="45"/>
      <c r="B638" s="46"/>
      <c r="C638" s="46"/>
      <c r="D638" s="46" t="s">
        <v>33</v>
      </c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>
        <v>1</v>
      </c>
      <c r="Z638" s="46"/>
      <c r="AA638" s="46"/>
      <c r="AB638" s="46"/>
      <c r="AC638" s="46"/>
      <c r="AD638" s="46"/>
      <c r="AE638" s="46"/>
      <c r="AF638" s="46"/>
      <c r="AG638" s="46">
        <v>3</v>
      </c>
      <c r="AH638" s="46">
        <v>2</v>
      </c>
      <c r="AI638" s="46"/>
      <c r="AJ638" s="46"/>
      <c r="AK638" s="46"/>
      <c r="AL638" s="46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</row>
    <row r="639" ht="16" customHeight="1" spans="1:51" x14ac:dyDescent="0.25">
      <c r="A639" s="45"/>
      <c r="B639" s="46" t="s">
        <v>680</v>
      </c>
      <c r="C639" s="46" t="s">
        <v>681</v>
      </c>
      <c r="D639" s="46" t="s">
        <v>29</v>
      </c>
      <c r="E639" s="46" t="s">
        <v>59</v>
      </c>
      <c r="F639" s="46" t="s">
        <v>59</v>
      </c>
      <c r="G639" s="46" t="s">
        <v>37</v>
      </c>
      <c r="H639" s="46" t="s">
        <v>59</v>
      </c>
      <c r="I639" s="46" t="s">
        <v>59</v>
      </c>
      <c r="J639" s="46" t="s">
        <v>59</v>
      </c>
      <c r="K639" s="46" t="s">
        <v>59</v>
      </c>
      <c r="L639" s="46" t="s">
        <v>59</v>
      </c>
      <c r="M639" s="46" t="s">
        <v>59</v>
      </c>
      <c r="N639" s="46" t="s">
        <v>37</v>
      </c>
      <c r="O639" s="46" t="s">
        <v>59</v>
      </c>
      <c r="P639" s="46" t="s">
        <v>59</v>
      </c>
      <c r="Q639" s="46" t="s">
        <v>59</v>
      </c>
      <c r="R639" s="46" t="s">
        <v>59</v>
      </c>
      <c r="S639" s="46" t="s">
        <v>59</v>
      </c>
      <c r="T639" s="46" t="s">
        <v>59</v>
      </c>
      <c r="U639" s="46" t="s">
        <v>37</v>
      </c>
      <c r="V639" s="46" t="s">
        <v>59</v>
      </c>
      <c r="W639" s="46" t="s">
        <v>59</v>
      </c>
      <c r="X639" s="46" t="s">
        <v>59</v>
      </c>
      <c r="Y639" s="46" t="s">
        <v>59</v>
      </c>
      <c r="Z639" s="46" t="s">
        <v>59</v>
      </c>
      <c r="AA639" s="46" t="s">
        <v>59</v>
      </c>
      <c r="AB639" s="46" t="s">
        <v>37</v>
      </c>
      <c r="AC639" s="46" t="s">
        <v>59</v>
      </c>
      <c r="AD639" s="46" t="s">
        <v>59</v>
      </c>
      <c r="AE639" s="46" t="s">
        <v>59</v>
      </c>
      <c r="AF639" s="46" t="s">
        <v>59</v>
      </c>
      <c r="AG639" s="46" t="s">
        <v>59</v>
      </c>
      <c r="AH639" s="46" t="s">
        <v>43</v>
      </c>
      <c r="AI639" s="46" t="s">
        <v>37</v>
      </c>
      <c r="AJ639" s="46">
        <f>=SUM(E640:AI640)</f>
      </c>
      <c r="AK639" s="46">
        <f>=+AY639</f>
      </c>
      <c r="AL639" s="46"/>
      <c r="AM639" s="1"/>
      <c r="AN639" s="1">
        <f>=COUNTIF(E639:AI639,"A")+COUNTIF(E639:AI639,"B")+COUNTIF(E639:AI639,"C")+COUNTIF(E639:AI639,"D")+COUNTIF(E639:AI639,"E")+COUNTIF(E639:AI639,"F")+COUNTIF(E639:AI639,"M")+COUNTIF(E639:AI639,"AB")+COUNTIF(E639:AI639,"UZ")+COUNTIF(E639:AI639,"G")+(COUNTIF(E639:AI639,"RT.")/2)+(COUNTIF(E639:AI639,"ÇRT.")/2)</f>
      </c>
      <c r="AO639" s="1">
        <f>=COUNTIF(E639:AI639,"O")</f>
      </c>
      <c r="AP639" s="1">
        <f>=COUNTIF(E639:AI639,"RT")+(COUNTIF(E639:AI639,"RT.")/2)</f>
      </c>
      <c r="AQ639" s="1">
        <f>=COUNTIF(E639:AI639,"ÇRT")+(COUNTIF(E639:AI639,"ÇRT.")/2)</f>
      </c>
      <c r="AR639" s="1">
        <f>=COUNTIF(E639:AI639,"ÇHT")</f>
      </c>
      <c r="AS639" s="1">
        <f>=COUNTIF(E639:AI639,"Ö")+COUNTIF(E639:AI639,"T")</f>
      </c>
      <c r="AT639" s="1">
        <f>=COUNTIF(E639:AI639,"Y")</f>
      </c>
      <c r="AU639" s="1">
        <f>=COUNTIF(E639:AI639,"R.")</f>
      </c>
      <c r="AV639" s="1">
        <f>=COUNTIF(E639:AI639,"Ü")</f>
      </c>
      <c r="AW639" s="1">
        <f>=COUNTIF(E639:AI639,"R")</f>
      </c>
      <c r="AX639" s="1">
        <f>=COUNTIF(E639:AI639,"DV")</f>
      </c>
      <c r="AY639" s="1">
        <f>=+AN639+AO639+AP639+AQ639+AR639+AS639+AT639+AU639</f>
      </c>
    </row>
    <row r="640" ht="16" customHeight="1" spans="1:51" x14ac:dyDescent="0.25">
      <c r="A640" s="45"/>
      <c r="B640" s="46"/>
      <c r="C640" s="46"/>
      <c r="D640" s="46" t="s">
        <v>33</v>
      </c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  <c r="AC640" s="46"/>
      <c r="AD640" s="46"/>
      <c r="AE640" s="46"/>
      <c r="AF640" s="46"/>
      <c r="AG640" s="46"/>
      <c r="AH640" s="46"/>
      <c r="AI640" s="46"/>
      <c r="AJ640" s="46"/>
      <c r="AK640" s="46"/>
      <c r="AL640" s="46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</row>
    <row r="641" ht="16" customHeight="1" spans="1:51" x14ac:dyDescent="0.25">
      <c r="A641" s="45"/>
      <c r="B641" s="46" t="s">
        <v>682</v>
      </c>
      <c r="C641" s="46" t="s">
        <v>683</v>
      </c>
      <c r="D641" s="46" t="s">
        <v>29</v>
      </c>
      <c r="E641" s="46" t="s">
        <v>37</v>
      </c>
      <c r="F641" s="46" t="s">
        <v>36</v>
      </c>
      <c r="G641" s="46" t="s">
        <v>36</v>
      </c>
      <c r="H641" s="46" t="s">
        <v>36</v>
      </c>
      <c r="I641" s="46" t="s">
        <v>36</v>
      </c>
      <c r="J641" s="46" t="s">
        <v>46</v>
      </c>
      <c r="K641" s="46" t="s">
        <v>36</v>
      </c>
      <c r="L641" s="46" t="s">
        <v>37</v>
      </c>
      <c r="M641" s="46" t="s">
        <v>36</v>
      </c>
      <c r="N641" s="46" t="s">
        <v>36</v>
      </c>
      <c r="O641" s="46" t="s">
        <v>46</v>
      </c>
      <c r="P641" s="46" t="s">
        <v>36</v>
      </c>
      <c r="Q641" s="46" t="s">
        <v>36</v>
      </c>
      <c r="R641" s="46" t="s">
        <v>37</v>
      </c>
      <c r="S641" s="46" t="s">
        <v>36</v>
      </c>
      <c r="T641" s="46" t="s">
        <v>36</v>
      </c>
      <c r="U641" s="46" t="s">
        <v>36</v>
      </c>
      <c r="V641" s="46" t="s">
        <v>46</v>
      </c>
      <c r="W641" s="46" t="s">
        <v>37</v>
      </c>
      <c r="X641" s="46" t="s">
        <v>36</v>
      </c>
      <c r="Y641" s="46" t="s">
        <v>36</v>
      </c>
      <c r="Z641" s="46" t="s">
        <v>36</v>
      </c>
      <c r="AA641" s="46" t="s">
        <v>36</v>
      </c>
      <c r="AB641" s="46" t="s">
        <v>36</v>
      </c>
      <c r="AC641" s="46" t="s">
        <v>46</v>
      </c>
      <c r="AD641" s="46" t="s">
        <v>37</v>
      </c>
      <c r="AE641" s="46" t="s">
        <v>36</v>
      </c>
      <c r="AF641" s="46" t="s">
        <v>36</v>
      </c>
      <c r="AG641" s="46" t="s">
        <v>36</v>
      </c>
      <c r="AH641" s="46" t="s">
        <v>43</v>
      </c>
      <c r="AI641" s="46" t="s">
        <v>36</v>
      </c>
      <c r="AJ641" s="46">
        <f>=SUM(E642:AI642)</f>
      </c>
      <c r="AK641" s="46">
        <f>=+AY641</f>
      </c>
      <c r="AL641" s="46"/>
      <c r="AM641" s="1"/>
      <c r="AN641" s="1">
        <f>=COUNTIF(E641:AI641,"A")+COUNTIF(E641:AI641,"B")+COUNTIF(E641:AI641,"C")+COUNTIF(E641:AI641,"D")+COUNTIF(E641:AI641,"E")+COUNTIF(E641:AI641,"F")+COUNTIF(E641:AI641,"M")+COUNTIF(E641:AI641,"AB")+COUNTIF(E641:AI641,"UZ")+COUNTIF(E641:AI641,"G")+(COUNTIF(E641:AI641,"RT.")/2)+(COUNTIF(E641:AI641,"ÇRT.")/2)</f>
      </c>
      <c r="AO641" s="1">
        <f>=COUNTIF(E641:AI641,"O")</f>
      </c>
      <c r="AP641" s="1">
        <f>=COUNTIF(E641:AI641,"RT")+(COUNTIF(E641:AI641,"RT.")/2)</f>
      </c>
      <c r="AQ641" s="1">
        <f>=COUNTIF(E641:AI641,"ÇRT")+(COUNTIF(E641:AI641,"ÇRT.")/2)</f>
      </c>
      <c r="AR641" s="1">
        <f>=COUNTIF(E641:AI641,"ÇHT")</f>
      </c>
      <c r="AS641" s="1">
        <f>=COUNTIF(E641:AI641,"Ö")+COUNTIF(E641:AI641,"T")</f>
      </c>
      <c r="AT641" s="1">
        <f>=COUNTIF(E641:AI641,"Y")</f>
      </c>
      <c r="AU641" s="1">
        <f>=COUNTIF(E641:AI641,"R.")</f>
      </c>
      <c r="AV641" s="1">
        <f>=COUNTIF(E641:AI641,"Ü")</f>
      </c>
      <c r="AW641" s="1">
        <f>=COUNTIF(E641:AI641,"R")</f>
      </c>
      <c r="AX641" s="1">
        <f>=COUNTIF(E641:AI641,"DV")</f>
      </c>
      <c r="AY641" s="1">
        <f>=+AN641+AO641+AP641+AQ641+AR641+AS641+AT641+AU641</f>
      </c>
    </row>
    <row r="642" ht="16" customHeight="1" spans="1:51" x14ac:dyDescent="0.25">
      <c r="A642" s="45"/>
      <c r="B642" s="46"/>
      <c r="C642" s="46"/>
      <c r="D642" s="46" t="s">
        <v>33</v>
      </c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  <c r="AC642" s="46"/>
      <c r="AD642" s="46"/>
      <c r="AE642" s="46"/>
      <c r="AF642" s="46">
        <v>2</v>
      </c>
      <c r="AG642" s="46">
        <v>3</v>
      </c>
      <c r="AH642" s="46">
        <v>2</v>
      </c>
      <c r="AI642" s="46"/>
      <c r="AJ642" s="46"/>
      <c r="AK642" s="46"/>
      <c r="AL642" s="46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</row>
    <row r="643" ht="16" customHeight="1" spans="1:51" x14ac:dyDescent="0.25">
      <c r="A643" s="45"/>
      <c r="B643" s="46" t="s">
        <v>684</v>
      </c>
      <c r="C643" s="46" t="s">
        <v>685</v>
      </c>
      <c r="D643" s="46" t="s">
        <v>29</v>
      </c>
      <c r="E643" s="46" t="s">
        <v>37</v>
      </c>
      <c r="F643" s="46" t="s">
        <v>36</v>
      </c>
      <c r="G643" s="46" t="s">
        <v>36</v>
      </c>
      <c r="H643" s="46" t="s">
        <v>36</v>
      </c>
      <c r="I643" s="46" t="s">
        <v>36</v>
      </c>
      <c r="J643" s="46" t="s">
        <v>37</v>
      </c>
      <c r="K643" s="46" t="s">
        <v>36</v>
      </c>
      <c r="L643" s="46" t="s">
        <v>36</v>
      </c>
      <c r="M643" s="46" t="s">
        <v>36</v>
      </c>
      <c r="N643" s="46" t="s">
        <v>36</v>
      </c>
      <c r="O643" s="46" t="s">
        <v>36</v>
      </c>
      <c r="P643" s="46" t="s">
        <v>36</v>
      </c>
      <c r="Q643" s="46" t="s">
        <v>37</v>
      </c>
      <c r="R643" s="46" t="s">
        <v>36</v>
      </c>
      <c r="S643" s="46" t="s">
        <v>36</v>
      </c>
      <c r="T643" s="46" t="s">
        <v>36</v>
      </c>
      <c r="U643" s="46" t="s">
        <v>36</v>
      </c>
      <c r="V643" s="46" t="s">
        <v>36</v>
      </c>
      <c r="W643" s="46" t="s">
        <v>36</v>
      </c>
      <c r="X643" s="46" t="s">
        <v>37</v>
      </c>
      <c r="Y643" s="46" t="s">
        <v>36</v>
      </c>
      <c r="Z643" s="46" t="s">
        <v>36</v>
      </c>
      <c r="AA643" s="46" t="s">
        <v>36</v>
      </c>
      <c r="AB643" s="46" t="s">
        <v>36</v>
      </c>
      <c r="AC643" s="46" t="s">
        <v>36</v>
      </c>
      <c r="AD643" s="46" t="s">
        <v>36</v>
      </c>
      <c r="AE643" s="46" t="s">
        <v>37</v>
      </c>
      <c r="AF643" s="46" t="s">
        <v>36</v>
      </c>
      <c r="AG643" s="46" t="s">
        <v>36</v>
      </c>
      <c r="AH643" s="46" t="s">
        <v>43</v>
      </c>
      <c r="AI643" s="46" t="s">
        <v>36</v>
      </c>
      <c r="AJ643" s="46">
        <f>=SUM(E644:AI644)</f>
      </c>
      <c r="AK643" s="46">
        <f>=+AY643</f>
      </c>
      <c r="AL643" s="46"/>
      <c r="AM643" s="1"/>
      <c r="AN643" s="1">
        <f>=COUNTIF(E643:AI643,"A")+COUNTIF(E643:AI643,"B")+COUNTIF(E643:AI643,"C")+COUNTIF(E643:AI643,"D")+COUNTIF(E643:AI643,"E")+COUNTIF(E643:AI643,"F")+COUNTIF(E643:AI643,"M")+COUNTIF(E643:AI643,"AB")+COUNTIF(E643:AI643,"UZ")+COUNTIF(E643:AI643,"G")+(COUNTIF(E643:AI643,"RT.")/2)+(COUNTIF(E643:AI643,"ÇRT.")/2)</f>
      </c>
      <c r="AO643" s="1">
        <f>=COUNTIF(E643:AI643,"O")</f>
      </c>
      <c r="AP643" s="1">
        <f>=COUNTIF(E643:AI643,"RT")+(COUNTIF(E643:AI643,"RT.")/2)</f>
      </c>
      <c r="AQ643" s="1">
        <f>=COUNTIF(E643:AI643,"ÇRT")+(COUNTIF(E643:AI643,"ÇRT.")/2)</f>
      </c>
      <c r="AR643" s="1">
        <f>=COUNTIF(E643:AI643,"ÇHT")</f>
      </c>
      <c r="AS643" s="1">
        <f>=COUNTIF(E643:AI643,"Ö")+COUNTIF(E643:AI643,"T")</f>
      </c>
      <c r="AT643" s="1">
        <f>=COUNTIF(E643:AI643,"Y")</f>
      </c>
      <c r="AU643" s="1">
        <f>=COUNTIF(E643:AI643,"R.")</f>
      </c>
      <c r="AV643" s="1">
        <f>=COUNTIF(E643:AI643,"Ü")</f>
      </c>
      <c r="AW643" s="1">
        <f>=COUNTIF(E643:AI643,"R")</f>
      </c>
      <c r="AX643" s="1">
        <f>=COUNTIF(E643:AI643,"DV")</f>
      </c>
      <c r="AY643" s="1">
        <f>=+AN643+AO643+AP643+AQ643+AR643+AS643+AT643+AU643</f>
      </c>
    </row>
    <row r="644" ht="16" customHeight="1" spans="1:51" x14ac:dyDescent="0.25">
      <c r="A644" s="45"/>
      <c r="B644" s="46"/>
      <c r="C644" s="46"/>
      <c r="D644" s="46" t="s">
        <v>33</v>
      </c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  <c r="AC644" s="46"/>
      <c r="AD644" s="46"/>
      <c r="AE644" s="46"/>
      <c r="AF644" s="46"/>
      <c r="AG644" s="46"/>
      <c r="AH644" s="46"/>
      <c r="AI644" s="46"/>
      <c r="AJ644" s="46"/>
      <c r="AK644" s="46"/>
      <c r="AL644" s="46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</row>
    <row r="645" ht="16" customHeight="1" spans="1:51" x14ac:dyDescent="0.25">
      <c r="A645" s="45"/>
      <c r="B645" s="46" t="s">
        <v>686</v>
      </c>
      <c r="C645" s="46" t="s">
        <v>687</v>
      </c>
      <c r="D645" s="46" t="s">
        <v>29</v>
      </c>
      <c r="E645" s="46" t="s">
        <v>37</v>
      </c>
      <c r="F645" s="46" t="s">
        <v>59</v>
      </c>
      <c r="G645" s="46" t="s">
        <v>59</v>
      </c>
      <c r="H645" s="46" t="s">
        <v>59</v>
      </c>
      <c r="I645" s="46" t="s">
        <v>59</v>
      </c>
      <c r="J645" s="46" t="s">
        <v>59</v>
      </c>
      <c r="K645" s="46" t="s">
        <v>59</v>
      </c>
      <c r="L645" s="46" t="s">
        <v>37</v>
      </c>
      <c r="M645" s="46" t="s">
        <v>59</v>
      </c>
      <c r="N645" s="46" t="s">
        <v>59</v>
      </c>
      <c r="O645" s="46" t="s">
        <v>59</v>
      </c>
      <c r="P645" s="46" t="s">
        <v>59</v>
      </c>
      <c r="Q645" s="46" t="s">
        <v>59</v>
      </c>
      <c r="R645" s="46" t="s">
        <v>59</v>
      </c>
      <c r="S645" s="46" t="s">
        <v>59</v>
      </c>
      <c r="T645" s="46" t="s">
        <v>37</v>
      </c>
      <c r="U645" s="46" t="s">
        <v>59</v>
      </c>
      <c r="V645" s="46" t="s">
        <v>59</v>
      </c>
      <c r="W645" s="46" t="s">
        <v>59</v>
      </c>
      <c r="X645" s="46" t="s">
        <v>59</v>
      </c>
      <c r="Y645" s="46" t="s">
        <v>59</v>
      </c>
      <c r="Z645" s="46" t="s">
        <v>59</v>
      </c>
      <c r="AA645" s="46" t="s">
        <v>37</v>
      </c>
      <c r="AB645" s="46" t="s">
        <v>59</v>
      </c>
      <c r="AC645" s="46" t="s">
        <v>59</v>
      </c>
      <c r="AD645" s="46" t="s">
        <v>59</v>
      </c>
      <c r="AE645" s="46" t="s">
        <v>59</v>
      </c>
      <c r="AF645" s="46" t="s">
        <v>59</v>
      </c>
      <c r="AG645" s="46" t="s">
        <v>37</v>
      </c>
      <c r="AH645" s="46" t="s">
        <v>43</v>
      </c>
      <c r="AI645" s="46" t="s">
        <v>59</v>
      </c>
      <c r="AJ645" s="46">
        <f>=SUM(E646:AI646)</f>
      </c>
      <c r="AK645" s="46">
        <f>=+AY645</f>
      </c>
      <c r="AL645" s="46"/>
      <c r="AM645" s="1"/>
      <c r="AN645" s="1">
        <f>=COUNTIF(E645:AI645,"A")+COUNTIF(E645:AI645,"B")+COUNTIF(E645:AI645,"C")+COUNTIF(E645:AI645,"D")+COUNTIF(E645:AI645,"E")+COUNTIF(E645:AI645,"F")+COUNTIF(E645:AI645,"M")+COUNTIF(E645:AI645,"AB")+COUNTIF(E645:AI645,"UZ")+COUNTIF(E645:AI645,"G")+(COUNTIF(E645:AI645,"RT.")/2)+(COUNTIF(E645:AI645,"ÇRT.")/2)</f>
      </c>
      <c r="AO645" s="1">
        <f>=COUNTIF(E645:AI645,"O")</f>
      </c>
      <c r="AP645" s="1">
        <f>=COUNTIF(E645:AI645,"RT")+(COUNTIF(E645:AI645,"RT.")/2)</f>
      </c>
      <c r="AQ645" s="1">
        <f>=COUNTIF(E645:AI645,"ÇRT")+(COUNTIF(E645:AI645,"ÇRT.")/2)</f>
      </c>
      <c r="AR645" s="1">
        <f>=COUNTIF(E645:AI645,"ÇHT")</f>
      </c>
      <c r="AS645" s="1">
        <f>=COUNTIF(E645:AI645,"Ö")+COUNTIF(E645:AI645,"T")</f>
      </c>
      <c r="AT645" s="1">
        <f>=COUNTIF(E645:AI645,"Y")</f>
      </c>
      <c r="AU645" s="1">
        <f>=COUNTIF(E645:AI645,"R.")</f>
      </c>
      <c r="AV645" s="1">
        <f>=COUNTIF(E645:AI645,"Ü")</f>
      </c>
      <c r="AW645" s="1">
        <f>=COUNTIF(E645:AI645,"R")</f>
      </c>
      <c r="AX645" s="1">
        <f>=COUNTIF(E645:AI645,"DV")</f>
      </c>
      <c r="AY645" s="1">
        <f>=+AN645+AO645+AP645+AQ645+AR645+AS645+AT645+AU645</f>
      </c>
    </row>
    <row r="646" ht="16" customHeight="1" spans="1:51" x14ac:dyDescent="0.25">
      <c r="A646" s="45"/>
      <c r="B646" s="46"/>
      <c r="C646" s="46"/>
      <c r="D646" s="46" t="s">
        <v>33</v>
      </c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  <c r="AC646" s="46"/>
      <c r="AD646" s="46"/>
      <c r="AE646" s="46"/>
      <c r="AF646" s="46"/>
      <c r="AG646" s="46"/>
      <c r="AH646" s="46"/>
      <c r="AI646" s="46"/>
      <c r="AJ646" s="46"/>
      <c r="AK646" s="46"/>
      <c r="AL646" s="46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</row>
    <row r="647" ht="16" customHeight="1" spans="1:51" x14ac:dyDescent="0.25">
      <c r="A647" s="45"/>
      <c r="B647" s="46" t="s">
        <v>688</v>
      </c>
      <c r="C647" s="46" t="s">
        <v>689</v>
      </c>
      <c r="D647" s="46" t="s">
        <v>29</v>
      </c>
      <c r="E647" s="46" t="s">
        <v>36</v>
      </c>
      <c r="F647" s="46" t="s">
        <v>36</v>
      </c>
      <c r="G647" s="46" t="s">
        <v>46</v>
      </c>
      <c r="H647" s="46" t="s">
        <v>37</v>
      </c>
      <c r="I647" s="46" t="s">
        <v>46</v>
      </c>
      <c r="J647" s="46" t="s">
        <v>46</v>
      </c>
      <c r="K647" s="46" t="s">
        <v>46</v>
      </c>
      <c r="L647" s="46" t="s">
        <v>46</v>
      </c>
      <c r="M647" s="46" t="s">
        <v>46</v>
      </c>
      <c r="N647" s="46" t="s">
        <v>36</v>
      </c>
      <c r="O647" s="46" t="s">
        <v>37</v>
      </c>
      <c r="P647" s="46" t="s">
        <v>36</v>
      </c>
      <c r="Q647" s="46" t="s">
        <v>36</v>
      </c>
      <c r="R647" s="46" t="s">
        <v>36</v>
      </c>
      <c r="S647" s="46" t="s">
        <v>36</v>
      </c>
      <c r="T647" s="46" t="s">
        <v>36</v>
      </c>
      <c r="U647" s="46" t="s">
        <v>46</v>
      </c>
      <c r="V647" s="46" t="s">
        <v>37</v>
      </c>
      <c r="W647" s="46" t="s">
        <v>46</v>
      </c>
      <c r="X647" s="46" t="s">
        <v>46</v>
      </c>
      <c r="Y647" s="46" t="s">
        <v>46</v>
      </c>
      <c r="Z647" s="46" t="s">
        <v>46</v>
      </c>
      <c r="AA647" s="46" t="s">
        <v>46</v>
      </c>
      <c r="AB647" s="46" t="s">
        <v>36</v>
      </c>
      <c r="AC647" s="46" t="s">
        <v>37</v>
      </c>
      <c r="AD647" s="46" t="s">
        <v>36</v>
      </c>
      <c r="AE647" s="46" t="s">
        <v>36</v>
      </c>
      <c r="AF647" s="46" t="s">
        <v>36</v>
      </c>
      <c r="AG647" s="46" t="s">
        <v>36</v>
      </c>
      <c r="AH647" s="46" t="s">
        <v>43</v>
      </c>
      <c r="AI647" s="46" t="s">
        <v>46</v>
      </c>
      <c r="AJ647" s="46">
        <f>=SUM(E648:AI648)</f>
      </c>
      <c r="AK647" s="46">
        <f>=+AY647</f>
      </c>
      <c r="AL647" s="46"/>
      <c r="AM647" s="1"/>
      <c r="AN647" s="1">
        <f>=COUNTIF(E647:AI647,"A")+COUNTIF(E647:AI647,"B")+COUNTIF(E647:AI647,"C")+COUNTIF(E647:AI647,"D")+COUNTIF(E647:AI647,"E")+COUNTIF(E647:AI647,"F")+COUNTIF(E647:AI647,"M")+COUNTIF(E647:AI647,"AB")+COUNTIF(E647:AI647,"UZ")+COUNTIF(E647:AI647,"G")+(COUNTIF(E647:AI647,"RT.")/2)+(COUNTIF(E647:AI647,"ÇRT.")/2)</f>
      </c>
      <c r="AO647" s="1">
        <f>=COUNTIF(E647:AI647,"O")</f>
      </c>
      <c r="AP647" s="1">
        <f>=COUNTIF(E647:AI647,"RT")+(COUNTIF(E647:AI647,"RT.")/2)</f>
      </c>
      <c r="AQ647" s="1">
        <f>=COUNTIF(E647:AI647,"ÇRT")+(COUNTIF(E647:AI647,"ÇRT.")/2)</f>
      </c>
      <c r="AR647" s="1">
        <f>=COUNTIF(E647:AI647,"ÇHT")</f>
      </c>
      <c r="AS647" s="1">
        <f>=COUNTIF(E647:AI647,"Ö")+COUNTIF(E647:AI647,"T")</f>
      </c>
      <c r="AT647" s="1">
        <f>=COUNTIF(E647:AI647,"Y")</f>
      </c>
      <c r="AU647" s="1">
        <f>=COUNTIF(E647:AI647,"R.")</f>
      </c>
      <c r="AV647" s="1">
        <f>=COUNTIF(E647:AI647,"Ü")</f>
      </c>
      <c r="AW647" s="1">
        <f>=COUNTIF(E647:AI647,"R")</f>
      </c>
      <c r="AX647" s="1">
        <f>=COUNTIF(E647:AI647,"DV")</f>
      </c>
      <c r="AY647" s="1">
        <f>=+AN647+AO647+AP647+AQ647+AR647+AS647+AT647+AU647</f>
      </c>
    </row>
    <row r="648" ht="16" customHeight="1" spans="1:51" x14ac:dyDescent="0.25">
      <c r="A648" s="45"/>
      <c r="B648" s="46"/>
      <c r="C648" s="46"/>
      <c r="D648" s="46" t="s">
        <v>33</v>
      </c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  <c r="AC648" s="46"/>
      <c r="AD648" s="46"/>
      <c r="AE648" s="46"/>
      <c r="AF648" s="46"/>
      <c r="AG648" s="46"/>
      <c r="AH648" s="46"/>
      <c r="AI648" s="46"/>
      <c r="AJ648" s="46"/>
      <c r="AK648" s="46"/>
      <c r="AL648" s="46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</row>
    <row r="649" ht="16" customHeight="1" spans="1:51" x14ac:dyDescent="0.25">
      <c r="A649" s="45"/>
      <c r="B649" s="46" t="s">
        <v>690</v>
      </c>
      <c r="C649" s="46" t="s">
        <v>691</v>
      </c>
      <c r="D649" s="46" t="s">
        <v>29</v>
      </c>
      <c r="E649" s="46" t="s">
        <v>36</v>
      </c>
      <c r="F649" s="46" t="s">
        <v>36</v>
      </c>
      <c r="G649" s="46" t="s">
        <v>36</v>
      </c>
      <c r="H649" s="46" t="s">
        <v>36</v>
      </c>
      <c r="I649" s="46" t="s">
        <v>36</v>
      </c>
      <c r="J649" s="46" t="s">
        <v>36</v>
      </c>
      <c r="K649" s="46" t="s">
        <v>36</v>
      </c>
      <c r="L649" s="46" t="s">
        <v>37</v>
      </c>
      <c r="M649" s="46" t="s">
        <v>36</v>
      </c>
      <c r="N649" s="46" t="s">
        <v>36</v>
      </c>
      <c r="O649" s="46" t="s">
        <v>36</v>
      </c>
      <c r="P649" s="46" t="s">
        <v>36</v>
      </c>
      <c r="Q649" s="46" t="s">
        <v>36</v>
      </c>
      <c r="R649" s="46" t="s">
        <v>37</v>
      </c>
      <c r="S649" s="46" t="s">
        <v>36</v>
      </c>
      <c r="T649" s="46" t="s">
        <v>36</v>
      </c>
      <c r="U649" s="46" t="s">
        <v>36</v>
      </c>
      <c r="V649" s="46" t="s">
        <v>36</v>
      </c>
      <c r="W649" s="46" t="s">
        <v>37</v>
      </c>
      <c r="X649" s="46" t="s">
        <v>36</v>
      </c>
      <c r="Y649" s="46" t="s">
        <v>36</v>
      </c>
      <c r="Z649" s="46" t="s">
        <v>36</v>
      </c>
      <c r="AA649" s="46" t="s">
        <v>36</v>
      </c>
      <c r="AB649" s="46" t="s">
        <v>36</v>
      </c>
      <c r="AC649" s="46" t="s">
        <v>36</v>
      </c>
      <c r="AD649" s="46" t="s">
        <v>36</v>
      </c>
      <c r="AE649" s="46" t="s">
        <v>36</v>
      </c>
      <c r="AF649" s="46" t="s">
        <v>36</v>
      </c>
      <c r="AG649" s="46" t="s">
        <v>37</v>
      </c>
      <c r="AH649" s="46" t="s">
        <v>43</v>
      </c>
      <c r="AI649" s="46" t="s">
        <v>36</v>
      </c>
      <c r="AJ649" s="46">
        <f>=SUM(E650:AI650)</f>
      </c>
      <c r="AK649" s="46">
        <f>=+AY649</f>
      </c>
      <c r="AL649" s="46"/>
      <c r="AM649" s="1"/>
      <c r="AN649" s="1">
        <f>=COUNTIF(E649:AI649,"A")+COUNTIF(E649:AI649,"B")+COUNTIF(E649:AI649,"C")+COUNTIF(E649:AI649,"D")+COUNTIF(E649:AI649,"E")+COUNTIF(E649:AI649,"F")+COUNTIF(E649:AI649,"M")+COUNTIF(E649:AI649,"AB")+COUNTIF(E649:AI649,"UZ")+COUNTIF(E649:AI649,"G")+(COUNTIF(E649:AI649,"RT.")/2)+(COUNTIF(E649:AI649,"ÇRT.")/2)</f>
      </c>
      <c r="AO649" s="1">
        <f>=COUNTIF(E649:AI649,"O")</f>
      </c>
      <c r="AP649" s="1">
        <f>=COUNTIF(E649:AI649,"RT")+(COUNTIF(E649:AI649,"RT.")/2)</f>
      </c>
      <c r="AQ649" s="1">
        <f>=COUNTIF(E649:AI649,"ÇRT")+(COUNTIF(E649:AI649,"ÇRT.")/2)</f>
      </c>
      <c r="AR649" s="1">
        <f>=COUNTIF(E649:AI649,"ÇHT")</f>
      </c>
      <c r="AS649" s="1">
        <f>=COUNTIF(E649:AI649,"Ö")+COUNTIF(E649:AI649,"T")</f>
      </c>
      <c r="AT649" s="1">
        <f>=COUNTIF(E649:AI649,"Y")</f>
      </c>
      <c r="AU649" s="1">
        <f>=COUNTIF(E649:AI649,"R.")</f>
      </c>
      <c r="AV649" s="1">
        <f>=COUNTIF(E649:AI649,"Ü")</f>
      </c>
      <c r="AW649" s="1">
        <f>=COUNTIF(E649:AI649,"R")</f>
      </c>
      <c r="AX649" s="1">
        <f>=COUNTIF(E649:AI649,"DV")</f>
      </c>
      <c r="AY649" s="1">
        <f>=+AN649+AO649+AP649+AQ649+AR649+AS649+AT649+AU649</f>
      </c>
    </row>
    <row r="650" ht="16" customHeight="1" spans="1:51" x14ac:dyDescent="0.25">
      <c r="A650" s="45"/>
      <c r="B650" s="46"/>
      <c r="C650" s="46"/>
      <c r="D650" s="46" t="s">
        <v>33</v>
      </c>
      <c r="E650" s="46"/>
      <c r="F650" s="46"/>
      <c r="G650" s="46">
        <v>2</v>
      </c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  <c r="AC650" s="46"/>
      <c r="AD650" s="46"/>
      <c r="AE650" s="46"/>
      <c r="AF650" s="46">
        <v>2</v>
      </c>
      <c r="AG650" s="46"/>
      <c r="AH650" s="46"/>
      <c r="AI650" s="46"/>
      <c r="AJ650" s="46"/>
      <c r="AK650" s="46"/>
      <c r="AL650" s="46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</row>
    <row r="651" ht="16" customHeight="1" spans="1:51" x14ac:dyDescent="0.25">
      <c r="A651" s="45"/>
      <c r="B651" s="46" t="s">
        <v>692</v>
      </c>
      <c r="C651" s="46" t="s">
        <v>693</v>
      </c>
      <c r="D651" s="46" t="s">
        <v>29</v>
      </c>
      <c r="E651" s="46" t="s">
        <v>36</v>
      </c>
      <c r="F651" s="46" t="s">
        <v>36</v>
      </c>
      <c r="G651" s="46" t="s">
        <v>36</v>
      </c>
      <c r="H651" s="46" t="s">
        <v>36</v>
      </c>
      <c r="I651" s="46" t="s">
        <v>36</v>
      </c>
      <c r="J651" s="46" t="s">
        <v>36</v>
      </c>
      <c r="K651" s="46" t="s">
        <v>37</v>
      </c>
      <c r="L651" s="46" t="s">
        <v>36</v>
      </c>
      <c r="M651" s="46" t="s">
        <v>36</v>
      </c>
      <c r="N651" s="46" t="s">
        <v>36</v>
      </c>
      <c r="O651" s="46" t="s">
        <v>36</v>
      </c>
      <c r="P651" s="46" t="s">
        <v>36</v>
      </c>
      <c r="Q651" s="46" t="s">
        <v>36</v>
      </c>
      <c r="R651" s="46" t="s">
        <v>37</v>
      </c>
      <c r="S651" s="46" t="s">
        <v>36</v>
      </c>
      <c r="T651" s="46" t="s">
        <v>36</v>
      </c>
      <c r="U651" s="46" t="s">
        <v>36</v>
      </c>
      <c r="V651" s="46" t="s">
        <v>36</v>
      </c>
      <c r="W651" s="46" t="s">
        <v>36</v>
      </c>
      <c r="X651" s="46" t="s">
        <v>36</v>
      </c>
      <c r="Y651" s="46" t="s">
        <v>36</v>
      </c>
      <c r="Z651" s="46" t="s">
        <v>37</v>
      </c>
      <c r="AA651" s="46" t="s">
        <v>36</v>
      </c>
      <c r="AB651" s="46" t="s">
        <v>36</v>
      </c>
      <c r="AC651" s="46" t="s">
        <v>36</v>
      </c>
      <c r="AD651" s="46" t="s">
        <v>36</v>
      </c>
      <c r="AE651" s="46" t="s">
        <v>36</v>
      </c>
      <c r="AF651" s="46" t="s">
        <v>37</v>
      </c>
      <c r="AG651" s="46" t="s">
        <v>36</v>
      </c>
      <c r="AH651" s="46" t="s">
        <v>43</v>
      </c>
      <c r="AI651" s="46" t="s">
        <v>36</v>
      </c>
      <c r="AJ651" s="46">
        <f>=SUM(E652:AI652)</f>
      </c>
      <c r="AK651" s="46">
        <f>=+AY651</f>
      </c>
      <c r="AL651" s="46"/>
      <c r="AM651" s="1"/>
      <c r="AN651" s="1">
        <f>=COUNTIF(E651:AI651,"A")+COUNTIF(E651:AI651,"B")+COUNTIF(E651:AI651,"C")+COUNTIF(E651:AI651,"D")+COUNTIF(E651:AI651,"E")+COUNTIF(E651:AI651,"F")+COUNTIF(E651:AI651,"M")+COUNTIF(E651:AI651,"AB")+COUNTIF(E651:AI651,"UZ")+COUNTIF(E651:AI651,"G")+(COUNTIF(E651:AI651,"RT.")/2)+(COUNTIF(E651:AI651,"ÇRT.")/2)</f>
      </c>
      <c r="AO651" s="1">
        <f>=COUNTIF(E651:AI651,"O")</f>
      </c>
      <c r="AP651" s="1">
        <f>=COUNTIF(E651:AI651,"RT")+(COUNTIF(E651:AI651,"RT.")/2)</f>
      </c>
      <c r="AQ651" s="1">
        <f>=COUNTIF(E651:AI651,"ÇRT")+(COUNTIF(E651:AI651,"ÇRT.")/2)</f>
      </c>
      <c r="AR651" s="1">
        <f>=COUNTIF(E651:AI651,"ÇHT")</f>
      </c>
      <c r="AS651" s="1">
        <f>=COUNTIF(E651:AI651,"Ö")+COUNTIF(E651:AI651,"T")</f>
      </c>
      <c r="AT651" s="1">
        <f>=COUNTIF(E651:AI651,"Y")</f>
      </c>
      <c r="AU651" s="1">
        <f>=COUNTIF(E651:AI651,"R.")</f>
      </c>
      <c r="AV651" s="1">
        <f>=COUNTIF(E651:AI651,"Ü")</f>
      </c>
      <c r="AW651" s="1">
        <f>=COUNTIF(E651:AI651,"R")</f>
      </c>
      <c r="AX651" s="1">
        <f>=COUNTIF(E651:AI651,"DV")</f>
      </c>
      <c r="AY651" s="1">
        <f>=+AN651+AO651+AP651+AQ651+AR651+AS651+AT651+AU651</f>
      </c>
    </row>
    <row r="652" ht="16" customHeight="1" spans="1:51" x14ac:dyDescent="0.25">
      <c r="A652" s="45"/>
      <c r="B652" s="46"/>
      <c r="C652" s="46"/>
      <c r="D652" s="46" t="s">
        <v>33</v>
      </c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  <c r="AC652" s="46"/>
      <c r="AD652" s="46"/>
      <c r="AE652" s="46"/>
      <c r="AF652" s="46"/>
      <c r="AG652" s="46">
        <v>3</v>
      </c>
      <c r="AH652" s="46">
        <v>2</v>
      </c>
      <c r="AI652" s="46"/>
      <c r="AJ652" s="46"/>
      <c r="AK652" s="46"/>
      <c r="AL652" s="46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</row>
    <row r="653" ht="16" customHeight="1" spans="1:51" x14ac:dyDescent="0.25">
      <c r="A653" s="45"/>
      <c r="B653" s="46" t="s">
        <v>694</v>
      </c>
      <c r="C653" s="46" t="s">
        <v>695</v>
      </c>
      <c r="D653" s="46" t="s">
        <v>29</v>
      </c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  <c r="AC653" s="46"/>
      <c r="AD653" s="46"/>
      <c r="AE653" s="46"/>
      <c r="AF653" s="46"/>
      <c r="AG653" s="46"/>
      <c r="AH653" s="46"/>
      <c r="AI653" s="46"/>
      <c r="AJ653" s="46">
        <f>=SUM(E654:AI654)</f>
      </c>
      <c r="AK653" s="46">
        <f>=+AY653</f>
      </c>
      <c r="AL653" s="46"/>
      <c r="AM653" s="1"/>
      <c r="AN653" s="1">
        <f>=COUNTIF(E653:AI653,"A")+COUNTIF(E653:AI653,"B")+COUNTIF(E653:AI653,"C")+COUNTIF(E653:AI653,"D")+COUNTIF(E653:AI653,"E")+COUNTIF(E653:AI653,"F")+COUNTIF(E653:AI653,"M")+COUNTIF(E653:AI653,"AB")+COUNTIF(E653:AI653,"UZ")+COUNTIF(E653:AI653,"G")+(COUNTIF(E653:AI653,"RT.")/2)+(COUNTIF(E653:AI653,"ÇRT.")/2)</f>
      </c>
      <c r="AO653" s="1">
        <f>=COUNTIF(E653:AI653,"O")</f>
      </c>
      <c r="AP653" s="1">
        <f>=COUNTIF(E653:AI653,"RT")+(COUNTIF(E653:AI653,"RT.")/2)</f>
      </c>
      <c r="AQ653" s="1">
        <f>=COUNTIF(E653:AI653,"ÇRT")+(COUNTIF(E653:AI653,"ÇRT.")/2)</f>
      </c>
      <c r="AR653" s="1">
        <f>=COUNTIF(E653:AI653,"ÇHT")</f>
      </c>
      <c r="AS653" s="1">
        <f>=COUNTIF(E653:AI653,"Ö")+COUNTIF(E653:AI653,"T")</f>
      </c>
      <c r="AT653" s="1">
        <f>=COUNTIF(E653:AI653,"Y")</f>
      </c>
      <c r="AU653" s="1">
        <f>=COUNTIF(E653:AI653,"R.")</f>
      </c>
      <c r="AV653" s="1">
        <f>=COUNTIF(E653:AI653,"Ü")</f>
      </c>
      <c r="AW653" s="1">
        <f>=COUNTIF(E653:AI653,"R")</f>
      </c>
      <c r="AX653" s="1">
        <f>=COUNTIF(E653:AI653,"DV")</f>
      </c>
      <c r="AY653" s="1">
        <f>=+AN653+AO653+AP653+AQ653+AR653+AS653+AT653+AU653</f>
      </c>
    </row>
    <row r="654" ht="16" customHeight="1" spans="1:51" x14ac:dyDescent="0.25">
      <c r="A654" s="45"/>
      <c r="B654" s="46"/>
      <c r="C654" s="46"/>
      <c r="D654" s="46" t="s">
        <v>33</v>
      </c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  <c r="AC654" s="46"/>
      <c r="AD654" s="46"/>
      <c r="AE654" s="46"/>
      <c r="AF654" s="46"/>
      <c r="AG654" s="46"/>
      <c r="AH654" s="46"/>
      <c r="AI654" s="46"/>
      <c r="AJ654" s="46"/>
      <c r="AK654" s="46"/>
      <c r="AL654" s="46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</row>
    <row r="655" ht="16" customHeight="1" spans="1:51" x14ac:dyDescent="0.25">
      <c r="A655" s="45"/>
      <c r="B655" s="46" t="s">
        <v>696</v>
      </c>
      <c r="C655" s="46" t="s">
        <v>697</v>
      </c>
      <c r="D655" s="46" t="s">
        <v>29</v>
      </c>
      <c r="E655" s="46" t="s">
        <v>36</v>
      </c>
      <c r="F655" s="46" t="s">
        <v>36</v>
      </c>
      <c r="G655" s="46" t="s">
        <v>36</v>
      </c>
      <c r="H655" s="46" t="s">
        <v>37</v>
      </c>
      <c r="I655" s="46" t="s">
        <v>36</v>
      </c>
      <c r="J655" s="46" t="s">
        <v>36</v>
      </c>
      <c r="K655" s="46" t="s">
        <v>36</v>
      </c>
      <c r="L655" s="46" t="s">
        <v>36</v>
      </c>
      <c r="M655" s="46" t="s">
        <v>36</v>
      </c>
      <c r="N655" s="46" t="s">
        <v>36</v>
      </c>
      <c r="O655" s="46" t="s">
        <v>36</v>
      </c>
      <c r="P655" s="46" t="s">
        <v>36</v>
      </c>
      <c r="Q655" s="46" t="s">
        <v>36</v>
      </c>
      <c r="R655" s="46" t="s">
        <v>37</v>
      </c>
      <c r="S655" s="46" t="s">
        <v>36</v>
      </c>
      <c r="T655" s="46" t="s">
        <v>36</v>
      </c>
      <c r="U655" s="46" t="s">
        <v>36</v>
      </c>
      <c r="V655" s="46" t="s">
        <v>36</v>
      </c>
      <c r="W655" s="46" t="s">
        <v>36</v>
      </c>
      <c r="X655" s="46" t="s">
        <v>36</v>
      </c>
      <c r="Y655" s="46" t="s">
        <v>36</v>
      </c>
      <c r="Z655" s="46" t="s">
        <v>36</v>
      </c>
      <c r="AA655" s="46" t="s">
        <v>36</v>
      </c>
      <c r="AB655" s="46" t="s">
        <v>36</v>
      </c>
      <c r="AC655" s="46" t="s">
        <v>37</v>
      </c>
      <c r="AD655" s="46" t="s">
        <v>36</v>
      </c>
      <c r="AE655" s="46" t="s">
        <v>36</v>
      </c>
      <c r="AF655" s="46" t="s">
        <v>36</v>
      </c>
      <c r="AG655" s="46" t="s">
        <v>37</v>
      </c>
      <c r="AH655" s="46" t="s">
        <v>43</v>
      </c>
      <c r="AI655" s="46" t="s">
        <v>36</v>
      </c>
      <c r="AJ655" s="46">
        <f>=SUM(E656:AI656)</f>
      </c>
      <c r="AK655" s="46">
        <f>=+AY655</f>
      </c>
      <c r="AL655" s="46"/>
      <c r="AM655" s="1"/>
      <c r="AN655" s="1">
        <f>=COUNTIF(E655:AI655,"A")+COUNTIF(E655:AI655,"B")+COUNTIF(E655:AI655,"C")+COUNTIF(E655:AI655,"D")+COUNTIF(E655:AI655,"E")+COUNTIF(E655:AI655,"F")+COUNTIF(E655:AI655,"M")+COUNTIF(E655:AI655,"AB")+COUNTIF(E655:AI655,"UZ")+COUNTIF(E655:AI655,"G")+(COUNTIF(E655:AI655,"RT.")/2)+(COUNTIF(E655:AI655,"ÇRT.")/2)</f>
      </c>
      <c r="AO655" s="1">
        <f>=COUNTIF(E655:AI655,"O")</f>
      </c>
      <c r="AP655" s="1">
        <f>=COUNTIF(E655:AI655,"RT")+(COUNTIF(E655:AI655,"RT.")/2)</f>
      </c>
      <c r="AQ655" s="1">
        <f>=COUNTIF(E655:AI655,"ÇRT")+(COUNTIF(E655:AI655,"ÇRT.")/2)</f>
      </c>
      <c r="AR655" s="1">
        <f>=COUNTIF(E655:AI655,"ÇHT")</f>
      </c>
      <c r="AS655" s="1">
        <f>=COUNTIF(E655:AI655,"Ö")+COUNTIF(E655:AI655,"T")</f>
      </c>
      <c r="AT655" s="1">
        <f>=COUNTIF(E655:AI655,"Y")</f>
      </c>
      <c r="AU655" s="1">
        <f>=COUNTIF(E655:AI655,"R.")</f>
      </c>
      <c r="AV655" s="1">
        <f>=COUNTIF(E655:AI655,"Ü")</f>
      </c>
      <c r="AW655" s="1">
        <f>=COUNTIF(E655:AI655,"R")</f>
      </c>
      <c r="AX655" s="1">
        <f>=COUNTIF(E655:AI655,"DV")</f>
      </c>
      <c r="AY655" s="1">
        <f>=+AN655+AO655+AP655+AQ655+AR655+AS655+AT655+AU655</f>
      </c>
    </row>
    <row r="656" ht="16" customHeight="1" spans="1:51" x14ac:dyDescent="0.25">
      <c r="A656" s="45"/>
      <c r="B656" s="46"/>
      <c r="C656" s="46"/>
      <c r="D656" s="46" t="s">
        <v>33</v>
      </c>
      <c r="E656" s="46"/>
      <c r="F656" s="46"/>
      <c r="G656" s="46">
        <v>1</v>
      </c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>
        <v>1</v>
      </c>
      <c r="U656" s="46"/>
      <c r="V656" s="46"/>
      <c r="W656" s="46"/>
      <c r="X656" s="46"/>
      <c r="Y656" s="46">
        <v>1</v>
      </c>
      <c r="Z656" s="46"/>
      <c r="AA656" s="46"/>
      <c r="AB656" s="46"/>
      <c r="AC656" s="46"/>
      <c r="AD656" s="46"/>
      <c r="AE656" s="46"/>
      <c r="AF656" s="46">
        <v>1</v>
      </c>
      <c r="AG656" s="46"/>
      <c r="AH656" s="46"/>
      <c r="AI656" s="46"/>
      <c r="AJ656" s="46"/>
      <c r="AK656" s="46"/>
      <c r="AL656" s="46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</row>
    <row r="657" ht="16" customHeight="1" spans="1:51" x14ac:dyDescent="0.25">
      <c r="A657" s="45"/>
      <c r="B657" s="46" t="s">
        <v>698</v>
      </c>
      <c r="C657" s="46" t="s">
        <v>699</v>
      </c>
      <c r="D657" s="46" t="s">
        <v>29</v>
      </c>
      <c r="E657" s="46" t="s">
        <v>37</v>
      </c>
      <c r="F657" s="46" t="s">
        <v>46</v>
      </c>
      <c r="G657" s="46" t="s">
        <v>46</v>
      </c>
      <c r="H657" s="46" t="s">
        <v>46</v>
      </c>
      <c r="I657" s="46" t="s">
        <v>46</v>
      </c>
      <c r="J657" s="46" t="s">
        <v>46</v>
      </c>
      <c r="K657" s="46" t="s">
        <v>46</v>
      </c>
      <c r="L657" s="46" t="s">
        <v>37</v>
      </c>
      <c r="M657" s="46" t="s">
        <v>46</v>
      </c>
      <c r="N657" s="46" t="s">
        <v>46</v>
      </c>
      <c r="O657" s="46" t="s">
        <v>46</v>
      </c>
      <c r="P657" s="46" t="s">
        <v>46</v>
      </c>
      <c r="Q657" s="46" t="s">
        <v>46</v>
      </c>
      <c r="R657" s="46" t="s">
        <v>46</v>
      </c>
      <c r="S657" s="46" t="s">
        <v>37</v>
      </c>
      <c r="T657" s="46" t="s">
        <v>46</v>
      </c>
      <c r="U657" s="46" t="s">
        <v>46</v>
      </c>
      <c r="V657" s="46" t="s">
        <v>46</v>
      </c>
      <c r="W657" s="46" t="s">
        <v>46</v>
      </c>
      <c r="X657" s="46" t="s">
        <v>46</v>
      </c>
      <c r="Y657" s="46" t="s">
        <v>37</v>
      </c>
      <c r="Z657" s="46" t="s">
        <v>46</v>
      </c>
      <c r="AA657" s="46" t="s">
        <v>46</v>
      </c>
      <c r="AB657" s="46" t="s">
        <v>46</v>
      </c>
      <c r="AC657" s="46" t="s">
        <v>46</v>
      </c>
      <c r="AD657" s="46" t="s">
        <v>46</v>
      </c>
      <c r="AE657" s="46" t="s">
        <v>46</v>
      </c>
      <c r="AF657" s="46" t="s">
        <v>46</v>
      </c>
      <c r="AG657" s="46" t="s">
        <v>46</v>
      </c>
      <c r="AH657" s="46" t="s">
        <v>43</v>
      </c>
      <c r="AI657" s="46" t="s">
        <v>37</v>
      </c>
      <c r="AJ657" s="46">
        <f>=SUM(E658:AI658)</f>
      </c>
      <c r="AK657" s="46">
        <f>=+AY657</f>
      </c>
      <c r="AL657" s="46"/>
      <c r="AM657" s="1"/>
      <c r="AN657" s="1">
        <f>=COUNTIF(E657:AI657,"A")+COUNTIF(E657:AI657,"B")+COUNTIF(E657:AI657,"C")+COUNTIF(E657:AI657,"D")+COUNTIF(E657:AI657,"E")+COUNTIF(E657:AI657,"F")+COUNTIF(E657:AI657,"M")+COUNTIF(E657:AI657,"AB")+COUNTIF(E657:AI657,"UZ")+COUNTIF(E657:AI657,"G")+(COUNTIF(E657:AI657,"RT.")/2)+(COUNTIF(E657:AI657,"ÇRT.")/2)</f>
      </c>
      <c r="AO657" s="1">
        <f>=COUNTIF(E657:AI657,"O")</f>
      </c>
      <c r="AP657" s="1">
        <f>=COUNTIF(E657:AI657,"RT")+(COUNTIF(E657:AI657,"RT.")/2)</f>
      </c>
      <c r="AQ657" s="1">
        <f>=COUNTIF(E657:AI657,"ÇRT")+(COUNTIF(E657:AI657,"ÇRT.")/2)</f>
      </c>
      <c r="AR657" s="1">
        <f>=COUNTIF(E657:AI657,"ÇHT")</f>
      </c>
      <c r="AS657" s="1">
        <f>=COUNTIF(E657:AI657,"Ö")+COUNTIF(E657:AI657,"T")</f>
      </c>
      <c r="AT657" s="1">
        <f>=COUNTIF(E657:AI657,"Y")</f>
      </c>
      <c r="AU657" s="1">
        <f>=COUNTIF(E657:AI657,"R.")</f>
      </c>
      <c r="AV657" s="1">
        <f>=COUNTIF(E657:AI657,"Ü")</f>
      </c>
      <c r="AW657" s="1">
        <f>=COUNTIF(E657:AI657,"R")</f>
      </c>
      <c r="AX657" s="1">
        <f>=COUNTIF(E657:AI657,"DV")</f>
      </c>
      <c r="AY657" s="1">
        <f>=+AN657+AO657+AP657+AQ657+AR657+AS657+AT657+AU657</f>
      </c>
    </row>
    <row r="658" ht="16" customHeight="1" spans="1:51" x14ac:dyDescent="0.25">
      <c r="A658" s="45"/>
      <c r="B658" s="46"/>
      <c r="C658" s="46"/>
      <c r="D658" s="46" t="s">
        <v>33</v>
      </c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>
        <v>0</v>
      </c>
      <c r="Z658" s="46"/>
      <c r="AA658" s="46"/>
      <c r="AB658" s="46"/>
      <c r="AC658" s="46"/>
      <c r="AD658" s="46"/>
      <c r="AE658" s="46"/>
      <c r="AF658" s="46">
        <v>0</v>
      </c>
      <c r="AG658" s="46">
        <v>1</v>
      </c>
      <c r="AH658" s="46"/>
      <c r="AI658" s="46"/>
      <c r="AJ658" s="46"/>
      <c r="AK658" s="46"/>
      <c r="AL658" s="46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</row>
    <row r="659" ht="16" customHeight="1" spans="1:51" x14ac:dyDescent="0.25">
      <c r="A659" s="45"/>
      <c r="B659" s="46" t="s">
        <v>700</v>
      </c>
      <c r="C659" s="46" t="s">
        <v>701</v>
      </c>
      <c r="D659" s="46" t="s">
        <v>29</v>
      </c>
      <c r="E659" s="46" t="s">
        <v>37</v>
      </c>
      <c r="F659" s="46" t="s">
        <v>30</v>
      </c>
      <c r="G659" s="46" t="s">
        <v>30</v>
      </c>
      <c r="H659" s="46" t="s">
        <v>30</v>
      </c>
      <c r="I659" s="46" t="s">
        <v>30</v>
      </c>
      <c r="J659" s="46" t="s">
        <v>30</v>
      </c>
      <c r="K659" s="46" t="s">
        <v>37</v>
      </c>
      <c r="L659" s="46" t="s">
        <v>30</v>
      </c>
      <c r="M659" s="46" t="s">
        <v>30</v>
      </c>
      <c r="N659" s="46" t="s">
        <v>30</v>
      </c>
      <c r="O659" s="46" t="s">
        <v>30</v>
      </c>
      <c r="P659" s="46" t="s">
        <v>30</v>
      </c>
      <c r="Q659" s="46" t="s">
        <v>30</v>
      </c>
      <c r="R659" s="46" t="s">
        <v>37</v>
      </c>
      <c r="S659" s="46" t="s">
        <v>36</v>
      </c>
      <c r="T659" s="46" t="s">
        <v>36</v>
      </c>
      <c r="U659" s="46" t="s">
        <v>36</v>
      </c>
      <c r="V659" s="46" t="s">
        <v>36</v>
      </c>
      <c r="W659" s="46" t="s">
        <v>36</v>
      </c>
      <c r="X659" s="46" t="s">
        <v>36</v>
      </c>
      <c r="Y659" s="46" t="s">
        <v>37</v>
      </c>
      <c r="Z659" s="46" t="s">
        <v>36</v>
      </c>
      <c r="AA659" s="46" t="s">
        <v>36</v>
      </c>
      <c r="AB659" s="46" t="s">
        <v>36</v>
      </c>
      <c r="AC659" s="46" t="s">
        <v>36</v>
      </c>
      <c r="AD659" s="46" t="s">
        <v>36</v>
      </c>
      <c r="AE659" s="46" t="s">
        <v>36</v>
      </c>
      <c r="AF659" s="46" t="s">
        <v>37</v>
      </c>
      <c r="AG659" s="46" t="s">
        <v>30</v>
      </c>
      <c r="AH659" s="46" t="s">
        <v>43</v>
      </c>
      <c r="AI659" s="46" t="s">
        <v>30</v>
      </c>
      <c r="AJ659" s="46">
        <f>=SUM(E660:AI660)</f>
      </c>
      <c r="AK659" s="46">
        <f>=+AY659</f>
      </c>
      <c r="AL659" s="46"/>
      <c r="AM659" s="1"/>
      <c r="AN659" s="1">
        <f>=COUNTIF(E659:AI659,"A")+COUNTIF(E659:AI659,"B")+COUNTIF(E659:AI659,"C")+COUNTIF(E659:AI659,"D")+COUNTIF(E659:AI659,"E")+COUNTIF(E659:AI659,"F")+COUNTIF(E659:AI659,"M")+COUNTIF(E659:AI659,"AB")+COUNTIF(E659:AI659,"UZ")+COUNTIF(E659:AI659,"G")+(COUNTIF(E659:AI659,"RT.")/2)+(COUNTIF(E659:AI659,"ÇRT.")/2)</f>
      </c>
      <c r="AO659" s="1">
        <f>=COUNTIF(E659:AI659,"O")</f>
      </c>
      <c r="AP659" s="1">
        <f>=COUNTIF(E659:AI659,"RT")+(COUNTIF(E659:AI659,"RT.")/2)</f>
      </c>
      <c r="AQ659" s="1">
        <f>=COUNTIF(E659:AI659,"ÇRT")+(COUNTIF(E659:AI659,"ÇRT.")/2)</f>
      </c>
      <c r="AR659" s="1">
        <f>=COUNTIF(E659:AI659,"ÇHT")</f>
      </c>
      <c r="AS659" s="1">
        <f>=COUNTIF(E659:AI659,"Ö")+COUNTIF(E659:AI659,"T")</f>
      </c>
      <c r="AT659" s="1">
        <f>=COUNTIF(E659:AI659,"Y")</f>
      </c>
      <c r="AU659" s="1">
        <f>=COUNTIF(E659:AI659,"R.")</f>
      </c>
      <c r="AV659" s="1">
        <f>=COUNTIF(E659:AI659,"Ü")</f>
      </c>
      <c r="AW659" s="1">
        <f>=COUNTIF(E659:AI659,"R")</f>
      </c>
      <c r="AX659" s="1">
        <f>=COUNTIF(E659:AI659,"DV")</f>
      </c>
      <c r="AY659" s="1">
        <f>=+AN659+AO659+AP659+AQ659+AR659+AS659+AT659+AU659</f>
      </c>
    </row>
    <row r="660" ht="16" customHeight="1" spans="1:51" x14ac:dyDescent="0.25">
      <c r="A660" s="45"/>
      <c r="B660" s="46"/>
      <c r="C660" s="46"/>
      <c r="D660" s="46" t="s">
        <v>33</v>
      </c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  <c r="AC660" s="46"/>
      <c r="AD660" s="46"/>
      <c r="AE660" s="46"/>
      <c r="AF660" s="46"/>
      <c r="AG660" s="46"/>
      <c r="AH660" s="46">
        <v>2</v>
      </c>
      <c r="AI660" s="46"/>
      <c r="AJ660" s="46"/>
      <c r="AK660" s="46"/>
      <c r="AL660" s="46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</row>
    <row r="661" ht="16" customHeight="1" spans="1:51" x14ac:dyDescent="0.25">
      <c r="A661" s="45"/>
      <c r="B661" s="46" t="s">
        <v>702</v>
      </c>
      <c r="C661" s="46" t="s">
        <v>703</v>
      </c>
      <c r="D661" s="46" t="s">
        <v>29</v>
      </c>
      <c r="E661" s="46" t="s">
        <v>36</v>
      </c>
      <c r="F661" s="46" t="s">
        <v>36</v>
      </c>
      <c r="G661" s="46" t="s">
        <v>36</v>
      </c>
      <c r="H661" s="46" t="s">
        <v>36</v>
      </c>
      <c r="I661" s="46" t="s">
        <v>36</v>
      </c>
      <c r="J661" s="46" t="s">
        <v>37</v>
      </c>
      <c r="K661" s="46" t="s">
        <v>36</v>
      </c>
      <c r="L661" s="46" t="s">
        <v>36</v>
      </c>
      <c r="M661" s="46" t="s">
        <v>36</v>
      </c>
      <c r="N661" s="46" t="s">
        <v>36</v>
      </c>
      <c r="O661" s="46" t="s">
        <v>36</v>
      </c>
      <c r="P661" s="46" t="s">
        <v>36</v>
      </c>
      <c r="Q661" s="46" t="s">
        <v>37</v>
      </c>
      <c r="R661" s="46" t="s">
        <v>30</v>
      </c>
      <c r="S661" s="46" t="s">
        <v>30</v>
      </c>
      <c r="T661" s="46" t="s">
        <v>30</v>
      </c>
      <c r="U661" s="46" t="s">
        <v>30</v>
      </c>
      <c r="V661" s="46" t="s">
        <v>30</v>
      </c>
      <c r="W661" s="46" t="s">
        <v>30</v>
      </c>
      <c r="X661" s="46" t="s">
        <v>37</v>
      </c>
      <c r="Y661" s="46" t="s">
        <v>30</v>
      </c>
      <c r="Z661" s="46" t="s">
        <v>30</v>
      </c>
      <c r="AA661" s="46" t="s">
        <v>30</v>
      </c>
      <c r="AB661" s="46" t="s">
        <v>30</v>
      </c>
      <c r="AC661" s="46" t="s">
        <v>30</v>
      </c>
      <c r="AD661" s="46" t="s">
        <v>30</v>
      </c>
      <c r="AE661" s="46" t="s">
        <v>37</v>
      </c>
      <c r="AF661" s="46" t="s">
        <v>36</v>
      </c>
      <c r="AG661" s="46" t="s">
        <v>36</v>
      </c>
      <c r="AH661" s="46" t="s">
        <v>43</v>
      </c>
      <c r="AI661" s="46" t="s">
        <v>36</v>
      </c>
      <c r="AJ661" s="46">
        <f>=SUM(E662:AI662)</f>
      </c>
      <c r="AK661" s="46">
        <f>=+AY661</f>
      </c>
      <c r="AL661" s="46"/>
      <c r="AM661" s="1"/>
      <c r="AN661" s="1">
        <f>=COUNTIF(E661:AI661,"A")+COUNTIF(E661:AI661,"B")+COUNTIF(E661:AI661,"C")+COUNTIF(E661:AI661,"D")+COUNTIF(E661:AI661,"E")+COUNTIF(E661:AI661,"F")+COUNTIF(E661:AI661,"M")+COUNTIF(E661:AI661,"AB")+COUNTIF(E661:AI661,"UZ")+COUNTIF(E661:AI661,"G")+(COUNTIF(E661:AI661,"RT.")/2)+(COUNTIF(E661:AI661,"ÇRT.")/2)</f>
      </c>
      <c r="AO661" s="1">
        <f>=COUNTIF(E661:AI661,"O")</f>
      </c>
      <c r="AP661" s="1">
        <f>=COUNTIF(E661:AI661,"RT")+(COUNTIF(E661:AI661,"RT.")/2)</f>
      </c>
      <c r="AQ661" s="1">
        <f>=COUNTIF(E661:AI661,"ÇRT")+(COUNTIF(E661:AI661,"ÇRT.")/2)</f>
      </c>
      <c r="AR661" s="1">
        <f>=COUNTIF(E661:AI661,"ÇHT")</f>
      </c>
      <c r="AS661" s="1">
        <f>=COUNTIF(E661:AI661,"Ö")+COUNTIF(E661:AI661,"T")</f>
      </c>
      <c r="AT661" s="1">
        <f>=COUNTIF(E661:AI661,"Y")</f>
      </c>
      <c r="AU661" s="1">
        <f>=COUNTIF(E661:AI661,"R.")</f>
      </c>
      <c r="AV661" s="1">
        <f>=COUNTIF(E661:AI661,"Ü")</f>
      </c>
      <c r="AW661" s="1">
        <f>=COUNTIF(E661:AI661,"R")</f>
      </c>
      <c r="AX661" s="1">
        <f>=COUNTIF(E661:AI661,"DV")</f>
      </c>
      <c r="AY661" s="1">
        <f>=+AN661+AO661+AP661+AQ661+AR661+AS661+AT661+AU661</f>
      </c>
    </row>
    <row r="662" ht="16" customHeight="1" spans="1:51" x14ac:dyDescent="0.25">
      <c r="A662" s="45"/>
      <c r="B662" s="46"/>
      <c r="C662" s="46"/>
      <c r="D662" s="46" t="s">
        <v>33</v>
      </c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  <c r="AC662" s="46"/>
      <c r="AD662" s="46"/>
      <c r="AE662" s="46"/>
      <c r="AF662" s="46">
        <v>2</v>
      </c>
      <c r="AG662" s="46">
        <v>3</v>
      </c>
      <c r="AH662" s="46">
        <v>2</v>
      </c>
      <c r="AI662" s="46"/>
      <c r="AJ662" s="46"/>
      <c r="AK662" s="46"/>
      <c r="AL662" s="46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</row>
    <row r="663" ht="16" customHeight="1" spans="1:51" x14ac:dyDescent="0.25">
      <c r="A663" s="45"/>
      <c r="B663" s="46" t="s">
        <v>704</v>
      </c>
      <c r="C663" s="46" t="s">
        <v>705</v>
      </c>
      <c r="D663" s="46" t="s">
        <v>29</v>
      </c>
      <c r="E663" s="46" t="s">
        <v>36</v>
      </c>
      <c r="F663" s="46" t="s">
        <v>37</v>
      </c>
      <c r="G663" s="46" t="s">
        <v>36</v>
      </c>
      <c r="H663" s="46" t="s">
        <v>36</v>
      </c>
      <c r="I663" s="46" t="s">
        <v>36</v>
      </c>
      <c r="J663" s="46" t="s">
        <v>36</v>
      </c>
      <c r="K663" s="46" t="s">
        <v>36</v>
      </c>
      <c r="L663" s="46" t="s">
        <v>36</v>
      </c>
      <c r="M663" s="46" t="s">
        <v>37</v>
      </c>
      <c r="N663" s="46" t="s">
        <v>36</v>
      </c>
      <c r="O663" s="46" t="s">
        <v>36</v>
      </c>
      <c r="P663" s="46" t="s">
        <v>36</v>
      </c>
      <c r="Q663" s="46" t="s">
        <v>36</v>
      </c>
      <c r="R663" s="46" t="s">
        <v>36</v>
      </c>
      <c r="S663" s="46" t="s">
        <v>36</v>
      </c>
      <c r="T663" s="46" t="s">
        <v>37</v>
      </c>
      <c r="U663" s="46" t="s">
        <v>36</v>
      </c>
      <c r="V663" s="46" t="s">
        <v>36</v>
      </c>
      <c r="W663" s="46" t="s">
        <v>36</v>
      </c>
      <c r="X663" s="46" t="s">
        <v>36</v>
      </c>
      <c r="Y663" s="46" t="s">
        <v>31</v>
      </c>
      <c r="Z663" s="46" t="s">
        <v>36</v>
      </c>
      <c r="AA663" s="46" t="s">
        <v>37</v>
      </c>
      <c r="AB663" s="46" t="s">
        <v>36</v>
      </c>
      <c r="AC663" s="46" t="s">
        <v>36</v>
      </c>
      <c r="AD663" s="46" t="s">
        <v>36</v>
      </c>
      <c r="AE663" s="46" t="s">
        <v>36</v>
      </c>
      <c r="AF663" s="46" t="s">
        <v>36</v>
      </c>
      <c r="AG663" s="46" t="s">
        <v>36</v>
      </c>
      <c r="AH663" s="46" t="s">
        <v>222</v>
      </c>
      <c r="AI663" s="46" t="s">
        <v>36</v>
      </c>
      <c r="AJ663" s="46">
        <f>=SUM(E664:AI664)</f>
      </c>
      <c r="AK663" s="46">
        <f>=+AY663</f>
      </c>
      <c r="AL663" s="46"/>
      <c r="AM663" s="1"/>
      <c r="AN663" s="1">
        <f>=COUNTIF(E663:AI663,"A")+COUNTIF(E663:AI663,"B")+COUNTIF(E663:AI663,"C")+COUNTIF(E663:AI663,"D")+COUNTIF(E663:AI663,"E")+COUNTIF(E663:AI663,"F")+COUNTIF(E663:AI663,"M")+COUNTIF(E663:AI663,"AB")+COUNTIF(E663:AI663,"UZ")+COUNTIF(E663:AI663,"G")+(COUNTIF(E663:AI663,"RT.")/2)+(COUNTIF(E663:AI663,"ÇRT.")/2)</f>
      </c>
      <c r="AO663" s="1">
        <f>=COUNTIF(E663:AI663,"O")</f>
      </c>
      <c r="AP663" s="1">
        <f>=COUNTIF(E663:AI663,"RT")+(COUNTIF(E663:AI663,"RT.")/2)</f>
      </c>
      <c r="AQ663" s="1">
        <f>=COUNTIF(E663:AI663,"ÇRT")+(COUNTIF(E663:AI663,"ÇRT.")/2)</f>
      </c>
      <c r="AR663" s="1">
        <f>=COUNTIF(E663:AI663,"ÇHT")</f>
      </c>
      <c r="AS663" s="1">
        <f>=COUNTIF(E663:AI663,"Ö")+COUNTIF(E663:AI663,"T")</f>
      </c>
      <c r="AT663" s="1">
        <f>=COUNTIF(E663:AI663,"Y")</f>
      </c>
      <c r="AU663" s="1">
        <f>=COUNTIF(E663:AI663,"R.")</f>
      </c>
      <c r="AV663" s="1">
        <f>=COUNTIF(E663:AI663,"Ü")</f>
      </c>
      <c r="AW663" s="1">
        <f>=COUNTIF(E663:AI663,"R")</f>
      </c>
      <c r="AX663" s="1">
        <f>=COUNTIF(E663:AI663,"DV")</f>
      </c>
      <c r="AY663" s="1">
        <f>=+AN663+AO663+AP663+AQ663+AR663+AS663+AT663+AU663</f>
      </c>
    </row>
    <row r="664" ht="16" customHeight="1" spans="1:51" x14ac:dyDescent="0.25">
      <c r="A664" s="45"/>
      <c r="B664" s="46"/>
      <c r="C664" s="46"/>
      <c r="D664" s="46" t="s">
        <v>33</v>
      </c>
      <c r="E664" s="46"/>
      <c r="F664" s="46"/>
      <c r="G664" s="46">
        <v>2</v>
      </c>
      <c r="H664" s="46"/>
      <c r="I664" s="46"/>
      <c r="J664" s="46"/>
      <c r="K664" s="46"/>
      <c r="L664" s="46">
        <v>1</v>
      </c>
      <c r="M664" s="46"/>
      <c r="N664" s="46">
        <v>1</v>
      </c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  <c r="AC664" s="46"/>
      <c r="AD664" s="46"/>
      <c r="AE664" s="46"/>
      <c r="AF664" s="46"/>
      <c r="AG664" s="46">
        <v>3</v>
      </c>
      <c r="AH664" s="46">
        <v>2</v>
      </c>
      <c r="AI664" s="46"/>
      <c r="AJ664" s="46"/>
      <c r="AK664" s="46"/>
      <c r="AL664" s="46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</row>
    <row r="665" ht="16" customHeight="1" spans="1:51" x14ac:dyDescent="0.25">
      <c r="A665" s="45"/>
      <c r="B665" s="46" t="s">
        <v>706</v>
      </c>
      <c r="C665" s="46" t="s">
        <v>707</v>
      </c>
      <c r="D665" s="46" t="s">
        <v>29</v>
      </c>
      <c r="E665" s="46" t="s">
        <v>31</v>
      </c>
      <c r="F665" s="46" t="s">
        <v>36</v>
      </c>
      <c r="G665" s="46" t="s">
        <v>36</v>
      </c>
      <c r="H665" s="46" t="s">
        <v>36</v>
      </c>
      <c r="I665" s="46" t="s">
        <v>36</v>
      </c>
      <c r="J665" s="46" t="s">
        <v>37</v>
      </c>
      <c r="K665" s="46" t="s">
        <v>36</v>
      </c>
      <c r="L665" s="46" t="s">
        <v>36</v>
      </c>
      <c r="M665" s="46" t="s">
        <v>36</v>
      </c>
      <c r="N665" s="46" t="s">
        <v>36</v>
      </c>
      <c r="O665" s="46" t="s">
        <v>36</v>
      </c>
      <c r="P665" s="46" t="s">
        <v>36</v>
      </c>
      <c r="Q665" s="46" t="s">
        <v>36</v>
      </c>
      <c r="R665" s="46" t="s">
        <v>36</v>
      </c>
      <c r="S665" s="46" t="s">
        <v>37</v>
      </c>
      <c r="T665" s="46" t="s">
        <v>36</v>
      </c>
      <c r="U665" s="46" t="s">
        <v>36</v>
      </c>
      <c r="V665" s="46" t="s">
        <v>36</v>
      </c>
      <c r="W665" s="46" t="s">
        <v>36</v>
      </c>
      <c r="X665" s="46" t="s">
        <v>36</v>
      </c>
      <c r="Y665" s="46" t="s">
        <v>36</v>
      </c>
      <c r="Z665" s="46" t="s">
        <v>37</v>
      </c>
      <c r="AA665" s="46" t="s">
        <v>36</v>
      </c>
      <c r="AB665" s="46" t="s">
        <v>36</v>
      </c>
      <c r="AC665" s="46" t="s">
        <v>36</v>
      </c>
      <c r="AD665" s="46" t="s">
        <v>36</v>
      </c>
      <c r="AE665" s="46" t="s">
        <v>36</v>
      </c>
      <c r="AF665" s="46" t="s">
        <v>36</v>
      </c>
      <c r="AG665" s="46" t="s">
        <v>37</v>
      </c>
      <c r="AH665" s="46" t="s">
        <v>43</v>
      </c>
      <c r="AI665" s="46" t="s">
        <v>36</v>
      </c>
      <c r="AJ665" s="46">
        <f>=SUM(E666:AI666)</f>
      </c>
      <c r="AK665" s="46">
        <f>=+AY665</f>
      </c>
      <c r="AL665" s="46"/>
      <c r="AM665" s="1"/>
      <c r="AN665" s="1">
        <f>=COUNTIF(E665:AI665,"A")+COUNTIF(E665:AI665,"B")+COUNTIF(E665:AI665,"C")+COUNTIF(E665:AI665,"D")+COUNTIF(E665:AI665,"E")+COUNTIF(E665:AI665,"F")+COUNTIF(E665:AI665,"M")+COUNTIF(E665:AI665,"AB")+COUNTIF(E665:AI665,"UZ")+COUNTIF(E665:AI665,"G")+(COUNTIF(E665:AI665,"RT.")/2)+(COUNTIF(E665:AI665,"ÇRT.")/2)</f>
      </c>
      <c r="AO665" s="1">
        <f>=COUNTIF(E665:AI665,"O")</f>
      </c>
      <c r="AP665" s="1">
        <f>=COUNTIF(E665:AI665,"RT")+(COUNTIF(E665:AI665,"RT.")/2)</f>
      </c>
      <c r="AQ665" s="1">
        <f>=COUNTIF(E665:AI665,"ÇRT")+(COUNTIF(E665:AI665,"ÇRT.")/2)</f>
      </c>
      <c r="AR665" s="1">
        <f>=COUNTIF(E665:AI665,"ÇHT")</f>
      </c>
      <c r="AS665" s="1">
        <f>=COUNTIF(E665:AI665,"Ö")+COUNTIF(E665:AI665,"T")</f>
      </c>
      <c r="AT665" s="1">
        <f>=COUNTIF(E665:AI665,"Y")</f>
      </c>
      <c r="AU665" s="1">
        <f>=COUNTIF(E665:AI665,"R.")</f>
      </c>
      <c r="AV665" s="1">
        <f>=COUNTIF(E665:AI665,"Ü")</f>
      </c>
      <c r="AW665" s="1">
        <f>=COUNTIF(E665:AI665,"R")</f>
      </c>
      <c r="AX665" s="1">
        <f>=COUNTIF(E665:AI665,"DV")</f>
      </c>
      <c r="AY665" s="1">
        <f>=+AN665+AO665+AP665+AQ665+AR665+AS665+AT665+AU665</f>
      </c>
    </row>
    <row r="666" ht="16" customHeight="1" spans="1:51" x14ac:dyDescent="0.25">
      <c r="A666" s="45"/>
      <c r="B666" s="46"/>
      <c r="C666" s="46"/>
      <c r="D666" s="46" t="s">
        <v>33</v>
      </c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  <c r="AC666" s="46"/>
      <c r="AD666" s="46"/>
      <c r="AE666" s="46"/>
      <c r="AF666" s="46"/>
      <c r="AG666" s="46"/>
      <c r="AH666" s="46"/>
      <c r="AI666" s="46"/>
      <c r="AJ666" s="46"/>
      <c r="AK666" s="46"/>
      <c r="AL666" s="46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</row>
    <row r="667" ht="16" customHeight="1" spans="1:51" x14ac:dyDescent="0.25">
      <c r="A667" s="45"/>
      <c r="B667" s="46" t="s">
        <v>708</v>
      </c>
      <c r="C667" s="46" t="s">
        <v>709</v>
      </c>
      <c r="D667" s="46" t="s">
        <v>29</v>
      </c>
      <c r="E667" s="46" t="s">
        <v>36</v>
      </c>
      <c r="F667" s="46" t="s">
        <v>36</v>
      </c>
      <c r="G667" s="46" t="s">
        <v>36</v>
      </c>
      <c r="H667" s="46" t="s">
        <v>36</v>
      </c>
      <c r="I667" s="46" t="s">
        <v>36</v>
      </c>
      <c r="J667" s="46" t="s">
        <v>36</v>
      </c>
      <c r="K667" s="46" t="s">
        <v>37</v>
      </c>
      <c r="L667" s="46" t="s">
        <v>36</v>
      </c>
      <c r="M667" s="46" t="s">
        <v>36</v>
      </c>
      <c r="N667" s="46" t="s">
        <v>36</v>
      </c>
      <c r="O667" s="46" t="s">
        <v>36</v>
      </c>
      <c r="P667" s="46" t="s">
        <v>36</v>
      </c>
      <c r="Q667" s="46" t="s">
        <v>37</v>
      </c>
      <c r="R667" s="46" t="s">
        <v>36</v>
      </c>
      <c r="S667" s="46" t="s">
        <v>36</v>
      </c>
      <c r="T667" s="46" t="s">
        <v>36</v>
      </c>
      <c r="U667" s="46" t="s">
        <v>36</v>
      </c>
      <c r="V667" s="46" t="s">
        <v>36</v>
      </c>
      <c r="W667" s="46" t="s">
        <v>36</v>
      </c>
      <c r="X667" s="46" t="s">
        <v>36</v>
      </c>
      <c r="Y667" s="46" t="s">
        <v>222</v>
      </c>
      <c r="Z667" s="46" t="s">
        <v>36</v>
      </c>
      <c r="AA667" s="46" t="s">
        <v>36</v>
      </c>
      <c r="AB667" s="46" t="s">
        <v>36</v>
      </c>
      <c r="AC667" s="46" t="s">
        <v>36</v>
      </c>
      <c r="AD667" s="46" t="s">
        <v>36</v>
      </c>
      <c r="AE667" s="46" t="s">
        <v>36</v>
      </c>
      <c r="AF667" s="46" t="s">
        <v>37</v>
      </c>
      <c r="AG667" s="46" t="s">
        <v>36</v>
      </c>
      <c r="AH667" s="46" t="s">
        <v>43</v>
      </c>
      <c r="AI667" s="46" t="s">
        <v>36</v>
      </c>
      <c r="AJ667" s="46">
        <f>=SUM(E668:AI668)</f>
      </c>
      <c r="AK667" s="46">
        <f>=+AY667</f>
      </c>
      <c r="AL667" s="46"/>
      <c r="AM667" s="1"/>
      <c r="AN667" s="1">
        <f>=COUNTIF(E667:AI667,"A")+COUNTIF(E667:AI667,"B")+COUNTIF(E667:AI667,"C")+COUNTIF(E667:AI667,"D")+COUNTIF(E667:AI667,"E")+COUNTIF(E667:AI667,"F")+COUNTIF(E667:AI667,"M")+COUNTIF(E667:AI667,"AB")+COUNTIF(E667:AI667,"UZ")+COUNTIF(E667:AI667,"G")+(COUNTIF(E667:AI667,"RT.")/2)+(COUNTIF(E667:AI667,"ÇRT.")/2)</f>
      </c>
      <c r="AO667" s="1">
        <f>=COUNTIF(E667:AI667,"O")</f>
      </c>
      <c r="AP667" s="1">
        <f>=COUNTIF(E667:AI667,"RT")+(COUNTIF(E667:AI667,"RT.")/2)</f>
      </c>
      <c r="AQ667" s="1">
        <f>=COUNTIF(E667:AI667,"ÇRT")+(COUNTIF(E667:AI667,"ÇRT.")/2)</f>
      </c>
      <c r="AR667" s="1">
        <f>=COUNTIF(E667:AI667,"ÇHT")</f>
      </c>
      <c r="AS667" s="1">
        <f>=COUNTIF(E667:AI667,"Ö")+COUNTIF(E667:AI667,"T")</f>
      </c>
      <c r="AT667" s="1">
        <f>=COUNTIF(E667:AI667,"Y")</f>
      </c>
      <c r="AU667" s="1">
        <f>=COUNTIF(E667:AI667,"R.")</f>
      </c>
      <c r="AV667" s="1">
        <f>=COUNTIF(E667:AI667,"Ü")</f>
      </c>
      <c r="AW667" s="1">
        <f>=COUNTIF(E667:AI667,"R")</f>
      </c>
      <c r="AX667" s="1">
        <f>=COUNTIF(E667:AI667,"DV")</f>
      </c>
      <c r="AY667" s="1">
        <f>=+AN667+AO667+AP667+AQ667+AR667+AS667+AT667+AU667</f>
      </c>
    </row>
    <row r="668" ht="16" customHeight="1" spans="1:51" x14ac:dyDescent="0.25">
      <c r="A668" s="45"/>
      <c r="B668" s="46"/>
      <c r="C668" s="46"/>
      <c r="D668" s="46" t="s">
        <v>33</v>
      </c>
      <c r="E668" s="46"/>
      <c r="F668" s="46"/>
      <c r="G668" s="46"/>
      <c r="H668" s="46"/>
      <c r="I668" s="46"/>
      <c r="J668" s="46"/>
      <c r="K668" s="46"/>
      <c r="L668" s="46">
        <v>2</v>
      </c>
      <c r="M668" s="46">
        <v>1</v>
      </c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  <c r="AC668" s="46"/>
      <c r="AD668" s="46"/>
      <c r="AE668" s="46"/>
      <c r="AF668" s="46"/>
      <c r="AG668" s="46">
        <v>3</v>
      </c>
      <c r="AH668" s="46">
        <v>2</v>
      </c>
      <c r="AI668" s="46"/>
      <c r="AJ668" s="46"/>
      <c r="AK668" s="46"/>
      <c r="AL668" s="46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</row>
    <row r="669" ht="16" customHeight="1" spans="1:51" x14ac:dyDescent="0.25">
      <c r="A669" s="45"/>
      <c r="B669" s="46" t="s">
        <v>710</v>
      </c>
      <c r="C669" s="46" t="s">
        <v>711</v>
      </c>
      <c r="D669" s="46" t="s">
        <v>29</v>
      </c>
      <c r="E669" s="46" t="s">
        <v>36</v>
      </c>
      <c r="F669" s="46" t="s">
        <v>37</v>
      </c>
      <c r="G669" s="46" t="s">
        <v>36</v>
      </c>
      <c r="H669" s="46" t="s">
        <v>36</v>
      </c>
      <c r="I669" s="46" t="s">
        <v>36</v>
      </c>
      <c r="J669" s="46" t="s">
        <v>36</v>
      </c>
      <c r="K669" s="46" t="s">
        <v>36</v>
      </c>
      <c r="L669" s="46" t="s">
        <v>36</v>
      </c>
      <c r="M669" s="46" t="s">
        <v>222</v>
      </c>
      <c r="N669" s="46" t="s">
        <v>36</v>
      </c>
      <c r="O669" s="46" t="s">
        <v>36</v>
      </c>
      <c r="P669" s="46" t="s">
        <v>36</v>
      </c>
      <c r="Q669" s="46" t="s">
        <v>36</v>
      </c>
      <c r="R669" s="46" t="s">
        <v>36</v>
      </c>
      <c r="S669" s="46" t="s">
        <v>36</v>
      </c>
      <c r="T669" s="46" t="s">
        <v>37</v>
      </c>
      <c r="U669" s="46" t="s">
        <v>36</v>
      </c>
      <c r="V669" s="46" t="s">
        <v>36</v>
      </c>
      <c r="W669" s="46" t="s">
        <v>36</v>
      </c>
      <c r="X669" s="46" t="s">
        <v>36</v>
      </c>
      <c r="Y669" s="46" t="s">
        <v>36</v>
      </c>
      <c r="Z669" s="46" t="s">
        <v>36</v>
      </c>
      <c r="AA669" s="46" t="s">
        <v>37</v>
      </c>
      <c r="AB669" s="46" t="s">
        <v>36</v>
      </c>
      <c r="AC669" s="46" t="s">
        <v>37</v>
      </c>
      <c r="AD669" s="46" t="s">
        <v>36</v>
      </c>
      <c r="AE669" s="46" t="s">
        <v>36</v>
      </c>
      <c r="AF669" s="46" t="s">
        <v>36</v>
      </c>
      <c r="AG669" s="46" t="s">
        <v>36</v>
      </c>
      <c r="AH669" s="46" t="s">
        <v>43</v>
      </c>
      <c r="AI669" s="46" t="s">
        <v>36</v>
      </c>
      <c r="AJ669" s="46">
        <f>=SUM(E670:AI670)</f>
      </c>
      <c r="AK669" s="46">
        <f>=+AY669</f>
      </c>
      <c r="AL669" s="46"/>
      <c r="AM669" s="1"/>
      <c r="AN669" s="1">
        <f>=COUNTIF(E669:AI669,"A")+COUNTIF(E669:AI669,"B")+COUNTIF(E669:AI669,"C")+COUNTIF(E669:AI669,"D")+COUNTIF(E669:AI669,"E")+COUNTIF(E669:AI669,"F")+COUNTIF(E669:AI669,"M")+COUNTIF(E669:AI669,"AB")+COUNTIF(E669:AI669,"UZ")+COUNTIF(E669:AI669,"G")+(COUNTIF(E669:AI669,"RT.")/2)+(COUNTIF(E669:AI669,"ÇRT.")/2)</f>
      </c>
      <c r="AO669" s="1">
        <f>=COUNTIF(E669:AI669,"O")</f>
      </c>
      <c r="AP669" s="1">
        <f>=COUNTIF(E669:AI669,"RT")+(COUNTIF(E669:AI669,"RT.")/2)</f>
      </c>
      <c r="AQ669" s="1">
        <f>=COUNTIF(E669:AI669,"ÇRT")+(COUNTIF(E669:AI669,"ÇRT.")/2)</f>
      </c>
      <c r="AR669" s="1">
        <f>=COUNTIF(E669:AI669,"ÇHT")</f>
      </c>
      <c r="AS669" s="1">
        <f>=COUNTIF(E669:AI669,"Ö")+COUNTIF(E669:AI669,"T")</f>
      </c>
      <c r="AT669" s="1">
        <f>=COUNTIF(E669:AI669,"Y")</f>
      </c>
      <c r="AU669" s="1">
        <f>=COUNTIF(E669:AI669,"R.")</f>
      </c>
      <c r="AV669" s="1">
        <f>=COUNTIF(E669:AI669,"Ü")</f>
      </c>
      <c r="AW669" s="1">
        <f>=COUNTIF(E669:AI669,"R")</f>
      </c>
      <c r="AX669" s="1">
        <f>=COUNTIF(E669:AI669,"DV")</f>
      </c>
      <c r="AY669" s="1">
        <f>=+AN669+AO669+AP669+AQ669+AR669+AS669+AT669+AU669</f>
      </c>
    </row>
    <row r="670" ht="16" customHeight="1" spans="1:51" x14ac:dyDescent="0.25">
      <c r="A670" s="45"/>
      <c r="B670" s="46"/>
      <c r="C670" s="46"/>
      <c r="D670" s="46" t="s">
        <v>33</v>
      </c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  <c r="AC670" s="46"/>
      <c r="AD670" s="46"/>
      <c r="AE670" s="46"/>
      <c r="AF670" s="46"/>
      <c r="AG670" s="46">
        <v>3</v>
      </c>
      <c r="AH670" s="46">
        <v>2</v>
      </c>
      <c r="AI670" s="46"/>
      <c r="AJ670" s="46"/>
      <c r="AK670" s="46"/>
      <c r="AL670" s="46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</row>
    <row r="671" ht="16" customHeight="1" spans="1:51" x14ac:dyDescent="0.25">
      <c r="A671" s="45"/>
      <c r="B671" s="46" t="s">
        <v>712</v>
      </c>
      <c r="C671" s="46" t="s">
        <v>713</v>
      </c>
      <c r="D671" s="46" t="s">
        <v>29</v>
      </c>
      <c r="E671" s="46" t="s">
        <v>36</v>
      </c>
      <c r="F671" s="46" t="s">
        <v>36</v>
      </c>
      <c r="G671" s="46" t="s">
        <v>36</v>
      </c>
      <c r="H671" s="46" t="s">
        <v>37</v>
      </c>
      <c r="I671" s="46" t="s">
        <v>36</v>
      </c>
      <c r="J671" s="46" t="s">
        <v>36</v>
      </c>
      <c r="K671" s="46" t="s">
        <v>36</v>
      </c>
      <c r="L671" s="46" t="s">
        <v>36</v>
      </c>
      <c r="M671" s="46" t="s">
        <v>36</v>
      </c>
      <c r="N671" s="46" t="s">
        <v>36</v>
      </c>
      <c r="O671" s="46" t="s">
        <v>37</v>
      </c>
      <c r="P671" s="46" t="s">
        <v>36</v>
      </c>
      <c r="Q671" s="46" t="s">
        <v>36</v>
      </c>
      <c r="R671" s="46" t="s">
        <v>36</v>
      </c>
      <c r="S671" s="46" t="s">
        <v>36</v>
      </c>
      <c r="T671" s="46" t="s">
        <v>36</v>
      </c>
      <c r="U671" s="46" t="s">
        <v>36</v>
      </c>
      <c r="V671" s="46" t="s">
        <v>37</v>
      </c>
      <c r="W671" s="46" t="s">
        <v>36</v>
      </c>
      <c r="X671" s="46" t="s">
        <v>36</v>
      </c>
      <c r="Y671" s="46" t="s">
        <v>36</v>
      </c>
      <c r="Z671" s="46" t="s">
        <v>36</v>
      </c>
      <c r="AA671" s="46" t="s">
        <v>36</v>
      </c>
      <c r="AB671" s="46" t="s">
        <v>36</v>
      </c>
      <c r="AC671" s="46" t="s">
        <v>37</v>
      </c>
      <c r="AD671" s="46" t="s">
        <v>36</v>
      </c>
      <c r="AE671" s="46" t="s">
        <v>36</v>
      </c>
      <c r="AF671" s="46" t="s">
        <v>36</v>
      </c>
      <c r="AG671" s="46" t="s">
        <v>36</v>
      </c>
      <c r="AH671" s="46" t="s">
        <v>43</v>
      </c>
      <c r="AI671" s="46" t="s">
        <v>36</v>
      </c>
      <c r="AJ671" s="46">
        <f>=SUM(E672:AI672)</f>
      </c>
      <c r="AK671" s="46">
        <f>=+AY671</f>
      </c>
      <c r="AL671" s="46"/>
      <c r="AM671" s="1"/>
      <c r="AN671" s="1">
        <f>=COUNTIF(E671:AI671,"A")+COUNTIF(E671:AI671,"B")+COUNTIF(E671:AI671,"C")+COUNTIF(E671:AI671,"D")+COUNTIF(E671:AI671,"E")+COUNTIF(E671:AI671,"F")+COUNTIF(E671:AI671,"M")+COUNTIF(E671:AI671,"AB")+COUNTIF(E671:AI671,"UZ")+COUNTIF(E671:AI671,"G")+(COUNTIF(E671:AI671,"RT.")/2)+(COUNTIF(E671:AI671,"ÇRT.")/2)</f>
      </c>
      <c r="AO671" s="1">
        <f>=COUNTIF(E671:AI671,"O")</f>
      </c>
      <c r="AP671" s="1">
        <f>=COUNTIF(E671:AI671,"RT")+(COUNTIF(E671:AI671,"RT.")/2)</f>
      </c>
      <c r="AQ671" s="1">
        <f>=COUNTIF(E671:AI671,"ÇRT")+(COUNTIF(E671:AI671,"ÇRT.")/2)</f>
      </c>
      <c r="AR671" s="1">
        <f>=COUNTIF(E671:AI671,"ÇHT")</f>
      </c>
      <c r="AS671" s="1">
        <f>=COUNTIF(E671:AI671,"Ö")+COUNTIF(E671:AI671,"T")</f>
      </c>
      <c r="AT671" s="1">
        <f>=COUNTIF(E671:AI671,"Y")</f>
      </c>
      <c r="AU671" s="1">
        <f>=COUNTIF(E671:AI671,"R.")</f>
      </c>
      <c r="AV671" s="1">
        <f>=COUNTIF(E671:AI671,"Ü")</f>
      </c>
      <c r="AW671" s="1">
        <f>=COUNTIF(E671:AI671,"R")</f>
      </c>
      <c r="AX671" s="1">
        <f>=COUNTIF(E671:AI671,"DV")</f>
      </c>
      <c r="AY671" s="1">
        <f>=+AN671+AO671+AP671+AQ671+AR671+AS671+AT671+AU671</f>
      </c>
    </row>
    <row r="672" ht="16" customHeight="1" spans="1:51" x14ac:dyDescent="0.25">
      <c r="A672" s="45"/>
      <c r="B672" s="46"/>
      <c r="C672" s="46"/>
      <c r="D672" s="46" t="s">
        <v>33</v>
      </c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  <c r="AC672" s="46"/>
      <c r="AD672" s="46"/>
      <c r="AE672" s="46"/>
      <c r="AF672" s="46">
        <v>2</v>
      </c>
      <c r="AG672" s="46"/>
      <c r="AH672" s="46"/>
      <c r="AI672" s="46"/>
      <c r="AJ672" s="46"/>
      <c r="AK672" s="46"/>
      <c r="AL672" s="46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</row>
    <row r="673" ht="16" customHeight="1" spans="1:51" x14ac:dyDescent="0.25">
      <c r="A673" s="45"/>
      <c r="B673" s="46" t="s">
        <v>714</v>
      </c>
      <c r="C673" s="46" t="s">
        <v>715</v>
      </c>
      <c r="D673" s="46" t="s">
        <v>29</v>
      </c>
      <c r="E673" s="46" t="s">
        <v>30</v>
      </c>
      <c r="F673" s="46" t="s">
        <v>30</v>
      </c>
      <c r="G673" s="46" t="s">
        <v>37</v>
      </c>
      <c r="H673" s="46" t="s">
        <v>36</v>
      </c>
      <c r="I673" s="46" t="s">
        <v>36</v>
      </c>
      <c r="J673" s="46" t="s">
        <v>36</v>
      </c>
      <c r="K673" s="46" t="s">
        <v>36</v>
      </c>
      <c r="L673" s="46" t="s">
        <v>36</v>
      </c>
      <c r="M673" s="46" t="s">
        <v>36</v>
      </c>
      <c r="N673" s="46" t="s">
        <v>37</v>
      </c>
      <c r="O673" s="46" t="s">
        <v>36</v>
      </c>
      <c r="P673" s="46" t="s">
        <v>36</v>
      </c>
      <c r="Q673" s="46" t="s">
        <v>36</v>
      </c>
      <c r="R673" s="46" t="s">
        <v>36</v>
      </c>
      <c r="S673" s="46" t="s">
        <v>36</v>
      </c>
      <c r="T673" s="46" t="s">
        <v>36</v>
      </c>
      <c r="U673" s="46" t="s">
        <v>37</v>
      </c>
      <c r="V673" s="46" t="s">
        <v>36</v>
      </c>
      <c r="W673" s="46" t="s">
        <v>36</v>
      </c>
      <c r="X673" s="46" t="s">
        <v>36</v>
      </c>
      <c r="Y673" s="46" t="s">
        <v>36</v>
      </c>
      <c r="Z673" s="46" t="s">
        <v>36</v>
      </c>
      <c r="AA673" s="46" t="s">
        <v>36</v>
      </c>
      <c r="AB673" s="46" t="s">
        <v>222</v>
      </c>
      <c r="AC673" s="46" t="s">
        <v>36</v>
      </c>
      <c r="AD673" s="46" t="s">
        <v>36</v>
      </c>
      <c r="AE673" s="46" t="s">
        <v>36</v>
      </c>
      <c r="AF673" s="46" t="s">
        <v>36</v>
      </c>
      <c r="AG673" s="46" t="s">
        <v>36</v>
      </c>
      <c r="AH673" s="46" t="s">
        <v>43</v>
      </c>
      <c r="AI673" s="46" t="s">
        <v>36</v>
      </c>
      <c r="AJ673" s="46">
        <f>=SUM(E674:AI674)</f>
      </c>
      <c r="AK673" s="46">
        <f>=+AY673</f>
      </c>
      <c r="AL673" s="46"/>
      <c r="AM673" s="1"/>
      <c r="AN673" s="1">
        <f>=COUNTIF(E673:AI673,"A")+COUNTIF(E673:AI673,"B")+COUNTIF(E673:AI673,"C")+COUNTIF(E673:AI673,"D")+COUNTIF(E673:AI673,"E")+COUNTIF(E673:AI673,"F")+COUNTIF(E673:AI673,"M")+COUNTIF(E673:AI673,"AB")+COUNTIF(E673:AI673,"UZ")+COUNTIF(E673:AI673,"G")+(COUNTIF(E673:AI673,"RT.")/2)+(COUNTIF(E673:AI673,"ÇRT.")/2)</f>
      </c>
      <c r="AO673" s="1">
        <f>=COUNTIF(E673:AI673,"O")</f>
      </c>
      <c r="AP673" s="1">
        <f>=COUNTIF(E673:AI673,"RT")+(COUNTIF(E673:AI673,"RT.")/2)</f>
      </c>
      <c r="AQ673" s="1">
        <f>=COUNTIF(E673:AI673,"ÇRT")+(COUNTIF(E673:AI673,"ÇRT.")/2)</f>
      </c>
      <c r="AR673" s="1">
        <f>=COUNTIF(E673:AI673,"ÇHT")</f>
      </c>
      <c r="AS673" s="1">
        <f>=COUNTIF(E673:AI673,"Ö")+COUNTIF(E673:AI673,"T")</f>
      </c>
      <c r="AT673" s="1">
        <f>=COUNTIF(E673:AI673,"Y")</f>
      </c>
      <c r="AU673" s="1">
        <f>=COUNTIF(E673:AI673,"R.")</f>
      </c>
      <c r="AV673" s="1">
        <f>=COUNTIF(E673:AI673,"Ü")</f>
      </c>
      <c r="AW673" s="1">
        <f>=COUNTIF(E673:AI673,"R")</f>
      </c>
      <c r="AX673" s="1">
        <f>=COUNTIF(E673:AI673,"DV")</f>
      </c>
      <c r="AY673" s="1">
        <f>=+AN673+AO673+AP673+AQ673+AR673+AS673+AT673+AU673</f>
      </c>
    </row>
    <row r="674" ht="16" customHeight="1" spans="1:51" x14ac:dyDescent="0.25">
      <c r="A674" s="45"/>
      <c r="B674" s="46"/>
      <c r="C674" s="46"/>
      <c r="D674" s="46" t="s">
        <v>33</v>
      </c>
      <c r="E674" s="46"/>
      <c r="F674" s="46"/>
      <c r="G674" s="46"/>
      <c r="H674" s="46"/>
      <c r="I674" s="46"/>
      <c r="J674" s="46"/>
      <c r="K674" s="46"/>
      <c r="L674" s="46"/>
      <c r="M674" s="46">
        <v>3</v>
      </c>
      <c r="N674" s="46"/>
      <c r="O674" s="46"/>
      <c r="P674" s="46"/>
      <c r="Q674" s="46">
        <v>2</v>
      </c>
      <c r="R674" s="46"/>
      <c r="S674" s="46"/>
      <c r="T674" s="46"/>
      <c r="U674" s="46"/>
      <c r="V674" s="46"/>
      <c r="W674" s="46"/>
      <c r="X674" s="46"/>
      <c r="Y674" s="46">
        <v>1</v>
      </c>
      <c r="Z674" s="46"/>
      <c r="AA674" s="46"/>
      <c r="AB674" s="46"/>
      <c r="AC674" s="46"/>
      <c r="AD674" s="46"/>
      <c r="AE674" s="46"/>
      <c r="AF674" s="46">
        <v>3</v>
      </c>
      <c r="AG674" s="46">
        <v>3</v>
      </c>
      <c r="AH674" s="46">
        <v>3</v>
      </c>
      <c r="AI674" s="46"/>
      <c r="AJ674" s="46"/>
      <c r="AK674" s="46"/>
      <c r="AL674" s="46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</row>
    <row r="675" ht="16" customHeight="1" spans="1:51" x14ac:dyDescent="0.25">
      <c r="A675" s="45"/>
      <c r="B675" s="46" t="s">
        <v>716</v>
      </c>
      <c r="C675" s="46" t="s">
        <v>717</v>
      </c>
      <c r="D675" s="46" t="s">
        <v>29</v>
      </c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 t="s">
        <v>153</v>
      </c>
      <c r="P675" s="46" t="s">
        <v>36</v>
      </c>
      <c r="Q675" s="46" t="s">
        <v>36</v>
      </c>
      <c r="R675" s="46" t="s">
        <v>36</v>
      </c>
      <c r="S675" s="46" t="s">
        <v>36</v>
      </c>
      <c r="T675" s="46" t="s">
        <v>38</v>
      </c>
      <c r="U675" s="46" t="s">
        <v>38</v>
      </c>
      <c r="V675" s="46" t="s">
        <v>38</v>
      </c>
      <c r="W675" s="46"/>
      <c r="X675" s="46"/>
      <c r="Y675" s="46"/>
      <c r="Z675" s="46"/>
      <c r="AA675" s="46"/>
      <c r="AB675" s="46"/>
      <c r="AC675" s="46"/>
      <c r="AD675" s="46"/>
      <c r="AE675" s="46"/>
      <c r="AF675" s="46"/>
      <c r="AG675" s="46"/>
      <c r="AH675" s="46"/>
      <c r="AI675" s="46"/>
      <c r="AJ675" s="46">
        <f>=SUM(E676:AI676)</f>
      </c>
      <c r="AK675" s="46">
        <f>=+AY675</f>
      </c>
      <c r="AL675" s="46"/>
      <c r="AM675" s="1"/>
      <c r="AN675" s="1">
        <f>=COUNTIF(E675:AI675,"A")+COUNTIF(E675:AI675,"B")+COUNTIF(E675:AI675,"C")+COUNTIF(E675:AI675,"D")+COUNTIF(E675:AI675,"E")+COUNTIF(E675:AI675,"F")+COUNTIF(E675:AI675,"M")+COUNTIF(E675:AI675,"AB")+COUNTIF(E675:AI675,"UZ")+COUNTIF(E675:AI675,"G")+(COUNTIF(E675:AI675,"RT.")/2)+(COUNTIF(E675:AI675,"ÇRT.")/2)</f>
      </c>
      <c r="AO675" s="1">
        <f>=COUNTIF(E675:AI675,"O")</f>
      </c>
      <c r="AP675" s="1">
        <f>=COUNTIF(E675:AI675,"RT")+(COUNTIF(E675:AI675,"RT.")/2)</f>
      </c>
      <c r="AQ675" s="1">
        <f>=COUNTIF(E675:AI675,"ÇRT")+(COUNTIF(E675:AI675,"ÇRT.")/2)</f>
      </c>
      <c r="AR675" s="1">
        <f>=COUNTIF(E675:AI675,"ÇHT")</f>
      </c>
      <c r="AS675" s="1">
        <f>=COUNTIF(E675:AI675,"Ö")+COUNTIF(E675:AI675,"T")</f>
      </c>
      <c r="AT675" s="1">
        <f>=COUNTIF(E675:AI675,"Y")</f>
      </c>
      <c r="AU675" s="1">
        <f>=COUNTIF(E675:AI675,"R.")</f>
      </c>
      <c r="AV675" s="1">
        <f>=COUNTIF(E675:AI675,"Ü")</f>
      </c>
      <c r="AW675" s="1">
        <f>=COUNTIF(E675:AI675,"R")</f>
      </c>
      <c r="AX675" s="1">
        <f>=COUNTIF(E675:AI675,"DV")</f>
      </c>
      <c r="AY675" s="1">
        <f>=+AN675+AO675+AP675+AQ675+AR675+AS675+AT675+AU675</f>
      </c>
    </row>
    <row r="676" ht="16" customHeight="1" spans="1:51" x14ac:dyDescent="0.25">
      <c r="A676" s="45"/>
      <c r="B676" s="46"/>
      <c r="C676" s="46"/>
      <c r="D676" s="46" t="s">
        <v>33</v>
      </c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  <c r="AC676" s="46"/>
      <c r="AD676" s="46"/>
      <c r="AE676" s="46"/>
      <c r="AF676" s="46"/>
      <c r="AG676" s="46"/>
      <c r="AH676" s="46"/>
      <c r="AI676" s="46"/>
      <c r="AJ676" s="46"/>
      <c r="AK676" s="46"/>
      <c r="AL676" s="46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</row>
    <row r="677" ht="16" customHeight="1" spans="1:51" x14ac:dyDescent="0.25">
      <c r="A677" s="45"/>
      <c r="B677" s="46" t="s">
        <v>718</v>
      </c>
      <c r="C677" s="46" t="s">
        <v>719</v>
      </c>
      <c r="D677" s="46" t="s">
        <v>29</v>
      </c>
      <c r="E677" s="46" t="s">
        <v>37</v>
      </c>
      <c r="F677" s="46" t="s">
        <v>36</v>
      </c>
      <c r="G677" s="46" t="s">
        <v>36</v>
      </c>
      <c r="H677" s="46" t="s">
        <v>36</v>
      </c>
      <c r="I677" s="46" t="s">
        <v>36</v>
      </c>
      <c r="J677" s="46" t="s">
        <v>37</v>
      </c>
      <c r="K677" s="46" t="s">
        <v>36</v>
      </c>
      <c r="L677" s="46" t="s">
        <v>36</v>
      </c>
      <c r="M677" s="46" t="s">
        <v>36</v>
      </c>
      <c r="N677" s="46" t="s">
        <v>36</v>
      </c>
      <c r="O677" s="46" t="s">
        <v>36</v>
      </c>
      <c r="P677" s="46" t="s">
        <v>36</v>
      </c>
      <c r="Q677" s="46" t="s">
        <v>36</v>
      </c>
      <c r="R677" s="46" t="s">
        <v>37</v>
      </c>
      <c r="S677" s="46" t="s">
        <v>36</v>
      </c>
      <c r="T677" s="46" t="s">
        <v>36</v>
      </c>
      <c r="U677" s="46" t="s">
        <v>36</v>
      </c>
      <c r="V677" s="46" t="s">
        <v>36</v>
      </c>
      <c r="W677" s="46" t="s">
        <v>36</v>
      </c>
      <c r="X677" s="46" t="s">
        <v>37</v>
      </c>
      <c r="Y677" s="46" t="s">
        <v>31</v>
      </c>
      <c r="Z677" s="46" t="s">
        <v>36</v>
      </c>
      <c r="AA677" s="46" t="s">
        <v>36</v>
      </c>
      <c r="AB677" s="46" t="s">
        <v>36</v>
      </c>
      <c r="AC677" s="46" t="s">
        <v>36</v>
      </c>
      <c r="AD677" s="46" t="s">
        <v>36</v>
      </c>
      <c r="AE677" s="46" t="s">
        <v>37</v>
      </c>
      <c r="AF677" s="46" t="s">
        <v>36</v>
      </c>
      <c r="AG677" s="46" t="s">
        <v>36</v>
      </c>
      <c r="AH677" s="46" t="s">
        <v>43</v>
      </c>
      <c r="AI677" s="46" t="s">
        <v>36</v>
      </c>
      <c r="AJ677" s="46">
        <f>=SUM(E678:AI678)</f>
      </c>
      <c r="AK677" s="46">
        <f>=+AY677</f>
      </c>
      <c r="AL677" s="46"/>
      <c r="AM677" s="1"/>
      <c r="AN677" s="1">
        <f>=COUNTIF(E677:AI677,"A")+COUNTIF(E677:AI677,"B")+COUNTIF(E677:AI677,"C")+COUNTIF(E677:AI677,"D")+COUNTIF(E677:AI677,"E")+COUNTIF(E677:AI677,"F")+COUNTIF(E677:AI677,"M")+COUNTIF(E677:AI677,"AB")+COUNTIF(E677:AI677,"UZ")+COUNTIF(E677:AI677,"G")+(COUNTIF(E677:AI677,"RT.")/2)+(COUNTIF(E677:AI677,"ÇRT.")/2)</f>
      </c>
      <c r="AO677" s="1">
        <f>=COUNTIF(E677:AI677,"O")</f>
      </c>
      <c r="AP677" s="1">
        <f>=COUNTIF(E677:AI677,"RT")+(COUNTIF(E677:AI677,"RT.")/2)</f>
      </c>
      <c r="AQ677" s="1">
        <f>=COUNTIF(E677:AI677,"ÇRT")+(COUNTIF(E677:AI677,"ÇRT.")/2)</f>
      </c>
      <c r="AR677" s="1">
        <f>=COUNTIF(E677:AI677,"ÇHT")</f>
      </c>
      <c r="AS677" s="1">
        <f>=COUNTIF(E677:AI677,"Ö")+COUNTIF(E677:AI677,"T")</f>
      </c>
      <c r="AT677" s="1">
        <f>=COUNTIF(E677:AI677,"Y")</f>
      </c>
      <c r="AU677" s="1">
        <f>=COUNTIF(E677:AI677,"R.")</f>
      </c>
      <c r="AV677" s="1">
        <f>=COUNTIF(E677:AI677,"Ü")</f>
      </c>
      <c r="AW677" s="1">
        <f>=COUNTIF(E677:AI677,"R")</f>
      </c>
      <c r="AX677" s="1">
        <f>=COUNTIF(E677:AI677,"DV")</f>
      </c>
      <c r="AY677" s="1">
        <f>=+AN677+AO677+AP677+AQ677+AR677+AS677+AT677+AU677</f>
      </c>
    </row>
    <row r="678" ht="16" customHeight="1" spans="1:51" x14ac:dyDescent="0.25">
      <c r="A678" s="45"/>
      <c r="B678" s="46"/>
      <c r="C678" s="46"/>
      <c r="D678" s="46" t="s">
        <v>33</v>
      </c>
      <c r="E678" s="46"/>
      <c r="F678" s="46"/>
      <c r="G678" s="46"/>
      <c r="H678" s="46"/>
      <c r="I678" s="46"/>
      <c r="J678" s="46"/>
      <c r="K678" s="46"/>
      <c r="L678" s="46">
        <v>2</v>
      </c>
      <c r="M678" s="46"/>
      <c r="N678" s="46">
        <v>2</v>
      </c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  <c r="AC678" s="46"/>
      <c r="AD678" s="46"/>
      <c r="AE678" s="46"/>
      <c r="AF678" s="46"/>
      <c r="AG678" s="46">
        <v>3</v>
      </c>
      <c r="AH678" s="46">
        <v>2</v>
      </c>
      <c r="AI678" s="46"/>
      <c r="AJ678" s="46"/>
      <c r="AK678" s="46"/>
      <c r="AL678" s="46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</row>
    <row r="679" ht="16" customHeight="1" spans="1:51" x14ac:dyDescent="0.25">
      <c r="A679" s="45"/>
      <c r="B679" s="46" t="s">
        <v>720</v>
      </c>
      <c r="C679" s="46" t="s">
        <v>721</v>
      </c>
      <c r="D679" s="46" t="s">
        <v>29</v>
      </c>
      <c r="E679" s="46" t="s">
        <v>59</v>
      </c>
      <c r="F679" s="46" t="s">
        <v>59</v>
      </c>
      <c r="G679" s="46" t="s">
        <v>59</v>
      </c>
      <c r="H679" s="46" t="s">
        <v>59</v>
      </c>
      <c r="I679" s="46" t="s">
        <v>59</v>
      </c>
      <c r="J679" s="46" t="s">
        <v>37</v>
      </c>
      <c r="K679" s="46" t="s">
        <v>59</v>
      </c>
      <c r="L679" s="46" t="s">
        <v>59</v>
      </c>
      <c r="M679" s="46" t="s">
        <v>59</v>
      </c>
      <c r="N679" s="46" t="s">
        <v>59</v>
      </c>
      <c r="O679" s="46" t="s">
        <v>59</v>
      </c>
      <c r="P679" s="46" t="s">
        <v>59</v>
      </c>
      <c r="Q679" s="46" t="s">
        <v>37</v>
      </c>
      <c r="R679" s="46" t="s">
        <v>59</v>
      </c>
      <c r="S679" s="46" t="s">
        <v>59</v>
      </c>
      <c r="T679" s="46" t="s">
        <v>59</v>
      </c>
      <c r="U679" s="46" t="s">
        <v>59</v>
      </c>
      <c r="V679" s="46" t="s">
        <v>59</v>
      </c>
      <c r="W679" s="46" t="s">
        <v>59</v>
      </c>
      <c r="X679" s="46" t="s">
        <v>37</v>
      </c>
      <c r="Y679" s="46" t="s">
        <v>59</v>
      </c>
      <c r="Z679" s="46" t="s">
        <v>59</v>
      </c>
      <c r="AA679" s="46" t="s">
        <v>59</v>
      </c>
      <c r="AB679" s="46" t="s">
        <v>59</v>
      </c>
      <c r="AC679" s="46" t="s">
        <v>59</v>
      </c>
      <c r="AD679" s="46" t="s">
        <v>59</v>
      </c>
      <c r="AE679" s="46" t="s">
        <v>37</v>
      </c>
      <c r="AF679" s="46" t="s">
        <v>59</v>
      </c>
      <c r="AG679" s="46" t="s">
        <v>59</v>
      </c>
      <c r="AH679" s="46" t="s">
        <v>43</v>
      </c>
      <c r="AI679" s="46" t="s">
        <v>59</v>
      </c>
      <c r="AJ679" s="46">
        <f>=SUM(E680:AI680)</f>
      </c>
      <c r="AK679" s="46">
        <f>=+AY679</f>
      </c>
      <c r="AL679" s="46"/>
      <c r="AM679" s="1"/>
      <c r="AN679" s="1">
        <f>=COUNTIF(E679:AI679,"A")+COUNTIF(E679:AI679,"B")+COUNTIF(E679:AI679,"C")+COUNTIF(E679:AI679,"D")+COUNTIF(E679:AI679,"E")+COUNTIF(E679:AI679,"F")+COUNTIF(E679:AI679,"M")+COUNTIF(E679:AI679,"AB")+COUNTIF(E679:AI679,"UZ")+COUNTIF(E679:AI679,"G")+(COUNTIF(E679:AI679,"RT.")/2)+(COUNTIF(E679:AI679,"ÇRT.")/2)</f>
      </c>
      <c r="AO679" s="1">
        <f>=COUNTIF(E679:AI679,"O")</f>
      </c>
      <c r="AP679" s="1">
        <f>=COUNTIF(E679:AI679,"RT")+(COUNTIF(E679:AI679,"RT.")/2)</f>
      </c>
      <c r="AQ679" s="1">
        <f>=COUNTIF(E679:AI679,"ÇRT")+(COUNTIF(E679:AI679,"ÇRT.")/2)</f>
      </c>
      <c r="AR679" s="1">
        <f>=COUNTIF(E679:AI679,"ÇHT")</f>
      </c>
      <c r="AS679" s="1">
        <f>=COUNTIF(E679:AI679,"Ö")+COUNTIF(E679:AI679,"T")</f>
      </c>
      <c r="AT679" s="1">
        <f>=COUNTIF(E679:AI679,"Y")</f>
      </c>
      <c r="AU679" s="1">
        <f>=COUNTIF(E679:AI679,"R.")</f>
      </c>
      <c r="AV679" s="1">
        <f>=COUNTIF(E679:AI679,"Ü")</f>
      </c>
      <c r="AW679" s="1">
        <f>=COUNTIF(E679:AI679,"R")</f>
      </c>
      <c r="AX679" s="1">
        <f>=COUNTIF(E679:AI679,"DV")</f>
      </c>
      <c r="AY679" s="1">
        <f>=+AN679+AO679+AP679+AQ679+AR679+AS679+AT679+AU679</f>
      </c>
    </row>
    <row r="680" ht="16" customHeight="1" spans="1:51" x14ac:dyDescent="0.25">
      <c r="A680" s="45"/>
      <c r="B680" s="46"/>
      <c r="C680" s="46"/>
      <c r="D680" s="46" t="s">
        <v>33</v>
      </c>
      <c r="E680" s="46"/>
      <c r="F680" s="46"/>
      <c r="G680" s="46"/>
      <c r="H680" s="46"/>
      <c r="I680" s="46"/>
      <c r="J680" s="46"/>
      <c r="K680" s="46"/>
      <c r="L680" s="46"/>
      <c r="M680" s="46"/>
      <c r="N680" s="46">
        <v>0</v>
      </c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  <c r="AC680" s="46"/>
      <c r="AD680" s="46"/>
      <c r="AE680" s="46"/>
      <c r="AF680" s="46"/>
      <c r="AG680" s="46"/>
      <c r="AH680" s="46"/>
      <c r="AI680" s="46"/>
      <c r="AJ680" s="46"/>
      <c r="AK680" s="46"/>
      <c r="AL680" s="46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</row>
    <row r="681" ht="16" customHeight="1" spans="1:51" x14ac:dyDescent="0.25">
      <c r="A681" s="45"/>
      <c r="B681" s="46" t="s">
        <v>722</v>
      </c>
      <c r="C681" s="46" t="s">
        <v>723</v>
      </c>
      <c r="D681" s="46" t="s">
        <v>29</v>
      </c>
      <c r="E681" s="46" t="s">
        <v>37</v>
      </c>
      <c r="F681" s="46" t="s">
        <v>36</v>
      </c>
      <c r="G681" s="46" t="s">
        <v>36</v>
      </c>
      <c r="H681" s="46" t="s">
        <v>36</v>
      </c>
      <c r="I681" s="46" t="s">
        <v>36</v>
      </c>
      <c r="J681" s="46" t="s">
        <v>37</v>
      </c>
      <c r="K681" s="46" t="s">
        <v>36</v>
      </c>
      <c r="L681" s="46" t="s">
        <v>36</v>
      </c>
      <c r="M681" s="46" t="s">
        <v>36</v>
      </c>
      <c r="N681" s="46" t="s">
        <v>36</v>
      </c>
      <c r="O681" s="46" t="s">
        <v>36</v>
      </c>
      <c r="P681" s="46" t="s">
        <v>36</v>
      </c>
      <c r="Q681" s="46" t="s">
        <v>37</v>
      </c>
      <c r="R681" s="46" t="s">
        <v>31</v>
      </c>
      <c r="S681" s="46" t="s">
        <v>31</v>
      </c>
      <c r="T681" s="46" t="s">
        <v>36</v>
      </c>
      <c r="U681" s="46" t="s">
        <v>36</v>
      </c>
      <c r="V681" s="46" t="s">
        <v>36</v>
      </c>
      <c r="W681" s="46" t="s">
        <v>36</v>
      </c>
      <c r="X681" s="46" t="s">
        <v>37</v>
      </c>
      <c r="Y681" s="46" t="s">
        <v>36</v>
      </c>
      <c r="Z681" s="46" t="s">
        <v>36</v>
      </c>
      <c r="AA681" s="46" t="s">
        <v>36</v>
      </c>
      <c r="AB681" s="46" t="s">
        <v>36</v>
      </c>
      <c r="AC681" s="46" t="s">
        <v>36</v>
      </c>
      <c r="AD681" s="46" t="s">
        <v>36</v>
      </c>
      <c r="AE681" s="46" t="s">
        <v>37</v>
      </c>
      <c r="AF681" s="46" t="s">
        <v>36</v>
      </c>
      <c r="AG681" s="46" t="s">
        <v>36</v>
      </c>
      <c r="AH681" s="46" t="s">
        <v>43</v>
      </c>
      <c r="AI681" s="46"/>
      <c r="AJ681" s="46">
        <f>=SUM(E682:AI682)</f>
      </c>
      <c r="AK681" s="46">
        <f>=+AY681</f>
      </c>
      <c r="AL681" s="46"/>
      <c r="AM681" s="1"/>
      <c r="AN681" s="1">
        <f>=COUNTIF(E681:AI681,"A")+COUNTIF(E681:AI681,"B")+COUNTIF(E681:AI681,"C")+COUNTIF(E681:AI681,"D")+COUNTIF(E681:AI681,"E")+COUNTIF(E681:AI681,"F")+COUNTIF(E681:AI681,"M")+COUNTIF(E681:AI681,"AB")+COUNTIF(E681:AI681,"UZ")+COUNTIF(E681:AI681,"G")+(COUNTIF(E681:AI681,"RT.")/2)+(COUNTIF(E681:AI681,"ÇRT.")/2)</f>
      </c>
      <c r="AO681" s="1">
        <f>=COUNTIF(E681:AI681,"O")</f>
      </c>
      <c r="AP681" s="1">
        <f>=COUNTIF(E681:AI681,"RT")+(COUNTIF(E681:AI681,"RT.")/2)</f>
      </c>
      <c r="AQ681" s="1">
        <f>=COUNTIF(E681:AI681,"ÇRT")+(COUNTIF(E681:AI681,"ÇRT.")/2)</f>
      </c>
      <c r="AR681" s="1">
        <f>=COUNTIF(E681:AI681,"ÇHT")</f>
      </c>
      <c r="AS681" s="1">
        <f>=COUNTIF(E681:AI681,"Ö")+COUNTIF(E681:AI681,"T")</f>
      </c>
      <c r="AT681" s="1">
        <f>=COUNTIF(E681:AI681,"Y")</f>
      </c>
      <c r="AU681" s="1">
        <f>=COUNTIF(E681:AI681,"R.")</f>
      </c>
      <c r="AV681" s="1">
        <f>=COUNTIF(E681:AI681,"Ü")</f>
      </c>
      <c r="AW681" s="1">
        <f>=COUNTIF(E681:AI681,"R")</f>
      </c>
      <c r="AX681" s="1">
        <f>=COUNTIF(E681:AI681,"DV")</f>
      </c>
      <c r="AY681" s="1">
        <f>=+AN681+AO681+AP681+AQ681+AR681+AS681+AT681+AU681</f>
      </c>
    </row>
    <row r="682" ht="16" customHeight="1" spans="1:51" x14ac:dyDescent="0.25">
      <c r="A682" s="45"/>
      <c r="B682" s="46"/>
      <c r="C682" s="46"/>
      <c r="D682" s="46" t="s">
        <v>33</v>
      </c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  <c r="AC682" s="46"/>
      <c r="AD682" s="46"/>
      <c r="AE682" s="46"/>
      <c r="AF682" s="46">
        <v>2</v>
      </c>
      <c r="AG682" s="46"/>
      <c r="AH682" s="46"/>
      <c r="AI682" s="46"/>
      <c r="AJ682" s="46"/>
      <c r="AK682" s="46"/>
      <c r="AL682" s="46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</row>
    <row r="683" ht="16" customHeight="1" spans="1:51" x14ac:dyDescent="0.25">
      <c r="A683" s="45"/>
      <c r="B683" s="46" t="s">
        <v>724</v>
      </c>
      <c r="C683" s="46" t="s">
        <v>725</v>
      </c>
      <c r="D683" s="46" t="s">
        <v>29</v>
      </c>
      <c r="E683" s="46" t="s">
        <v>36</v>
      </c>
      <c r="F683" s="46" t="s">
        <v>36</v>
      </c>
      <c r="G683" s="46" t="s">
        <v>36</v>
      </c>
      <c r="H683" s="46" t="s">
        <v>36</v>
      </c>
      <c r="I683" s="46" t="s">
        <v>37</v>
      </c>
      <c r="J683" s="46" t="s">
        <v>36</v>
      </c>
      <c r="K683" s="46" t="s">
        <v>36</v>
      </c>
      <c r="L683" s="46" t="s">
        <v>36</v>
      </c>
      <c r="M683" s="46" t="s">
        <v>36</v>
      </c>
      <c r="N683" s="46" t="s">
        <v>37</v>
      </c>
      <c r="O683" s="46" t="s">
        <v>36</v>
      </c>
      <c r="P683" s="46" t="s">
        <v>36</v>
      </c>
      <c r="Q683" s="46" t="s">
        <v>36</v>
      </c>
      <c r="R683" s="46" t="s">
        <v>36</v>
      </c>
      <c r="S683" s="46" t="s">
        <v>36</v>
      </c>
      <c r="T683" s="46" t="s">
        <v>36</v>
      </c>
      <c r="U683" s="46" t="s">
        <v>36</v>
      </c>
      <c r="V683" s="46" t="s">
        <v>36</v>
      </c>
      <c r="W683" s="46" t="s">
        <v>37</v>
      </c>
      <c r="X683" s="46" t="s">
        <v>36</v>
      </c>
      <c r="Y683" s="46" t="s">
        <v>36</v>
      </c>
      <c r="Z683" s="46" t="s">
        <v>36</v>
      </c>
      <c r="AA683" s="46" t="s">
        <v>36</v>
      </c>
      <c r="AB683" s="46" t="s">
        <v>36</v>
      </c>
      <c r="AC683" s="46" t="s">
        <v>36</v>
      </c>
      <c r="AD683" s="46" t="s">
        <v>37</v>
      </c>
      <c r="AE683" s="46" t="s">
        <v>36</v>
      </c>
      <c r="AF683" s="46" t="s">
        <v>36</v>
      </c>
      <c r="AG683" s="46" t="s">
        <v>36</v>
      </c>
      <c r="AH683" s="46" t="s">
        <v>43</v>
      </c>
      <c r="AI683" s="46" t="s">
        <v>36</v>
      </c>
      <c r="AJ683" s="46">
        <f>=SUM(E684:AI684)</f>
      </c>
      <c r="AK683" s="46">
        <f>=+AY683</f>
      </c>
      <c r="AL683" s="46"/>
      <c r="AM683" s="1"/>
      <c r="AN683" s="1">
        <f>=COUNTIF(E683:AI683,"A")+COUNTIF(E683:AI683,"B")+COUNTIF(E683:AI683,"C")+COUNTIF(E683:AI683,"D")+COUNTIF(E683:AI683,"E")+COUNTIF(E683:AI683,"F")+COUNTIF(E683:AI683,"M")+COUNTIF(E683:AI683,"AB")+COUNTIF(E683:AI683,"UZ")+COUNTIF(E683:AI683,"G")+(COUNTIF(E683:AI683,"RT.")/2)+(COUNTIF(E683:AI683,"ÇRT.")/2)</f>
      </c>
      <c r="AO683" s="1">
        <f>=COUNTIF(E683:AI683,"O")</f>
      </c>
      <c r="AP683" s="1">
        <f>=COUNTIF(E683:AI683,"RT")+(COUNTIF(E683:AI683,"RT.")/2)</f>
      </c>
      <c r="AQ683" s="1">
        <f>=COUNTIF(E683:AI683,"ÇRT")+(COUNTIF(E683:AI683,"ÇRT.")/2)</f>
      </c>
      <c r="AR683" s="1">
        <f>=COUNTIF(E683:AI683,"ÇHT")</f>
      </c>
      <c r="AS683" s="1">
        <f>=COUNTIF(E683:AI683,"Ö")+COUNTIF(E683:AI683,"T")</f>
      </c>
      <c r="AT683" s="1">
        <f>=COUNTIF(E683:AI683,"Y")</f>
      </c>
      <c r="AU683" s="1">
        <f>=COUNTIF(E683:AI683,"R.")</f>
      </c>
      <c r="AV683" s="1">
        <f>=COUNTIF(E683:AI683,"Ü")</f>
      </c>
      <c r="AW683" s="1">
        <f>=COUNTIF(E683:AI683,"R")</f>
      </c>
      <c r="AX683" s="1">
        <f>=COUNTIF(E683:AI683,"DV")</f>
      </c>
      <c r="AY683" s="1">
        <f>=+AN683+AO683+AP683+AQ683+AR683+AS683+AT683+AU683</f>
      </c>
    </row>
    <row r="684" ht="16" customHeight="1" spans="1:51" x14ac:dyDescent="0.25">
      <c r="A684" s="45"/>
      <c r="B684" s="46"/>
      <c r="C684" s="46"/>
      <c r="D684" s="46" t="s">
        <v>33</v>
      </c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>
        <v>2</v>
      </c>
      <c r="U684" s="46"/>
      <c r="V684" s="46"/>
      <c r="W684" s="46"/>
      <c r="X684" s="46"/>
      <c r="Y684" s="46"/>
      <c r="Z684" s="46"/>
      <c r="AA684" s="46"/>
      <c r="AB684" s="46"/>
      <c r="AC684" s="46"/>
      <c r="AD684" s="46"/>
      <c r="AE684" s="46"/>
      <c r="AF684" s="46"/>
      <c r="AG684" s="46">
        <v>3</v>
      </c>
      <c r="AH684" s="46">
        <v>2</v>
      </c>
      <c r="AI684" s="46"/>
      <c r="AJ684" s="46"/>
      <c r="AK684" s="46"/>
      <c r="AL684" s="46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</row>
    <row r="685" ht="16" customHeight="1" spans="1:51" x14ac:dyDescent="0.25">
      <c r="A685" s="45"/>
      <c r="B685" s="46" t="s">
        <v>726</v>
      </c>
      <c r="C685" s="46" t="s">
        <v>727</v>
      </c>
      <c r="D685" s="46" t="s">
        <v>29</v>
      </c>
      <c r="E685" s="46" t="s">
        <v>36</v>
      </c>
      <c r="F685" s="46" t="s">
        <v>37</v>
      </c>
      <c r="G685" s="46" t="s">
        <v>36</v>
      </c>
      <c r="H685" s="46" t="s">
        <v>36</v>
      </c>
      <c r="I685" s="46" t="s">
        <v>36</v>
      </c>
      <c r="J685" s="46" t="s">
        <v>36</v>
      </c>
      <c r="K685" s="46" t="s">
        <v>36</v>
      </c>
      <c r="L685" s="46" t="s">
        <v>36</v>
      </c>
      <c r="M685" s="46" t="s">
        <v>37</v>
      </c>
      <c r="N685" s="46" t="s">
        <v>36</v>
      </c>
      <c r="O685" s="46" t="s">
        <v>36</v>
      </c>
      <c r="P685" s="46" t="s">
        <v>36</v>
      </c>
      <c r="Q685" s="46" t="s">
        <v>36</v>
      </c>
      <c r="R685" s="46" t="s">
        <v>36</v>
      </c>
      <c r="S685" s="46" t="s">
        <v>36</v>
      </c>
      <c r="T685" s="46" t="s">
        <v>37</v>
      </c>
      <c r="U685" s="46" t="s">
        <v>36</v>
      </c>
      <c r="V685" s="46" t="s">
        <v>36</v>
      </c>
      <c r="W685" s="46" t="s">
        <v>36</v>
      </c>
      <c r="X685" s="46" t="s">
        <v>36</v>
      </c>
      <c r="Y685" s="46" t="s">
        <v>36</v>
      </c>
      <c r="Z685" s="46" t="s">
        <v>36</v>
      </c>
      <c r="AA685" s="46" t="s">
        <v>37</v>
      </c>
      <c r="AB685" s="46" t="s">
        <v>36</v>
      </c>
      <c r="AC685" s="46" t="s">
        <v>36</v>
      </c>
      <c r="AD685" s="46" t="s">
        <v>36</v>
      </c>
      <c r="AE685" s="46" t="s">
        <v>36</v>
      </c>
      <c r="AF685" s="46" t="s">
        <v>36</v>
      </c>
      <c r="AG685" s="46" t="s">
        <v>36</v>
      </c>
      <c r="AH685" s="46" t="s">
        <v>37</v>
      </c>
      <c r="AI685" s="46" t="s">
        <v>36</v>
      </c>
      <c r="AJ685" s="46">
        <f>=SUM(E686:AI686)</f>
      </c>
      <c r="AK685" s="46">
        <f>=+AY685</f>
      </c>
      <c r="AL685" s="46"/>
      <c r="AM685" s="1"/>
      <c r="AN685" s="1">
        <f>=COUNTIF(E685:AI685,"A")+COUNTIF(E685:AI685,"B")+COUNTIF(E685:AI685,"C")+COUNTIF(E685:AI685,"D")+COUNTIF(E685:AI685,"E")+COUNTIF(E685:AI685,"F")+COUNTIF(E685:AI685,"M")+COUNTIF(E685:AI685,"AB")+COUNTIF(E685:AI685,"UZ")+COUNTIF(E685:AI685,"G")+(COUNTIF(E685:AI685,"RT.")/2)+(COUNTIF(E685:AI685,"ÇRT.")/2)</f>
      </c>
      <c r="AO685" s="1">
        <f>=COUNTIF(E685:AI685,"O")</f>
      </c>
      <c r="AP685" s="1">
        <f>=COUNTIF(E685:AI685,"RT")+(COUNTIF(E685:AI685,"RT.")/2)</f>
      </c>
      <c r="AQ685" s="1">
        <f>=COUNTIF(E685:AI685,"ÇRT")+(COUNTIF(E685:AI685,"ÇRT.")/2)</f>
      </c>
      <c r="AR685" s="1">
        <f>=COUNTIF(E685:AI685,"ÇHT")</f>
      </c>
      <c r="AS685" s="1">
        <f>=COUNTIF(E685:AI685,"Ö")+COUNTIF(E685:AI685,"T")</f>
      </c>
      <c r="AT685" s="1">
        <f>=COUNTIF(E685:AI685,"Y")</f>
      </c>
      <c r="AU685" s="1">
        <f>=COUNTIF(E685:AI685,"R.")</f>
      </c>
      <c r="AV685" s="1">
        <f>=COUNTIF(E685:AI685,"Ü")</f>
      </c>
      <c r="AW685" s="1">
        <f>=COUNTIF(E685:AI685,"R")</f>
      </c>
      <c r="AX685" s="1">
        <f>=COUNTIF(E685:AI685,"DV")</f>
      </c>
      <c r="AY685" s="1">
        <f>=+AN685+AO685+AP685+AQ685+AR685+AS685+AT685+AU685</f>
      </c>
    </row>
    <row r="686" ht="16" customHeight="1" spans="1:51" x14ac:dyDescent="0.25">
      <c r="A686" s="45"/>
      <c r="B686" s="46"/>
      <c r="C686" s="46"/>
      <c r="D686" s="46" t="s">
        <v>33</v>
      </c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  <c r="AC686" s="46"/>
      <c r="AD686" s="46"/>
      <c r="AE686" s="46"/>
      <c r="AF686" s="46"/>
      <c r="AG686" s="46"/>
      <c r="AH686" s="46"/>
      <c r="AI686" s="46"/>
      <c r="AJ686" s="46"/>
      <c r="AK686" s="46"/>
      <c r="AL686" s="46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</row>
    <row r="687" ht="16" customHeight="1" spans="1:51" x14ac:dyDescent="0.25">
      <c r="A687" s="45"/>
      <c r="B687" s="46" t="s">
        <v>728</v>
      </c>
      <c r="C687" s="46" t="s">
        <v>729</v>
      </c>
      <c r="D687" s="46" t="s">
        <v>29</v>
      </c>
      <c r="E687" s="46" t="s">
        <v>46</v>
      </c>
      <c r="F687" s="46" t="s">
        <v>46</v>
      </c>
      <c r="G687" s="46" t="s">
        <v>46</v>
      </c>
      <c r="H687" s="46" t="s">
        <v>37</v>
      </c>
      <c r="I687" s="46" t="s">
        <v>46</v>
      </c>
      <c r="J687" s="46" t="s">
        <v>46</v>
      </c>
      <c r="K687" s="46" t="s">
        <v>31</v>
      </c>
      <c r="L687" s="46" t="s">
        <v>31</v>
      </c>
      <c r="M687" s="46" t="s">
        <v>32</v>
      </c>
      <c r="N687" s="46" t="s">
        <v>46</v>
      </c>
      <c r="O687" s="46" t="s">
        <v>37</v>
      </c>
      <c r="P687" s="46" t="s">
        <v>46</v>
      </c>
      <c r="Q687" s="46" t="s">
        <v>46</v>
      </c>
      <c r="R687" s="46" t="s">
        <v>46</v>
      </c>
      <c r="S687" s="46" t="s">
        <v>46</v>
      </c>
      <c r="T687" s="46" t="s">
        <v>46</v>
      </c>
      <c r="U687" s="46" t="s">
        <v>46</v>
      </c>
      <c r="V687" s="46" t="s">
        <v>37</v>
      </c>
      <c r="W687" s="46" t="s">
        <v>46</v>
      </c>
      <c r="X687" s="46" t="s">
        <v>46</v>
      </c>
      <c r="Y687" s="46" t="s">
        <v>46</v>
      </c>
      <c r="Z687" s="46" t="s">
        <v>46</v>
      </c>
      <c r="AA687" s="46" t="s">
        <v>46</v>
      </c>
      <c r="AB687" s="46" t="s">
        <v>46</v>
      </c>
      <c r="AC687" s="46" t="s">
        <v>37</v>
      </c>
      <c r="AD687" s="46" t="s">
        <v>46</v>
      </c>
      <c r="AE687" s="46" t="s">
        <v>46</v>
      </c>
      <c r="AF687" s="46" t="s">
        <v>46</v>
      </c>
      <c r="AG687" s="46" t="s">
        <v>46</v>
      </c>
      <c r="AH687" s="46" t="s">
        <v>43</v>
      </c>
      <c r="AI687" s="46" t="s">
        <v>46</v>
      </c>
      <c r="AJ687" s="46">
        <f>=SUM(E688:AI688)</f>
      </c>
      <c r="AK687" s="46">
        <f>=+AY687</f>
      </c>
      <c r="AL687" s="46"/>
      <c r="AM687" s="1"/>
      <c r="AN687" s="1">
        <f>=COUNTIF(E687:AI687,"A")+COUNTIF(E687:AI687,"B")+COUNTIF(E687:AI687,"C")+COUNTIF(E687:AI687,"D")+COUNTIF(E687:AI687,"E")+COUNTIF(E687:AI687,"F")+COUNTIF(E687:AI687,"M")+COUNTIF(E687:AI687,"AB")+COUNTIF(E687:AI687,"UZ")+COUNTIF(E687:AI687,"G")+(COUNTIF(E687:AI687,"RT.")/2)+(COUNTIF(E687:AI687,"ÇRT.")/2)</f>
      </c>
      <c r="AO687" s="1">
        <f>=COUNTIF(E687:AI687,"O")</f>
      </c>
      <c r="AP687" s="1">
        <f>=COUNTIF(E687:AI687,"RT")+(COUNTIF(E687:AI687,"RT.")/2)</f>
      </c>
      <c r="AQ687" s="1">
        <f>=COUNTIF(E687:AI687,"ÇRT")+(COUNTIF(E687:AI687,"ÇRT.")/2)</f>
      </c>
      <c r="AR687" s="1">
        <f>=COUNTIF(E687:AI687,"ÇHT")</f>
      </c>
      <c r="AS687" s="1">
        <f>=COUNTIF(E687:AI687,"Ö")+COUNTIF(E687:AI687,"T")</f>
      </c>
      <c r="AT687" s="1">
        <f>=COUNTIF(E687:AI687,"Y")</f>
      </c>
      <c r="AU687" s="1">
        <f>=COUNTIF(E687:AI687,"R.")</f>
      </c>
      <c r="AV687" s="1">
        <f>=COUNTIF(E687:AI687,"Ü")</f>
      </c>
      <c r="AW687" s="1">
        <f>=COUNTIF(E687:AI687,"R")</f>
      </c>
      <c r="AX687" s="1">
        <f>=COUNTIF(E687:AI687,"DV")</f>
      </c>
      <c r="AY687" s="1">
        <f>=+AN687+AO687+AP687+AQ687+AR687+AS687+AT687+AU687</f>
      </c>
    </row>
    <row r="688" ht="16" customHeight="1" spans="1:51" x14ac:dyDescent="0.25">
      <c r="A688" s="45"/>
      <c r="B688" s="46"/>
      <c r="C688" s="46"/>
      <c r="D688" s="46" t="s">
        <v>33</v>
      </c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  <c r="AC688" s="46"/>
      <c r="AD688" s="46"/>
      <c r="AE688" s="46"/>
      <c r="AF688" s="46"/>
      <c r="AG688" s="46"/>
      <c r="AH688" s="46"/>
      <c r="AI688" s="46"/>
      <c r="AJ688" s="46"/>
      <c r="AK688" s="46"/>
      <c r="AL688" s="46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</row>
    <row r="689" ht="16" customHeight="1" spans="1:51" x14ac:dyDescent="0.25">
      <c r="A689" s="45"/>
      <c r="B689" s="46" t="s">
        <v>730</v>
      </c>
      <c r="C689" s="46" t="s">
        <v>731</v>
      </c>
      <c r="D689" s="46" t="s">
        <v>29</v>
      </c>
      <c r="E689" s="46" t="s">
        <v>36</v>
      </c>
      <c r="F689" s="46" t="s">
        <v>36</v>
      </c>
      <c r="G689" s="46" t="s">
        <v>36</v>
      </c>
      <c r="H689" s="46" t="s">
        <v>36</v>
      </c>
      <c r="I689" s="46" t="s">
        <v>36</v>
      </c>
      <c r="J689" s="46" t="s">
        <v>37</v>
      </c>
      <c r="K689" s="46" t="s">
        <v>36</v>
      </c>
      <c r="L689" s="46" t="s">
        <v>36</v>
      </c>
      <c r="M689" s="46" t="s">
        <v>36</v>
      </c>
      <c r="N689" s="46" t="s">
        <v>36</v>
      </c>
      <c r="O689" s="46" t="s">
        <v>36</v>
      </c>
      <c r="P689" s="46" t="s">
        <v>36</v>
      </c>
      <c r="Q689" s="46" t="s">
        <v>37</v>
      </c>
      <c r="R689" s="46" t="s">
        <v>36</v>
      </c>
      <c r="S689" s="46" t="s">
        <v>36</v>
      </c>
      <c r="T689" s="46" t="s">
        <v>31</v>
      </c>
      <c r="U689" s="46" t="s">
        <v>36</v>
      </c>
      <c r="V689" s="46" t="s">
        <v>31</v>
      </c>
      <c r="W689" s="46" t="s">
        <v>31</v>
      </c>
      <c r="X689" s="46" t="s">
        <v>37</v>
      </c>
      <c r="Y689" s="46" t="s">
        <v>31</v>
      </c>
      <c r="Z689" s="46" t="s">
        <v>31</v>
      </c>
      <c r="AA689" s="46" t="s">
        <v>36</v>
      </c>
      <c r="AB689" s="46" t="s">
        <v>36</v>
      </c>
      <c r="AC689" s="46" t="s">
        <v>36</v>
      </c>
      <c r="AD689" s="46" t="s">
        <v>36</v>
      </c>
      <c r="AE689" s="46" t="s">
        <v>37</v>
      </c>
      <c r="AF689" s="46" t="s">
        <v>36</v>
      </c>
      <c r="AG689" s="46" t="s">
        <v>36</v>
      </c>
      <c r="AH689" s="46" t="s">
        <v>43</v>
      </c>
      <c r="AI689" s="46" t="s">
        <v>36</v>
      </c>
      <c r="AJ689" s="46">
        <f>=SUM(E690:AI690)</f>
      </c>
      <c r="AK689" s="46">
        <f>=+AY689</f>
      </c>
      <c r="AL689" s="46"/>
      <c r="AM689" s="1"/>
      <c r="AN689" s="1">
        <f>=COUNTIF(E689:AI689,"A")+COUNTIF(E689:AI689,"B")+COUNTIF(E689:AI689,"C")+COUNTIF(E689:AI689,"D")+COUNTIF(E689:AI689,"E")+COUNTIF(E689:AI689,"F")+COUNTIF(E689:AI689,"M")+COUNTIF(E689:AI689,"AB")+COUNTIF(E689:AI689,"UZ")+COUNTIF(E689:AI689,"G")+(COUNTIF(E689:AI689,"RT.")/2)+(COUNTIF(E689:AI689,"ÇRT.")/2)</f>
      </c>
      <c r="AO689" s="1">
        <f>=COUNTIF(E689:AI689,"O")</f>
      </c>
      <c r="AP689" s="1">
        <f>=COUNTIF(E689:AI689,"RT")+(COUNTIF(E689:AI689,"RT.")/2)</f>
      </c>
      <c r="AQ689" s="1">
        <f>=COUNTIF(E689:AI689,"ÇRT")+(COUNTIF(E689:AI689,"ÇRT.")/2)</f>
      </c>
      <c r="AR689" s="1">
        <f>=COUNTIF(E689:AI689,"ÇHT")</f>
      </c>
      <c r="AS689" s="1">
        <f>=COUNTIF(E689:AI689,"Ö")+COUNTIF(E689:AI689,"T")</f>
      </c>
      <c r="AT689" s="1">
        <f>=COUNTIF(E689:AI689,"Y")</f>
      </c>
      <c r="AU689" s="1">
        <f>=COUNTIF(E689:AI689,"R.")</f>
      </c>
      <c r="AV689" s="1">
        <f>=COUNTIF(E689:AI689,"Ü")</f>
      </c>
      <c r="AW689" s="1">
        <f>=COUNTIF(E689:AI689,"R")</f>
      </c>
      <c r="AX689" s="1">
        <f>=COUNTIF(E689:AI689,"DV")</f>
      </c>
      <c r="AY689" s="1">
        <f>=+AN689+AO689+AP689+AQ689+AR689+AS689+AT689+AU689</f>
      </c>
    </row>
    <row r="690" ht="16" customHeight="1" spans="1:51" x14ac:dyDescent="0.25">
      <c r="A690" s="45"/>
      <c r="B690" s="46"/>
      <c r="C690" s="46"/>
      <c r="D690" s="46" t="s">
        <v>33</v>
      </c>
      <c r="E690" s="46"/>
      <c r="F690" s="46"/>
      <c r="G690" s="46"/>
      <c r="H690" s="46"/>
      <c r="I690" s="46"/>
      <c r="J690" s="46"/>
      <c r="K690" s="46">
        <v>2</v>
      </c>
      <c r="L690" s="46">
        <v>3</v>
      </c>
      <c r="M690" s="46">
        <v>1</v>
      </c>
      <c r="N690" s="46"/>
      <c r="O690" s="46">
        <v>2</v>
      </c>
      <c r="P690" s="46"/>
      <c r="Q690" s="46"/>
      <c r="R690" s="46">
        <v>1</v>
      </c>
      <c r="S690" s="46">
        <v>1</v>
      </c>
      <c r="T690" s="46"/>
      <c r="U690" s="46">
        <v>2</v>
      </c>
      <c r="V690" s="46"/>
      <c r="W690" s="46"/>
      <c r="X690" s="46"/>
      <c r="Y690" s="46"/>
      <c r="Z690" s="46"/>
      <c r="AA690" s="46"/>
      <c r="AB690" s="46">
        <v>2.5</v>
      </c>
      <c r="AC690" s="46"/>
      <c r="AD690" s="46"/>
      <c r="AE690" s="46"/>
      <c r="AF690" s="46"/>
      <c r="AG690" s="46">
        <v>3</v>
      </c>
      <c r="AH690" s="46">
        <v>2</v>
      </c>
      <c r="AI690" s="46"/>
      <c r="AJ690" s="46"/>
      <c r="AK690" s="46"/>
      <c r="AL690" s="46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</row>
    <row r="691" ht="16" customHeight="1" spans="1:51" x14ac:dyDescent="0.25">
      <c r="A691" s="45"/>
      <c r="B691" s="46" t="s">
        <v>732</v>
      </c>
      <c r="C691" s="46" t="s">
        <v>733</v>
      </c>
      <c r="D691" s="46" t="s">
        <v>29</v>
      </c>
      <c r="E691" s="46" t="s">
        <v>36</v>
      </c>
      <c r="F691" s="46" t="s">
        <v>36</v>
      </c>
      <c r="G691" s="46" t="s">
        <v>36</v>
      </c>
      <c r="H691" s="46" t="s">
        <v>36</v>
      </c>
      <c r="I691" s="46" t="s">
        <v>37</v>
      </c>
      <c r="J691" s="46" t="s">
        <v>36</v>
      </c>
      <c r="K691" s="46" t="s">
        <v>36</v>
      </c>
      <c r="L691" s="46" t="s">
        <v>36</v>
      </c>
      <c r="M691" s="46" t="s">
        <v>36</v>
      </c>
      <c r="N691" s="46" t="s">
        <v>36</v>
      </c>
      <c r="O691" s="46" t="s">
        <v>36</v>
      </c>
      <c r="P691" s="46" t="s">
        <v>37</v>
      </c>
      <c r="Q691" s="46" t="s">
        <v>36</v>
      </c>
      <c r="R691" s="46" t="s">
        <v>36</v>
      </c>
      <c r="S691" s="46" t="s">
        <v>36</v>
      </c>
      <c r="T691" s="46" t="s">
        <v>36</v>
      </c>
      <c r="U691" s="46" t="s">
        <v>36</v>
      </c>
      <c r="V691" s="46" t="s">
        <v>36</v>
      </c>
      <c r="W691" s="46" t="s">
        <v>37</v>
      </c>
      <c r="X691" s="46" t="s">
        <v>36</v>
      </c>
      <c r="Y691" s="46" t="s">
        <v>36</v>
      </c>
      <c r="Z691" s="46" t="s">
        <v>36</v>
      </c>
      <c r="AA691" s="46" t="s">
        <v>36</v>
      </c>
      <c r="AB691" s="46" t="s">
        <v>36</v>
      </c>
      <c r="AC691" s="46" t="s">
        <v>36</v>
      </c>
      <c r="AD691" s="46" t="s">
        <v>37</v>
      </c>
      <c r="AE691" s="46" t="s">
        <v>36</v>
      </c>
      <c r="AF691" s="46" t="s">
        <v>36</v>
      </c>
      <c r="AG691" s="46" t="s">
        <v>36</v>
      </c>
      <c r="AH691" s="46" t="s">
        <v>43</v>
      </c>
      <c r="AI691" s="46" t="s">
        <v>36</v>
      </c>
      <c r="AJ691" s="46">
        <f>=SUM(E692:AI692)</f>
      </c>
      <c r="AK691" s="46">
        <f>=+AY691</f>
      </c>
      <c r="AL691" s="46"/>
      <c r="AM691" s="1"/>
      <c r="AN691" s="1">
        <f>=COUNTIF(E691:AI691,"A")+COUNTIF(E691:AI691,"B")+COUNTIF(E691:AI691,"C")+COUNTIF(E691:AI691,"D")+COUNTIF(E691:AI691,"E")+COUNTIF(E691:AI691,"F")+COUNTIF(E691:AI691,"M")+COUNTIF(E691:AI691,"AB")+COUNTIF(E691:AI691,"UZ")+COUNTIF(E691:AI691,"G")+(COUNTIF(E691:AI691,"RT.")/2)+(COUNTIF(E691:AI691,"ÇRT.")/2)</f>
      </c>
      <c r="AO691" s="1">
        <f>=COUNTIF(E691:AI691,"O")</f>
      </c>
      <c r="AP691" s="1">
        <f>=COUNTIF(E691:AI691,"RT")+(COUNTIF(E691:AI691,"RT.")/2)</f>
      </c>
      <c r="AQ691" s="1">
        <f>=COUNTIF(E691:AI691,"ÇRT")+(COUNTIF(E691:AI691,"ÇRT.")/2)</f>
      </c>
      <c r="AR691" s="1">
        <f>=COUNTIF(E691:AI691,"ÇHT")</f>
      </c>
      <c r="AS691" s="1">
        <f>=COUNTIF(E691:AI691,"Ö")+COUNTIF(E691:AI691,"T")</f>
      </c>
      <c r="AT691" s="1">
        <f>=COUNTIF(E691:AI691,"Y")</f>
      </c>
      <c r="AU691" s="1">
        <f>=COUNTIF(E691:AI691,"R.")</f>
      </c>
      <c r="AV691" s="1">
        <f>=COUNTIF(E691:AI691,"Ü")</f>
      </c>
      <c r="AW691" s="1">
        <f>=COUNTIF(E691:AI691,"R")</f>
      </c>
      <c r="AX691" s="1">
        <f>=COUNTIF(E691:AI691,"DV")</f>
      </c>
      <c r="AY691" s="1">
        <f>=+AN691+AO691+AP691+AQ691+AR691+AS691+AT691+AU691</f>
      </c>
    </row>
    <row r="692" ht="16" customHeight="1" spans="1:51" x14ac:dyDescent="0.25">
      <c r="A692" s="45"/>
      <c r="B692" s="46"/>
      <c r="C692" s="46"/>
      <c r="D692" s="46" t="s">
        <v>33</v>
      </c>
      <c r="E692" s="46"/>
      <c r="F692" s="46"/>
      <c r="G692" s="46"/>
      <c r="H692" s="46"/>
      <c r="I692" s="46"/>
      <c r="J692" s="46"/>
      <c r="K692" s="46"/>
      <c r="L692" s="46"/>
      <c r="M692" s="46">
        <v>0</v>
      </c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  <c r="AC692" s="46"/>
      <c r="AD692" s="46"/>
      <c r="AE692" s="46"/>
      <c r="AF692" s="46">
        <v>2</v>
      </c>
      <c r="AG692" s="46">
        <v>3</v>
      </c>
      <c r="AH692" s="46">
        <v>2</v>
      </c>
      <c r="AI692" s="46"/>
      <c r="AJ692" s="46"/>
      <c r="AK692" s="46"/>
      <c r="AL692" s="46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</row>
    <row r="693" ht="16" customHeight="1" spans="1:51" x14ac:dyDescent="0.25">
      <c r="A693" s="45"/>
      <c r="B693" s="46" t="s">
        <v>734</v>
      </c>
      <c r="C693" s="46" t="s">
        <v>735</v>
      </c>
      <c r="D693" s="46" t="s">
        <v>29</v>
      </c>
      <c r="E693" s="46" t="s">
        <v>36</v>
      </c>
      <c r="F693" s="46" t="s">
        <v>36</v>
      </c>
      <c r="G693" s="46" t="s">
        <v>36</v>
      </c>
      <c r="H693" s="46" t="s">
        <v>36</v>
      </c>
      <c r="I693" s="46" t="s">
        <v>37</v>
      </c>
      <c r="J693" s="46" t="s">
        <v>36</v>
      </c>
      <c r="K693" s="46" t="s">
        <v>36</v>
      </c>
      <c r="L693" s="46" t="s">
        <v>36</v>
      </c>
      <c r="M693" s="46" t="s">
        <v>36</v>
      </c>
      <c r="N693" s="46" t="s">
        <v>36</v>
      </c>
      <c r="O693" s="46" t="s">
        <v>36</v>
      </c>
      <c r="P693" s="46" t="s">
        <v>36</v>
      </c>
      <c r="Q693" s="46" t="s">
        <v>37</v>
      </c>
      <c r="R693" s="46" t="s">
        <v>36</v>
      </c>
      <c r="S693" s="46" t="s">
        <v>36</v>
      </c>
      <c r="T693" s="46" t="s">
        <v>36</v>
      </c>
      <c r="U693" s="46" t="s">
        <v>36</v>
      </c>
      <c r="V693" s="46" t="s">
        <v>36</v>
      </c>
      <c r="W693" s="46" t="s">
        <v>36</v>
      </c>
      <c r="X693" s="46" t="s">
        <v>37</v>
      </c>
      <c r="Y693" s="46" t="s">
        <v>36</v>
      </c>
      <c r="Z693" s="46" t="s">
        <v>36</v>
      </c>
      <c r="AA693" s="46" t="s">
        <v>36</v>
      </c>
      <c r="AB693" s="46" t="s">
        <v>36</v>
      </c>
      <c r="AC693" s="46" t="s">
        <v>36</v>
      </c>
      <c r="AD693" s="46" t="s">
        <v>36</v>
      </c>
      <c r="AE693" s="46" t="s">
        <v>37</v>
      </c>
      <c r="AF693" s="46" t="s">
        <v>36</v>
      </c>
      <c r="AG693" s="46" t="s">
        <v>36</v>
      </c>
      <c r="AH693" s="46" t="s">
        <v>43</v>
      </c>
      <c r="AI693" s="46" t="s">
        <v>36</v>
      </c>
      <c r="AJ693" s="46">
        <f>=SUM(E694:AI694)</f>
      </c>
      <c r="AK693" s="46">
        <f>=+AY693</f>
      </c>
      <c r="AL693" s="46"/>
      <c r="AM693" s="1"/>
      <c r="AN693" s="1">
        <f>=COUNTIF(E693:AI693,"A")+COUNTIF(E693:AI693,"B")+COUNTIF(E693:AI693,"C")+COUNTIF(E693:AI693,"D")+COUNTIF(E693:AI693,"E")+COUNTIF(E693:AI693,"F")+COUNTIF(E693:AI693,"M")+COUNTIF(E693:AI693,"AB")+COUNTIF(E693:AI693,"UZ")+COUNTIF(E693:AI693,"G")+(COUNTIF(E693:AI693,"RT.")/2)+(COUNTIF(E693:AI693,"ÇRT.")/2)</f>
      </c>
      <c r="AO693" s="1">
        <f>=COUNTIF(E693:AI693,"O")</f>
      </c>
      <c r="AP693" s="1">
        <f>=COUNTIF(E693:AI693,"RT")+(COUNTIF(E693:AI693,"RT.")/2)</f>
      </c>
      <c r="AQ693" s="1">
        <f>=COUNTIF(E693:AI693,"ÇRT")+(COUNTIF(E693:AI693,"ÇRT.")/2)</f>
      </c>
      <c r="AR693" s="1">
        <f>=COUNTIF(E693:AI693,"ÇHT")</f>
      </c>
      <c r="AS693" s="1">
        <f>=COUNTIF(E693:AI693,"Ö")+COUNTIF(E693:AI693,"T")</f>
      </c>
      <c r="AT693" s="1">
        <f>=COUNTIF(E693:AI693,"Y")</f>
      </c>
      <c r="AU693" s="1">
        <f>=COUNTIF(E693:AI693,"R.")</f>
      </c>
      <c r="AV693" s="1">
        <f>=COUNTIF(E693:AI693,"Ü")</f>
      </c>
      <c r="AW693" s="1">
        <f>=COUNTIF(E693:AI693,"R")</f>
      </c>
      <c r="AX693" s="1">
        <f>=COUNTIF(E693:AI693,"DV")</f>
      </c>
      <c r="AY693" s="1">
        <f>=+AN693+AO693+AP693+AQ693+AR693+AS693+AT693+AU693</f>
      </c>
    </row>
    <row r="694" ht="16" customHeight="1" spans="1:51" x14ac:dyDescent="0.25">
      <c r="A694" s="45"/>
      <c r="B694" s="46"/>
      <c r="C694" s="46"/>
      <c r="D694" s="46" t="s">
        <v>33</v>
      </c>
      <c r="E694" s="46"/>
      <c r="F694" s="46"/>
      <c r="G694" s="46">
        <v>2</v>
      </c>
      <c r="H694" s="46"/>
      <c r="I694" s="46"/>
      <c r="J694" s="46"/>
      <c r="K694" s="46"/>
      <c r="L694" s="46">
        <v>1</v>
      </c>
      <c r="M694" s="46">
        <v>1</v>
      </c>
      <c r="N694" s="46">
        <v>2.5</v>
      </c>
      <c r="O694" s="46"/>
      <c r="P694" s="46"/>
      <c r="Q694" s="46"/>
      <c r="R694" s="46">
        <v>3</v>
      </c>
      <c r="S694" s="46"/>
      <c r="T694" s="46"/>
      <c r="U694" s="46">
        <v>2</v>
      </c>
      <c r="V694" s="46"/>
      <c r="W694" s="46"/>
      <c r="X694" s="46"/>
      <c r="Y694" s="46">
        <v>1</v>
      </c>
      <c r="Z694" s="46"/>
      <c r="AA694" s="46"/>
      <c r="AB694" s="46"/>
      <c r="AC694" s="46"/>
      <c r="AD694" s="46"/>
      <c r="AE694" s="46"/>
      <c r="AF694" s="46">
        <v>1</v>
      </c>
      <c r="AG694" s="46"/>
      <c r="AH694" s="46"/>
      <c r="AI694" s="46"/>
      <c r="AJ694" s="46"/>
      <c r="AK694" s="46"/>
      <c r="AL694" s="46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</row>
    <row r="695" ht="16" customHeight="1" spans="1:51" x14ac:dyDescent="0.25">
      <c r="A695" s="45"/>
      <c r="B695" s="46" t="s">
        <v>736</v>
      </c>
      <c r="C695" s="46" t="s">
        <v>737</v>
      </c>
      <c r="D695" s="46" t="s">
        <v>29</v>
      </c>
      <c r="E695" s="46" t="s">
        <v>37</v>
      </c>
      <c r="F695" s="46" t="s">
        <v>59</v>
      </c>
      <c r="G695" s="46" t="s">
        <v>59</v>
      </c>
      <c r="H695" s="46" t="s">
        <v>59</v>
      </c>
      <c r="I695" s="46" t="s">
        <v>59</v>
      </c>
      <c r="J695" s="46" t="s">
        <v>59</v>
      </c>
      <c r="K695" s="46" t="s">
        <v>59</v>
      </c>
      <c r="L695" s="46" t="s">
        <v>37</v>
      </c>
      <c r="M695" s="46" t="s">
        <v>59</v>
      </c>
      <c r="N695" s="46" t="s">
        <v>59</v>
      </c>
      <c r="O695" s="46" t="s">
        <v>59</v>
      </c>
      <c r="P695" s="46" t="s">
        <v>59</v>
      </c>
      <c r="Q695" s="46" t="s">
        <v>59</v>
      </c>
      <c r="R695" s="46" t="s">
        <v>59</v>
      </c>
      <c r="S695" s="46" t="s">
        <v>37</v>
      </c>
      <c r="T695" s="46" t="s">
        <v>59</v>
      </c>
      <c r="U695" s="46" t="s">
        <v>59</v>
      </c>
      <c r="V695" s="46" t="s">
        <v>59</v>
      </c>
      <c r="W695" s="46" t="s">
        <v>59</v>
      </c>
      <c r="X695" s="46" t="s">
        <v>59</v>
      </c>
      <c r="Y695" s="46" t="s">
        <v>59</v>
      </c>
      <c r="Z695" s="46" t="s">
        <v>37</v>
      </c>
      <c r="AA695" s="46" t="s">
        <v>59</v>
      </c>
      <c r="AB695" s="46" t="s">
        <v>59</v>
      </c>
      <c r="AC695" s="46" t="s">
        <v>59</v>
      </c>
      <c r="AD695" s="46" t="s">
        <v>59</v>
      </c>
      <c r="AE695" s="46" t="s">
        <v>59</v>
      </c>
      <c r="AF695" s="46" t="s">
        <v>59</v>
      </c>
      <c r="AG695" s="46" t="s">
        <v>222</v>
      </c>
      <c r="AH695" s="46" t="s">
        <v>43</v>
      </c>
      <c r="AI695" s="46" t="s">
        <v>59</v>
      </c>
      <c r="AJ695" s="46">
        <f>=SUM(E696:AI696)</f>
      </c>
      <c r="AK695" s="46">
        <f>=+AY695</f>
      </c>
      <c r="AL695" s="46"/>
      <c r="AM695" s="1"/>
      <c r="AN695" s="1">
        <f>=COUNTIF(E695:AI695,"A")+COUNTIF(E695:AI695,"B")+COUNTIF(E695:AI695,"C")+COUNTIF(E695:AI695,"D")+COUNTIF(E695:AI695,"E")+COUNTIF(E695:AI695,"F")+COUNTIF(E695:AI695,"M")+COUNTIF(E695:AI695,"AB")+COUNTIF(E695:AI695,"UZ")+COUNTIF(E695:AI695,"G")+(COUNTIF(E695:AI695,"RT.")/2)+(COUNTIF(E695:AI695,"ÇRT.")/2)</f>
      </c>
      <c r="AO695" s="1">
        <f>=COUNTIF(E695:AI695,"O")</f>
      </c>
      <c r="AP695" s="1">
        <f>=COUNTIF(E695:AI695,"RT")+(COUNTIF(E695:AI695,"RT.")/2)</f>
      </c>
      <c r="AQ695" s="1">
        <f>=COUNTIF(E695:AI695,"ÇRT")+(COUNTIF(E695:AI695,"ÇRT.")/2)</f>
      </c>
      <c r="AR695" s="1">
        <f>=COUNTIF(E695:AI695,"ÇHT")</f>
      </c>
      <c r="AS695" s="1">
        <f>=COUNTIF(E695:AI695,"Ö")+COUNTIF(E695:AI695,"T")</f>
      </c>
      <c r="AT695" s="1">
        <f>=COUNTIF(E695:AI695,"Y")</f>
      </c>
      <c r="AU695" s="1">
        <f>=COUNTIF(E695:AI695,"R.")</f>
      </c>
      <c r="AV695" s="1">
        <f>=COUNTIF(E695:AI695,"Ü")</f>
      </c>
      <c r="AW695" s="1">
        <f>=COUNTIF(E695:AI695,"R")</f>
      </c>
      <c r="AX695" s="1">
        <f>=COUNTIF(E695:AI695,"DV")</f>
      </c>
      <c r="AY695" s="1">
        <f>=+AN695+AO695+AP695+AQ695+AR695+AS695+AT695+AU695</f>
      </c>
    </row>
    <row r="696" ht="16" customHeight="1" spans="1:51" x14ac:dyDescent="0.25">
      <c r="A696" s="45"/>
      <c r="B696" s="46"/>
      <c r="C696" s="46"/>
      <c r="D696" s="46" t="s">
        <v>33</v>
      </c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  <c r="AC696" s="46"/>
      <c r="AD696" s="46"/>
      <c r="AE696" s="46"/>
      <c r="AF696" s="46"/>
      <c r="AG696" s="46">
        <v>3</v>
      </c>
      <c r="AH696" s="46">
        <v>2</v>
      </c>
      <c r="AI696" s="46"/>
      <c r="AJ696" s="46"/>
      <c r="AK696" s="46"/>
      <c r="AL696" s="46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</row>
    <row r="697" ht="16" customHeight="1" spans="1:51" x14ac:dyDescent="0.25">
      <c r="A697" s="45"/>
      <c r="B697" s="46" t="s">
        <v>738</v>
      </c>
      <c r="C697" s="46" t="s">
        <v>739</v>
      </c>
      <c r="D697" s="46" t="s">
        <v>29</v>
      </c>
      <c r="E697" s="46" t="s">
        <v>46</v>
      </c>
      <c r="F697" s="46" t="s">
        <v>46</v>
      </c>
      <c r="G697" s="46" t="s">
        <v>46</v>
      </c>
      <c r="H697" s="46" t="s">
        <v>46</v>
      </c>
      <c r="I697" s="46" t="s">
        <v>46</v>
      </c>
      <c r="J697" s="46" t="s">
        <v>46</v>
      </c>
      <c r="K697" s="46" t="s">
        <v>37</v>
      </c>
      <c r="L697" s="46" t="s">
        <v>30</v>
      </c>
      <c r="M697" s="46" t="s">
        <v>30</v>
      </c>
      <c r="N697" s="46" t="s">
        <v>30</v>
      </c>
      <c r="O697" s="46" t="s">
        <v>30</v>
      </c>
      <c r="P697" s="46" t="s">
        <v>30</v>
      </c>
      <c r="Q697" s="46" t="s">
        <v>30</v>
      </c>
      <c r="R697" s="46" t="s">
        <v>37</v>
      </c>
      <c r="S697" s="46" t="s">
        <v>30</v>
      </c>
      <c r="T697" s="46" t="s">
        <v>30</v>
      </c>
      <c r="U697" s="46" t="s">
        <v>30</v>
      </c>
      <c r="V697" s="46" t="s">
        <v>30</v>
      </c>
      <c r="W697" s="46" t="s">
        <v>30</v>
      </c>
      <c r="X697" s="46" t="s">
        <v>30</v>
      </c>
      <c r="Y697" s="46" t="s">
        <v>37</v>
      </c>
      <c r="Z697" s="46" t="s">
        <v>36</v>
      </c>
      <c r="AA697" s="46" t="s">
        <v>36</v>
      </c>
      <c r="AB697" s="46" t="s">
        <v>36</v>
      </c>
      <c r="AC697" s="46" t="s">
        <v>36</v>
      </c>
      <c r="AD697" s="46" t="s">
        <v>36</v>
      </c>
      <c r="AE697" s="46" t="s">
        <v>36</v>
      </c>
      <c r="AF697" s="46" t="s">
        <v>222</v>
      </c>
      <c r="AG697" s="46" t="s">
        <v>36</v>
      </c>
      <c r="AH697" s="46" t="s">
        <v>43</v>
      </c>
      <c r="AI697" s="46" t="s">
        <v>36</v>
      </c>
      <c r="AJ697" s="46">
        <f>=SUM(E698:AI698)</f>
      </c>
      <c r="AK697" s="46">
        <f>=+AY697</f>
      </c>
      <c r="AL697" s="46"/>
      <c r="AM697" s="1"/>
      <c r="AN697" s="1">
        <f>=COUNTIF(E697:AI697,"A")+COUNTIF(E697:AI697,"B")+COUNTIF(E697:AI697,"C")+COUNTIF(E697:AI697,"D")+COUNTIF(E697:AI697,"E")+COUNTIF(E697:AI697,"F")+COUNTIF(E697:AI697,"M")+COUNTIF(E697:AI697,"AB")+COUNTIF(E697:AI697,"UZ")+COUNTIF(E697:AI697,"G")+(COUNTIF(E697:AI697,"RT.")/2)+(COUNTIF(E697:AI697,"ÇRT.")/2)</f>
      </c>
      <c r="AO697" s="1">
        <f>=COUNTIF(E697:AI697,"O")</f>
      </c>
      <c r="AP697" s="1">
        <f>=COUNTIF(E697:AI697,"RT")+(COUNTIF(E697:AI697,"RT.")/2)</f>
      </c>
      <c r="AQ697" s="1">
        <f>=COUNTIF(E697:AI697,"ÇRT")+(COUNTIF(E697:AI697,"ÇRT.")/2)</f>
      </c>
      <c r="AR697" s="1">
        <f>=COUNTIF(E697:AI697,"ÇHT")</f>
      </c>
      <c r="AS697" s="1">
        <f>=COUNTIF(E697:AI697,"Ö")+COUNTIF(E697:AI697,"T")</f>
      </c>
      <c r="AT697" s="1">
        <f>=COUNTIF(E697:AI697,"Y")</f>
      </c>
      <c r="AU697" s="1">
        <f>=COUNTIF(E697:AI697,"R.")</f>
      </c>
      <c r="AV697" s="1">
        <f>=COUNTIF(E697:AI697,"Ü")</f>
      </c>
      <c r="AW697" s="1">
        <f>=COUNTIF(E697:AI697,"R")</f>
      </c>
      <c r="AX697" s="1">
        <f>=COUNTIF(E697:AI697,"DV")</f>
      </c>
      <c r="AY697" s="1">
        <f>=+AN697+AO697+AP697+AQ697+AR697+AS697+AT697+AU697</f>
      </c>
    </row>
    <row r="698" ht="16" customHeight="1" spans="1:51" x14ac:dyDescent="0.25">
      <c r="A698" s="45"/>
      <c r="B698" s="46"/>
      <c r="C698" s="46"/>
      <c r="D698" s="46" t="s">
        <v>33</v>
      </c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  <c r="AC698" s="46"/>
      <c r="AD698" s="46"/>
      <c r="AE698" s="46"/>
      <c r="AF698" s="46"/>
      <c r="AG698" s="46"/>
      <c r="AH698" s="46"/>
      <c r="AI698" s="46"/>
      <c r="AJ698" s="46"/>
      <c r="AK698" s="46"/>
      <c r="AL698" s="46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</row>
    <row r="699" ht="16" customHeight="1" spans="1:51" x14ac:dyDescent="0.25">
      <c r="A699" s="45"/>
      <c r="B699" s="46" t="s">
        <v>740</v>
      </c>
      <c r="C699" s="46" t="s">
        <v>741</v>
      </c>
      <c r="D699" s="46" t="s">
        <v>29</v>
      </c>
      <c r="E699" s="46" t="s">
        <v>37</v>
      </c>
      <c r="F699" s="46" t="s">
        <v>36</v>
      </c>
      <c r="G699" s="46" t="s">
        <v>36</v>
      </c>
      <c r="H699" s="46" t="s">
        <v>36</v>
      </c>
      <c r="I699" s="46" t="s">
        <v>36</v>
      </c>
      <c r="J699" s="46" t="s">
        <v>36</v>
      </c>
      <c r="K699" s="46" t="s">
        <v>36</v>
      </c>
      <c r="L699" s="46" t="s">
        <v>36</v>
      </c>
      <c r="M699" s="46" t="s">
        <v>37</v>
      </c>
      <c r="N699" s="46" t="s">
        <v>36</v>
      </c>
      <c r="O699" s="46" t="s">
        <v>36</v>
      </c>
      <c r="P699" s="46" t="s">
        <v>36</v>
      </c>
      <c r="Q699" s="46" t="s">
        <v>36</v>
      </c>
      <c r="R699" s="46" t="s">
        <v>36</v>
      </c>
      <c r="S699" s="46" t="s">
        <v>36</v>
      </c>
      <c r="T699" s="46" t="s">
        <v>37</v>
      </c>
      <c r="U699" s="46" t="s">
        <v>36</v>
      </c>
      <c r="V699" s="46" t="s">
        <v>36</v>
      </c>
      <c r="W699" s="46" t="s">
        <v>36</v>
      </c>
      <c r="X699" s="46" t="s">
        <v>36</v>
      </c>
      <c r="Y699" s="46" t="s">
        <v>36</v>
      </c>
      <c r="Z699" s="46" t="s">
        <v>36</v>
      </c>
      <c r="AA699" s="46" t="s">
        <v>37</v>
      </c>
      <c r="AB699" s="46" t="s">
        <v>36</v>
      </c>
      <c r="AC699" s="46" t="s">
        <v>36</v>
      </c>
      <c r="AD699" s="46" t="s">
        <v>36</v>
      </c>
      <c r="AE699" s="46" t="s">
        <v>36</v>
      </c>
      <c r="AF699" s="46" t="s">
        <v>36</v>
      </c>
      <c r="AG699" s="46" t="s">
        <v>222</v>
      </c>
      <c r="AH699" s="46" t="s">
        <v>43</v>
      </c>
      <c r="AI699" s="46" t="s">
        <v>36</v>
      </c>
      <c r="AJ699" s="46">
        <f>=SUM(E700:AI700)</f>
      </c>
      <c r="AK699" s="46">
        <f>=+AY699</f>
      </c>
      <c r="AL699" s="46"/>
      <c r="AM699" s="1"/>
      <c r="AN699" s="1">
        <f>=COUNTIF(E699:AI699,"A")+COUNTIF(E699:AI699,"B")+COUNTIF(E699:AI699,"C")+COUNTIF(E699:AI699,"D")+COUNTIF(E699:AI699,"E")+COUNTIF(E699:AI699,"F")+COUNTIF(E699:AI699,"M")+COUNTIF(E699:AI699,"AB")+COUNTIF(E699:AI699,"UZ")+COUNTIF(E699:AI699,"G")+(COUNTIF(E699:AI699,"RT.")/2)+(COUNTIF(E699:AI699,"ÇRT.")/2)</f>
      </c>
      <c r="AO699" s="1">
        <f>=COUNTIF(E699:AI699,"O")</f>
      </c>
      <c r="AP699" s="1">
        <f>=COUNTIF(E699:AI699,"RT")+(COUNTIF(E699:AI699,"RT.")/2)</f>
      </c>
      <c r="AQ699" s="1">
        <f>=COUNTIF(E699:AI699,"ÇRT")+(COUNTIF(E699:AI699,"ÇRT.")/2)</f>
      </c>
      <c r="AR699" s="1">
        <f>=COUNTIF(E699:AI699,"ÇHT")</f>
      </c>
      <c r="AS699" s="1">
        <f>=COUNTIF(E699:AI699,"Ö")+COUNTIF(E699:AI699,"T")</f>
      </c>
      <c r="AT699" s="1">
        <f>=COUNTIF(E699:AI699,"Y")</f>
      </c>
      <c r="AU699" s="1">
        <f>=COUNTIF(E699:AI699,"R.")</f>
      </c>
      <c r="AV699" s="1">
        <f>=COUNTIF(E699:AI699,"Ü")</f>
      </c>
      <c r="AW699" s="1">
        <f>=COUNTIF(E699:AI699,"R")</f>
      </c>
      <c r="AX699" s="1">
        <f>=COUNTIF(E699:AI699,"DV")</f>
      </c>
      <c r="AY699" s="1">
        <f>=+AN699+AO699+AP699+AQ699+AR699+AS699+AT699+AU699</f>
      </c>
    </row>
    <row r="700" ht="16" customHeight="1" spans="1:51" x14ac:dyDescent="0.25">
      <c r="A700" s="45"/>
      <c r="B700" s="46"/>
      <c r="C700" s="46"/>
      <c r="D700" s="46" t="s">
        <v>33</v>
      </c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  <c r="AC700" s="46"/>
      <c r="AD700" s="46"/>
      <c r="AE700" s="46"/>
      <c r="AF700" s="46">
        <v>2</v>
      </c>
      <c r="AG700" s="46"/>
      <c r="AH700" s="46"/>
      <c r="AI700" s="46"/>
      <c r="AJ700" s="46"/>
      <c r="AK700" s="46"/>
      <c r="AL700" s="46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</row>
    <row r="701" ht="16" customHeight="1" spans="1:51" x14ac:dyDescent="0.25">
      <c r="A701" s="45"/>
      <c r="B701" s="46" t="s">
        <v>742</v>
      </c>
      <c r="C701" s="46" t="s">
        <v>743</v>
      </c>
      <c r="D701" s="46" t="s">
        <v>29</v>
      </c>
      <c r="E701" s="46" t="s">
        <v>37</v>
      </c>
      <c r="F701" s="46" t="s">
        <v>36</v>
      </c>
      <c r="G701" s="46" t="s">
        <v>36</v>
      </c>
      <c r="H701" s="46" t="s">
        <v>36</v>
      </c>
      <c r="I701" s="46" t="s">
        <v>36</v>
      </c>
      <c r="J701" s="46" t="s">
        <v>36</v>
      </c>
      <c r="K701" s="46" t="s">
        <v>37</v>
      </c>
      <c r="L701" s="46" t="s">
        <v>36</v>
      </c>
      <c r="M701" s="46" t="s">
        <v>36</v>
      </c>
      <c r="N701" s="46" t="s">
        <v>36</v>
      </c>
      <c r="O701" s="46" t="s">
        <v>36</v>
      </c>
      <c r="P701" s="46" t="s">
        <v>36</v>
      </c>
      <c r="Q701" s="46" t="s">
        <v>36</v>
      </c>
      <c r="R701" s="46" t="s">
        <v>37</v>
      </c>
      <c r="S701" s="46" t="s">
        <v>36</v>
      </c>
      <c r="T701" s="46" t="s">
        <v>36</v>
      </c>
      <c r="U701" s="46" t="s">
        <v>36</v>
      </c>
      <c r="V701" s="46" t="s">
        <v>36</v>
      </c>
      <c r="W701" s="46" t="s">
        <v>36</v>
      </c>
      <c r="X701" s="46" t="s">
        <v>36</v>
      </c>
      <c r="Y701" s="46" t="s">
        <v>37</v>
      </c>
      <c r="Z701" s="46" t="s">
        <v>36</v>
      </c>
      <c r="AA701" s="46" t="s">
        <v>36</v>
      </c>
      <c r="AB701" s="46" t="s">
        <v>36</v>
      </c>
      <c r="AC701" s="46" t="s">
        <v>36</v>
      </c>
      <c r="AD701" s="46" t="s">
        <v>36</v>
      </c>
      <c r="AE701" s="46" t="s">
        <v>36</v>
      </c>
      <c r="AF701" s="46" t="s">
        <v>37</v>
      </c>
      <c r="AG701" s="46" t="s">
        <v>36</v>
      </c>
      <c r="AH701" s="46" t="s">
        <v>43</v>
      </c>
      <c r="AI701" s="46" t="s">
        <v>36</v>
      </c>
      <c r="AJ701" s="46">
        <f>=SUM(E702:AI702)</f>
      </c>
      <c r="AK701" s="46">
        <f>=+AY701</f>
      </c>
      <c r="AL701" s="46"/>
      <c r="AM701" s="1"/>
      <c r="AN701" s="1">
        <f>=COUNTIF(E701:AI701,"A")+COUNTIF(E701:AI701,"B")+COUNTIF(E701:AI701,"C")+COUNTIF(E701:AI701,"D")+COUNTIF(E701:AI701,"E")+COUNTIF(E701:AI701,"F")+COUNTIF(E701:AI701,"M")+COUNTIF(E701:AI701,"AB")+COUNTIF(E701:AI701,"UZ")+COUNTIF(E701:AI701,"G")+(COUNTIF(E701:AI701,"RT.")/2)+(COUNTIF(E701:AI701,"ÇRT.")/2)</f>
      </c>
      <c r="AO701" s="1">
        <f>=COUNTIF(E701:AI701,"O")</f>
      </c>
      <c r="AP701" s="1">
        <f>=COUNTIF(E701:AI701,"RT")+(COUNTIF(E701:AI701,"RT.")/2)</f>
      </c>
      <c r="AQ701" s="1">
        <f>=COUNTIF(E701:AI701,"ÇRT")+(COUNTIF(E701:AI701,"ÇRT.")/2)</f>
      </c>
      <c r="AR701" s="1">
        <f>=COUNTIF(E701:AI701,"ÇHT")</f>
      </c>
      <c r="AS701" s="1">
        <f>=COUNTIF(E701:AI701,"Ö")+COUNTIF(E701:AI701,"T")</f>
      </c>
      <c r="AT701" s="1">
        <f>=COUNTIF(E701:AI701,"Y")</f>
      </c>
      <c r="AU701" s="1">
        <f>=COUNTIF(E701:AI701,"R.")</f>
      </c>
      <c r="AV701" s="1">
        <f>=COUNTIF(E701:AI701,"Ü")</f>
      </c>
      <c r="AW701" s="1">
        <f>=COUNTIF(E701:AI701,"R")</f>
      </c>
      <c r="AX701" s="1">
        <f>=COUNTIF(E701:AI701,"DV")</f>
      </c>
      <c r="AY701" s="1">
        <f>=+AN701+AO701+AP701+AQ701+AR701+AS701+AT701+AU701</f>
      </c>
    </row>
    <row r="702" ht="16" customHeight="1" spans="1:51" x14ac:dyDescent="0.25">
      <c r="A702" s="45"/>
      <c r="B702" s="46"/>
      <c r="C702" s="46"/>
      <c r="D702" s="46" t="s">
        <v>33</v>
      </c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  <c r="AC702" s="46"/>
      <c r="AD702" s="46"/>
      <c r="AE702" s="46"/>
      <c r="AF702" s="46"/>
      <c r="AG702" s="46"/>
      <c r="AH702" s="46"/>
      <c r="AI702" s="46"/>
      <c r="AJ702" s="46"/>
      <c r="AK702" s="46"/>
      <c r="AL702" s="46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</row>
    <row r="703" ht="16" customHeight="1" spans="1:51" x14ac:dyDescent="0.25">
      <c r="A703" s="45"/>
      <c r="B703" s="46" t="s">
        <v>744</v>
      </c>
      <c r="C703" s="46" t="s">
        <v>745</v>
      </c>
      <c r="D703" s="46" t="s">
        <v>29</v>
      </c>
      <c r="E703" s="46" t="s">
        <v>36</v>
      </c>
      <c r="F703" s="46" t="s">
        <v>36</v>
      </c>
      <c r="G703" s="46" t="s">
        <v>36</v>
      </c>
      <c r="H703" s="46" t="s">
        <v>37</v>
      </c>
      <c r="I703" s="46" t="s">
        <v>36</v>
      </c>
      <c r="J703" s="46" t="s">
        <v>36</v>
      </c>
      <c r="K703" s="46" t="s">
        <v>36</v>
      </c>
      <c r="L703" s="46" t="s">
        <v>36</v>
      </c>
      <c r="M703" s="46" t="s">
        <v>36</v>
      </c>
      <c r="N703" s="46" t="s">
        <v>36</v>
      </c>
      <c r="O703" s="46" t="s">
        <v>37</v>
      </c>
      <c r="P703" s="46" t="s">
        <v>36</v>
      </c>
      <c r="Q703" s="46" t="s">
        <v>36</v>
      </c>
      <c r="R703" s="46" t="s">
        <v>36</v>
      </c>
      <c r="S703" s="46" t="s">
        <v>36</v>
      </c>
      <c r="T703" s="46" t="s">
        <v>36</v>
      </c>
      <c r="U703" s="46" t="s">
        <v>36</v>
      </c>
      <c r="V703" s="46" t="s">
        <v>37</v>
      </c>
      <c r="W703" s="46" t="s">
        <v>36</v>
      </c>
      <c r="X703" s="46" t="s">
        <v>36</v>
      </c>
      <c r="Y703" s="46" t="s">
        <v>36</v>
      </c>
      <c r="Z703" s="46" t="s">
        <v>36</v>
      </c>
      <c r="AA703" s="46" t="s">
        <v>36</v>
      </c>
      <c r="AB703" s="46" t="s">
        <v>36</v>
      </c>
      <c r="AC703" s="46" t="s">
        <v>36</v>
      </c>
      <c r="AD703" s="46" t="s">
        <v>37</v>
      </c>
      <c r="AE703" s="46" t="s">
        <v>36</v>
      </c>
      <c r="AF703" s="46" t="s">
        <v>36</v>
      </c>
      <c r="AG703" s="46" t="s">
        <v>36</v>
      </c>
      <c r="AH703" s="46" t="s">
        <v>43</v>
      </c>
      <c r="AI703" s="46" t="s">
        <v>36</v>
      </c>
      <c r="AJ703" s="46">
        <f>=SUM(E704:AI704)</f>
      </c>
      <c r="AK703" s="46">
        <f>=+AY703</f>
      </c>
      <c r="AL703" s="46"/>
      <c r="AM703" s="1"/>
      <c r="AN703" s="1">
        <f>=COUNTIF(E703:AI703,"A")+COUNTIF(E703:AI703,"B")+COUNTIF(E703:AI703,"C")+COUNTIF(E703:AI703,"D")+COUNTIF(E703:AI703,"E")+COUNTIF(E703:AI703,"F")+COUNTIF(E703:AI703,"M")+COUNTIF(E703:AI703,"AB")+COUNTIF(E703:AI703,"UZ")+COUNTIF(E703:AI703,"G")+(COUNTIF(E703:AI703,"RT.")/2)+(COUNTIF(E703:AI703,"ÇRT.")/2)</f>
      </c>
      <c r="AO703" s="1">
        <f>=COUNTIF(E703:AI703,"O")</f>
      </c>
      <c r="AP703" s="1">
        <f>=COUNTIF(E703:AI703,"RT")+(COUNTIF(E703:AI703,"RT.")/2)</f>
      </c>
      <c r="AQ703" s="1">
        <f>=COUNTIF(E703:AI703,"ÇRT")+(COUNTIF(E703:AI703,"ÇRT.")/2)</f>
      </c>
      <c r="AR703" s="1">
        <f>=COUNTIF(E703:AI703,"ÇHT")</f>
      </c>
      <c r="AS703" s="1">
        <f>=COUNTIF(E703:AI703,"Ö")+COUNTIF(E703:AI703,"T")</f>
      </c>
      <c r="AT703" s="1">
        <f>=COUNTIF(E703:AI703,"Y")</f>
      </c>
      <c r="AU703" s="1">
        <f>=COUNTIF(E703:AI703,"R.")</f>
      </c>
      <c r="AV703" s="1">
        <f>=COUNTIF(E703:AI703,"Ü")</f>
      </c>
      <c r="AW703" s="1">
        <f>=COUNTIF(E703:AI703,"R")</f>
      </c>
      <c r="AX703" s="1">
        <f>=COUNTIF(E703:AI703,"DV")</f>
      </c>
      <c r="AY703" s="1">
        <f>=+AN703+AO703+AP703+AQ703+AR703+AS703+AT703+AU703</f>
      </c>
    </row>
    <row r="704" ht="16" customHeight="1" spans="1:51" x14ac:dyDescent="0.25">
      <c r="A704" s="45"/>
      <c r="B704" s="46"/>
      <c r="C704" s="46"/>
      <c r="D704" s="46" t="s">
        <v>33</v>
      </c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  <c r="AC704" s="46"/>
      <c r="AD704" s="46"/>
      <c r="AE704" s="46"/>
      <c r="AF704" s="46"/>
      <c r="AG704" s="46"/>
      <c r="AH704" s="46"/>
      <c r="AI704" s="46"/>
      <c r="AJ704" s="46"/>
      <c r="AK704" s="46"/>
      <c r="AL704" s="46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</row>
    <row r="705" ht="16" customHeight="1" spans="1:51" x14ac:dyDescent="0.25">
      <c r="A705" s="45"/>
      <c r="B705" s="46" t="s">
        <v>746</v>
      </c>
      <c r="C705" s="46" t="s">
        <v>747</v>
      </c>
      <c r="D705" s="46" t="s">
        <v>29</v>
      </c>
      <c r="E705" s="46" t="s">
        <v>36</v>
      </c>
      <c r="F705" s="46" t="s">
        <v>36</v>
      </c>
      <c r="G705" s="46" t="s">
        <v>36</v>
      </c>
      <c r="H705" s="46" t="s">
        <v>36</v>
      </c>
      <c r="I705" s="46" t="s">
        <v>37</v>
      </c>
      <c r="J705" s="46" t="s">
        <v>36</v>
      </c>
      <c r="K705" s="46" t="s">
        <v>36</v>
      </c>
      <c r="L705" s="46" t="s">
        <v>36</v>
      </c>
      <c r="M705" s="46" t="s">
        <v>36</v>
      </c>
      <c r="N705" s="46" t="s">
        <v>36</v>
      </c>
      <c r="O705" s="46" t="s">
        <v>36</v>
      </c>
      <c r="P705" s="46" t="s">
        <v>36</v>
      </c>
      <c r="Q705" s="46" t="s">
        <v>37</v>
      </c>
      <c r="R705" s="46" t="s">
        <v>36</v>
      </c>
      <c r="S705" s="46" t="s">
        <v>36</v>
      </c>
      <c r="T705" s="46" t="s">
        <v>36</v>
      </c>
      <c r="U705" s="46" t="s">
        <v>36</v>
      </c>
      <c r="V705" s="46" t="s">
        <v>36</v>
      </c>
      <c r="W705" s="46" t="s">
        <v>36</v>
      </c>
      <c r="X705" s="46" t="s">
        <v>37</v>
      </c>
      <c r="Y705" s="46" t="s">
        <v>36</v>
      </c>
      <c r="Z705" s="46" t="s">
        <v>36</v>
      </c>
      <c r="AA705" s="46" t="s">
        <v>36</v>
      </c>
      <c r="AB705" s="46" t="s">
        <v>36</v>
      </c>
      <c r="AC705" s="46" t="s">
        <v>36</v>
      </c>
      <c r="AD705" s="46" t="s">
        <v>36</v>
      </c>
      <c r="AE705" s="46" t="s">
        <v>36</v>
      </c>
      <c r="AF705" s="46" t="s">
        <v>36</v>
      </c>
      <c r="AG705" s="46" t="s">
        <v>37</v>
      </c>
      <c r="AH705" s="46" t="s">
        <v>43</v>
      </c>
      <c r="AI705" s="46" t="s">
        <v>36</v>
      </c>
      <c r="AJ705" s="46">
        <f>=SUM(E706:AI706)</f>
      </c>
      <c r="AK705" s="46">
        <f>=+AY705</f>
      </c>
      <c r="AL705" s="46"/>
      <c r="AM705" s="1"/>
      <c r="AN705" s="1">
        <f>=COUNTIF(E705:AI705,"A")+COUNTIF(E705:AI705,"B")+COUNTIF(E705:AI705,"C")+COUNTIF(E705:AI705,"D")+COUNTIF(E705:AI705,"E")+COUNTIF(E705:AI705,"F")+COUNTIF(E705:AI705,"M")+COUNTIF(E705:AI705,"AB")+COUNTIF(E705:AI705,"UZ")+COUNTIF(E705:AI705,"G")+(COUNTIF(E705:AI705,"RT.")/2)+(COUNTIF(E705:AI705,"ÇRT.")/2)</f>
      </c>
      <c r="AO705" s="1">
        <f>=COUNTIF(E705:AI705,"O")</f>
      </c>
      <c r="AP705" s="1">
        <f>=COUNTIF(E705:AI705,"RT")+(COUNTIF(E705:AI705,"RT.")/2)</f>
      </c>
      <c r="AQ705" s="1">
        <f>=COUNTIF(E705:AI705,"ÇRT")+(COUNTIF(E705:AI705,"ÇRT.")/2)</f>
      </c>
      <c r="AR705" s="1">
        <f>=COUNTIF(E705:AI705,"ÇHT")</f>
      </c>
      <c r="AS705" s="1">
        <f>=COUNTIF(E705:AI705,"Ö")+COUNTIF(E705:AI705,"T")</f>
      </c>
      <c r="AT705" s="1">
        <f>=COUNTIF(E705:AI705,"Y")</f>
      </c>
      <c r="AU705" s="1">
        <f>=COUNTIF(E705:AI705,"R.")</f>
      </c>
      <c r="AV705" s="1">
        <f>=COUNTIF(E705:AI705,"Ü")</f>
      </c>
      <c r="AW705" s="1">
        <f>=COUNTIF(E705:AI705,"R")</f>
      </c>
      <c r="AX705" s="1">
        <f>=COUNTIF(E705:AI705,"DV")</f>
      </c>
      <c r="AY705" s="1">
        <f>=+AN705+AO705+AP705+AQ705+AR705+AS705+AT705+AU705</f>
      </c>
    </row>
    <row r="706" ht="16" customHeight="1" spans="1:51" x14ac:dyDescent="0.25">
      <c r="A706" s="45"/>
      <c r="B706" s="46"/>
      <c r="C706" s="46"/>
      <c r="D706" s="46" t="s">
        <v>33</v>
      </c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  <c r="AC706" s="46"/>
      <c r="AD706" s="46"/>
      <c r="AE706" s="46"/>
      <c r="AF706" s="46"/>
      <c r="AG706" s="46"/>
      <c r="AH706" s="46"/>
      <c r="AI706" s="46"/>
      <c r="AJ706" s="46"/>
      <c r="AK706" s="46"/>
      <c r="AL706" s="46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</row>
    <row r="707" ht="16" customHeight="1" spans="1:51" x14ac:dyDescent="0.25">
      <c r="A707" s="45"/>
      <c r="B707" s="46" t="s">
        <v>748</v>
      </c>
      <c r="C707" s="46" t="s">
        <v>749</v>
      </c>
      <c r="D707" s="46" t="s">
        <v>29</v>
      </c>
      <c r="E707" s="46" t="s">
        <v>36</v>
      </c>
      <c r="F707" s="46" t="s">
        <v>36</v>
      </c>
      <c r="G707" s="46" t="s">
        <v>36</v>
      </c>
      <c r="H707" s="46" t="s">
        <v>36</v>
      </c>
      <c r="I707" s="46" t="s">
        <v>36</v>
      </c>
      <c r="J707" s="46" t="s">
        <v>37</v>
      </c>
      <c r="K707" s="46" t="s">
        <v>36</v>
      </c>
      <c r="L707" s="46" t="s">
        <v>36</v>
      </c>
      <c r="M707" s="46" t="s">
        <v>36</v>
      </c>
      <c r="N707" s="46" t="s">
        <v>36</v>
      </c>
      <c r="O707" s="46" t="s">
        <v>36</v>
      </c>
      <c r="P707" s="46" t="s">
        <v>36</v>
      </c>
      <c r="Q707" s="46" t="s">
        <v>36</v>
      </c>
      <c r="R707" s="46" t="s">
        <v>37</v>
      </c>
      <c r="S707" s="46" t="s">
        <v>36</v>
      </c>
      <c r="T707" s="46" t="s">
        <v>36</v>
      </c>
      <c r="U707" s="46" t="s">
        <v>36</v>
      </c>
      <c r="V707" s="46" t="s">
        <v>36</v>
      </c>
      <c r="W707" s="46" t="s">
        <v>36</v>
      </c>
      <c r="X707" s="46" t="s">
        <v>37</v>
      </c>
      <c r="Y707" s="46" t="s">
        <v>36</v>
      </c>
      <c r="Z707" s="46" t="s">
        <v>36</v>
      </c>
      <c r="AA707" s="46" t="s">
        <v>36</v>
      </c>
      <c r="AB707" s="46" t="s">
        <v>36</v>
      </c>
      <c r="AC707" s="46" t="s">
        <v>36</v>
      </c>
      <c r="AD707" s="46" t="s">
        <v>36</v>
      </c>
      <c r="AE707" s="46" t="s">
        <v>37</v>
      </c>
      <c r="AF707" s="46" t="s">
        <v>36</v>
      </c>
      <c r="AG707" s="46" t="s">
        <v>36</v>
      </c>
      <c r="AH707" s="46" t="s">
        <v>43</v>
      </c>
      <c r="AI707" s="46" t="s">
        <v>36</v>
      </c>
      <c r="AJ707" s="46">
        <f>=SUM(E708:AI708)</f>
      </c>
      <c r="AK707" s="46">
        <f>=+AY707</f>
      </c>
      <c r="AL707" s="46"/>
      <c r="AM707" s="1"/>
      <c r="AN707" s="1">
        <f>=COUNTIF(E707:AI707,"A")+COUNTIF(E707:AI707,"B")+COUNTIF(E707:AI707,"C")+COUNTIF(E707:AI707,"D")+COUNTIF(E707:AI707,"E")+COUNTIF(E707:AI707,"F")+COUNTIF(E707:AI707,"M")+COUNTIF(E707:AI707,"AB")+COUNTIF(E707:AI707,"UZ")+COUNTIF(E707:AI707,"G")+(COUNTIF(E707:AI707,"RT.")/2)+(COUNTIF(E707:AI707,"ÇRT.")/2)</f>
      </c>
      <c r="AO707" s="1">
        <f>=COUNTIF(E707:AI707,"O")</f>
      </c>
      <c r="AP707" s="1">
        <f>=COUNTIF(E707:AI707,"RT")+(COUNTIF(E707:AI707,"RT.")/2)</f>
      </c>
      <c r="AQ707" s="1">
        <f>=COUNTIF(E707:AI707,"ÇRT")+(COUNTIF(E707:AI707,"ÇRT.")/2)</f>
      </c>
      <c r="AR707" s="1">
        <f>=COUNTIF(E707:AI707,"ÇHT")</f>
      </c>
      <c r="AS707" s="1">
        <f>=COUNTIF(E707:AI707,"Ö")+COUNTIF(E707:AI707,"T")</f>
      </c>
      <c r="AT707" s="1">
        <f>=COUNTIF(E707:AI707,"Y")</f>
      </c>
      <c r="AU707" s="1">
        <f>=COUNTIF(E707:AI707,"R.")</f>
      </c>
      <c r="AV707" s="1">
        <f>=COUNTIF(E707:AI707,"Ü")</f>
      </c>
      <c r="AW707" s="1">
        <f>=COUNTIF(E707:AI707,"R")</f>
      </c>
      <c r="AX707" s="1">
        <f>=COUNTIF(E707:AI707,"DV")</f>
      </c>
      <c r="AY707" s="1">
        <f>=+AN707+AO707+AP707+AQ707+AR707+AS707+AT707+AU707</f>
      </c>
    </row>
    <row r="708" ht="16" customHeight="1" spans="1:51" x14ac:dyDescent="0.25">
      <c r="A708" s="45"/>
      <c r="B708" s="46"/>
      <c r="C708" s="46"/>
      <c r="D708" s="46" t="s">
        <v>33</v>
      </c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  <c r="AC708" s="46"/>
      <c r="AD708" s="46"/>
      <c r="AE708" s="46"/>
      <c r="AF708" s="46">
        <v>2</v>
      </c>
      <c r="AG708" s="46"/>
      <c r="AH708" s="46"/>
      <c r="AI708" s="46"/>
      <c r="AJ708" s="46"/>
      <c r="AK708" s="46"/>
      <c r="AL708" s="46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</row>
    <row r="709" ht="16" customHeight="1" spans="1:51" x14ac:dyDescent="0.25">
      <c r="A709" s="45"/>
      <c r="B709" s="46" t="s">
        <v>750</v>
      </c>
      <c r="C709" s="46" t="s">
        <v>751</v>
      </c>
      <c r="D709" s="46" t="s">
        <v>29</v>
      </c>
      <c r="E709" s="46" t="s">
        <v>31</v>
      </c>
      <c r="F709" s="46" t="s">
        <v>31</v>
      </c>
      <c r="G709" s="46" t="s">
        <v>32</v>
      </c>
      <c r="H709" s="46" t="s">
        <v>32</v>
      </c>
      <c r="I709" s="46" t="s">
        <v>32</v>
      </c>
      <c r="J709" s="46" t="s">
        <v>32</v>
      </c>
      <c r="K709" s="46" t="s">
        <v>32</v>
      </c>
      <c r="L709" s="46" t="s">
        <v>32</v>
      </c>
      <c r="M709" s="46" t="s">
        <v>32</v>
      </c>
      <c r="N709" s="46" t="s">
        <v>32</v>
      </c>
      <c r="O709" s="46" t="s">
        <v>32</v>
      </c>
      <c r="P709" s="46" t="s">
        <v>32</v>
      </c>
      <c r="Q709" s="46" t="s">
        <v>32</v>
      </c>
      <c r="R709" s="46" t="s">
        <v>32</v>
      </c>
      <c r="S709" s="46" t="s">
        <v>32</v>
      </c>
      <c r="T709" s="46" t="s">
        <v>32</v>
      </c>
      <c r="U709" s="46" t="s">
        <v>32</v>
      </c>
      <c r="V709" s="46" t="s">
        <v>32</v>
      </c>
      <c r="W709" s="46" t="s">
        <v>32</v>
      </c>
      <c r="X709" s="46" t="s">
        <v>32</v>
      </c>
      <c r="Y709" s="46" t="s">
        <v>32</v>
      </c>
      <c r="Z709" s="46" t="s">
        <v>32</v>
      </c>
      <c r="AA709" s="46" t="s">
        <v>32</v>
      </c>
      <c r="AB709" s="46" t="s">
        <v>32</v>
      </c>
      <c r="AC709" s="46" t="s">
        <v>32</v>
      </c>
      <c r="AD709" s="46" t="s">
        <v>32</v>
      </c>
      <c r="AE709" s="46" t="s">
        <v>32</v>
      </c>
      <c r="AF709" s="46" t="s">
        <v>32</v>
      </c>
      <c r="AG709" s="46" t="s">
        <v>32</v>
      </c>
      <c r="AH709" s="46" t="s">
        <v>32</v>
      </c>
      <c r="AI709" s="46" t="s">
        <v>32</v>
      </c>
      <c r="AJ709" s="46">
        <f>=SUM(E710:AI710)</f>
      </c>
      <c r="AK709" s="46">
        <f>=+AY709</f>
      </c>
      <c r="AL709" s="46"/>
      <c r="AM709" s="1"/>
      <c r="AN709" s="1">
        <f>=COUNTIF(E709:AI709,"A")+COUNTIF(E709:AI709,"B")+COUNTIF(E709:AI709,"C")+COUNTIF(E709:AI709,"D")+COUNTIF(E709:AI709,"E")+COUNTIF(E709:AI709,"F")+COUNTIF(E709:AI709,"M")+COUNTIF(E709:AI709,"AB")+COUNTIF(E709:AI709,"UZ")+COUNTIF(E709:AI709,"G")+(COUNTIF(E709:AI709,"RT.")/2)+(COUNTIF(E709:AI709,"ÇRT.")/2)</f>
      </c>
      <c r="AO709" s="1">
        <f>=COUNTIF(E709:AI709,"O")</f>
      </c>
      <c r="AP709" s="1">
        <f>=COUNTIF(E709:AI709,"RT")+(COUNTIF(E709:AI709,"RT.")/2)</f>
      </c>
      <c r="AQ709" s="1">
        <f>=COUNTIF(E709:AI709,"ÇRT")+(COUNTIF(E709:AI709,"ÇRT.")/2)</f>
      </c>
      <c r="AR709" s="1">
        <f>=COUNTIF(E709:AI709,"ÇHT")</f>
      </c>
      <c r="AS709" s="1">
        <f>=COUNTIF(E709:AI709,"Ö")+COUNTIF(E709:AI709,"T")</f>
      </c>
      <c r="AT709" s="1">
        <f>=COUNTIF(E709:AI709,"Y")</f>
      </c>
      <c r="AU709" s="1">
        <f>=COUNTIF(E709:AI709,"R.")</f>
      </c>
      <c r="AV709" s="1">
        <f>=COUNTIF(E709:AI709,"Ü")</f>
      </c>
      <c r="AW709" s="1">
        <f>=COUNTIF(E709:AI709,"R")</f>
      </c>
      <c r="AX709" s="1">
        <f>=COUNTIF(E709:AI709,"DV")</f>
      </c>
      <c r="AY709" s="1">
        <f>=+AN709+AO709+AP709+AQ709+AR709+AS709+AT709+AU709</f>
      </c>
    </row>
    <row r="710" ht="16" customHeight="1" spans="1:51" x14ac:dyDescent="0.25">
      <c r="A710" s="45"/>
      <c r="B710" s="46"/>
      <c r="C710" s="46"/>
      <c r="D710" s="46" t="s">
        <v>33</v>
      </c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  <c r="AC710" s="46"/>
      <c r="AD710" s="46"/>
      <c r="AE710" s="46"/>
      <c r="AF710" s="46"/>
      <c r="AG710" s="46"/>
      <c r="AH710" s="46"/>
      <c r="AI710" s="46"/>
      <c r="AJ710" s="46"/>
      <c r="AK710" s="46"/>
      <c r="AL710" s="46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</row>
    <row r="711" ht="16" customHeight="1" spans="1:51" x14ac:dyDescent="0.25">
      <c r="A711" s="45"/>
      <c r="B711" s="46" t="s">
        <v>752</v>
      </c>
      <c r="C711" s="46" t="s">
        <v>753</v>
      </c>
      <c r="D711" s="46" t="s">
        <v>29</v>
      </c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 t="s">
        <v>36</v>
      </c>
      <c r="W711" s="46" t="s">
        <v>36</v>
      </c>
      <c r="X711" s="46" t="s">
        <v>36</v>
      </c>
      <c r="Y711" s="46" t="s">
        <v>36</v>
      </c>
      <c r="Z711" s="46" t="s">
        <v>36</v>
      </c>
      <c r="AA711" s="46" t="s">
        <v>36</v>
      </c>
      <c r="AB711" s="46" t="s">
        <v>37</v>
      </c>
      <c r="AC711" s="46" t="s">
        <v>36</v>
      </c>
      <c r="AD711" s="46" t="s">
        <v>36</v>
      </c>
      <c r="AE711" s="46" t="s">
        <v>36</v>
      </c>
      <c r="AF711" s="46" t="s">
        <v>36</v>
      </c>
      <c r="AG711" s="46" t="s">
        <v>36</v>
      </c>
      <c r="AH711" s="46" t="s">
        <v>43</v>
      </c>
      <c r="AI711" s="46" t="s">
        <v>36</v>
      </c>
      <c r="AJ711" s="46">
        <f>=SUM(E712:AI712)</f>
      </c>
      <c r="AK711" s="46">
        <f>=+AY711</f>
      </c>
      <c r="AL711" s="46"/>
      <c r="AM711" s="1"/>
      <c r="AN711" s="1">
        <f>=COUNTIF(E711:AI711,"A")+COUNTIF(E711:AI711,"B")+COUNTIF(E711:AI711,"C")+COUNTIF(E711:AI711,"D")+COUNTIF(E711:AI711,"E")+COUNTIF(E711:AI711,"F")+COUNTIF(E711:AI711,"M")+COUNTIF(E711:AI711,"AB")+COUNTIF(E711:AI711,"UZ")+COUNTIF(E711:AI711,"G")+(COUNTIF(E711:AI711,"RT.")/2)+(COUNTIF(E711:AI711,"ÇRT.")/2)</f>
      </c>
      <c r="AO711" s="1">
        <f>=COUNTIF(E711:AI711,"O")</f>
      </c>
      <c r="AP711" s="1">
        <f>=COUNTIF(E711:AI711,"RT")+(COUNTIF(E711:AI711,"RT.")/2)</f>
      </c>
      <c r="AQ711" s="1">
        <f>=COUNTIF(E711:AI711,"ÇRT")+(COUNTIF(E711:AI711,"ÇRT.")/2)</f>
      </c>
      <c r="AR711" s="1">
        <f>=COUNTIF(E711:AI711,"ÇHT")</f>
      </c>
      <c r="AS711" s="1">
        <f>=COUNTIF(E711:AI711,"Ö")+COUNTIF(E711:AI711,"T")</f>
      </c>
      <c r="AT711" s="1">
        <f>=COUNTIF(E711:AI711,"Y")</f>
      </c>
      <c r="AU711" s="1">
        <f>=COUNTIF(E711:AI711,"R.")</f>
      </c>
      <c r="AV711" s="1">
        <f>=COUNTIF(E711:AI711,"Ü")</f>
      </c>
      <c r="AW711" s="1">
        <f>=COUNTIF(E711:AI711,"R")</f>
      </c>
      <c r="AX711" s="1">
        <f>=COUNTIF(E711:AI711,"DV")</f>
      </c>
      <c r="AY711" s="1">
        <f>=+AN711+AO711+AP711+AQ711+AR711+AS711+AT711+AU711</f>
      </c>
    </row>
    <row r="712" ht="16" customHeight="1" spans="1:51" x14ac:dyDescent="0.25">
      <c r="A712" s="45"/>
      <c r="B712" s="46"/>
      <c r="C712" s="46"/>
      <c r="D712" s="46" t="s">
        <v>33</v>
      </c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  <c r="AC712" s="46"/>
      <c r="AD712" s="46"/>
      <c r="AE712" s="46"/>
      <c r="AF712" s="46">
        <v>2</v>
      </c>
      <c r="AG712" s="46"/>
      <c r="AH712" s="46"/>
      <c r="AI712" s="46"/>
      <c r="AJ712" s="46"/>
      <c r="AK712" s="46"/>
      <c r="AL712" s="46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</row>
    <row r="713" ht="16" customHeight="1" spans="1:51" x14ac:dyDescent="0.25">
      <c r="A713" s="45"/>
      <c r="B713" s="46" t="s">
        <v>754</v>
      </c>
      <c r="C713" s="46" t="s">
        <v>755</v>
      </c>
      <c r="D713" s="46" t="s">
        <v>29</v>
      </c>
      <c r="E713" s="46" t="s">
        <v>42</v>
      </c>
      <c r="F713" s="46" t="s">
        <v>37</v>
      </c>
      <c r="G713" s="46" t="s">
        <v>42</v>
      </c>
      <c r="H713" s="46" t="s">
        <v>42</v>
      </c>
      <c r="I713" s="46" t="s">
        <v>42</v>
      </c>
      <c r="J713" s="46" t="s">
        <v>42</v>
      </c>
      <c r="K713" s="46" t="s">
        <v>42</v>
      </c>
      <c r="L713" s="46" t="s">
        <v>42</v>
      </c>
      <c r="M713" s="46" t="s">
        <v>37</v>
      </c>
      <c r="N713" s="46" t="s">
        <v>42</v>
      </c>
      <c r="O713" s="46" t="s">
        <v>42</v>
      </c>
      <c r="P713" s="46" t="s">
        <v>42</v>
      </c>
      <c r="Q713" s="46" t="s">
        <v>42</v>
      </c>
      <c r="R713" s="46" t="s">
        <v>42</v>
      </c>
      <c r="S713" s="46" t="s">
        <v>42</v>
      </c>
      <c r="T713" s="46" t="s">
        <v>37</v>
      </c>
      <c r="U713" s="46" t="s">
        <v>42</v>
      </c>
      <c r="V713" s="46" t="s">
        <v>42</v>
      </c>
      <c r="W713" s="46" t="s">
        <v>42</v>
      </c>
      <c r="X713" s="46" t="s">
        <v>42</v>
      </c>
      <c r="Y713" s="46" t="s">
        <v>42</v>
      </c>
      <c r="Z713" s="46" t="s">
        <v>42</v>
      </c>
      <c r="AA713" s="46" t="s">
        <v>37</v>
      </c>
      <c r="AB713" s="46" t="s">
        <v>42</v>
      </c>
      <c r="AC713" s="46" t="s">
        <v>42</v>
      </c>
      <c r="AD713" s="46" t="s">
        <v>42</v>
      </c>
      <c r="AE713" s="46" t="s">
        <v>42</v>
      </c>
      <c r="AF713" s="46" t="s">
        <v>42</v>
      </c>
      <c r="AG713" s="46" t="s">
        <v>42</v>
      </c>
      <c r="AH713" s="46" t="s">
        <v>43</v>
      </c>
      <c r="AI713" s="46" t="s">
        <v>42</v>
      </c>
      <c r="AJ713" s="46">
        <f>=SUM(E714:AI714)</f>
      </c>
      <c r="AK713" s="46">
        <f>=+AY713</f>
      </c>
      <c r="AL713" s="46"/>
      <c r="AM713" s="1"/>
      <c r="AN713" s="1">
        <f>=COUNTIF(E713:AI713,"A")+COUNTIF(E713:AI713,"B")+COUNTIF(E713:AI713,"C")+COUNTIF(E713:AI713,"D")+COUNTIF(E713:AI713,"E")+COUNTIF(E713:AI713,"F")+COUNTIF(E713:AI713,"M")+COUNTIF(E713:AI713,"AB")+COUNTIF(E713:AI713,"UZ")+COUNTIF(E713:AI713,"G")+(COUNTIF(E713:AI713,"RT.")/2)+(COUNTIF(E713:AI713,"ÇRT.")/2)</f>
      </c>
      <c r="AO713" s="1">
        <f>=COUNTIF(E713:AI713,"O")</f>
      </c>
      <c r="AP713" s="1">
        <f>=COUNTIF(E713:AI713,"RT")+(COUNTIF(E713:AI713,"RT.")/2)</f>
      </c>
      <c r="AQ713" s="1">
        <f>=COUNTIF(E713:AI713,"ÇRT")+(COUNTIF(E713:AI713,"ÇRT.")/2)</f>
      </c>
      <c r="AR713" s="1">
        <f>=COUNTIF(E713:AI713,"ÇHT")</f>
      </c>
      <c r="AS713" s="1">
        <f>=COUNTIF(E713:AI713,"Ö")+COUNTIF(E713:AI713,"T")</f>
      </c>
      <c r="AT713" s="1">
        <f>=COUNTIF(E713:AI713,"Y")</f>
      </c>
      <c r="AU713" s="1">
        <f>=COUNTIF(E713:AI713,"R.")</f>
      </c>
      <c r="AV713" s="1">
        <f>=COUNTIF(E713:AI713,"Ü")</f>
      </c>
      <c r="AW713" s="1">
        <f>=COUNTIF(E713:AI713,"R")</f>
      </c>
      <c r="AX713" s="1">
        <f>=COUNTIF(E713:AI713,"DV")</f>
      </c>
      <c r="AY713" s="1">
        <f>=+AN713+AO713+AP713+AQ713+AR713+AS713+AT713+AU713</f>
      </c>
    </row>
    <row r="714" ht="16" customHeight="1" spans="1:51" x14ac:dyDescent="0.25">
      <c r="A714" s="45"/>
      <c r="B714" s="46"/>
      <c r="C714" s="46"/>
      <c r="D714" s="46" t="s">
        <v>33</v>
      </c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  <c r="AC714" s="46"/>
      <c r="AD714" s="46"/>
      <c r="AE714" s="46"/>
      <c r="AF714" s="46"/>
      <c r="AG714" s="46"/>
      <c r="AH714" s="46"/>
      <c r="AI714" s="46"/>
      <c r="AJ714" s="46"/>
      <c r="AK714" s="46"/>
      <c r="AL714" s="46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</row>
    <row r="715" ht="16" customHeight="1" spans="1:51" x14ac:dyDescent="0.25">
      <c r="A715" s="45"/>
      <c r="B715" s="46" t="s">
        <v>756</v>
      </c>
      <c r="C715" s="46" t="s">
        <v>757</v>
      </c>
      <c r="D715" s="46" t="s">
        <v>29</v>
      </c>
      <c r="E715" s="46" t="s">
        <v>36</v>
      </c>
      <c r="F715" s="46" t="s">
        <v>37</v>
      </c>
      <c r="G715" s="46" t="s">
        <v>36</v>
      </c>
      <c r="H715" s="46" t="s">
        <v>36</v>
      </c>
      <c r="I715" s="46" t="s">
        <v>36</v>
      </c>
      <c r="J715" s="46" t="s">
        <v>36</v>
      </c>
      <c r="K715" s="46" t="s">
        <v>36</v>
      </c>
      <c r="L715" s="46" t="s">
        <v>36</v>
      </c>
      <c r="M715" s="46" t="s">
        <v>37</v>
      </c>
      <c r="N715" s="46" t="s">
        <v>36</v>
      </c>
      <c r="O715" s="46" t="s">
        <v>36</v>
      </c>
      <c r="P715" s="46" t="s">
        <v>36</v>
      </c>
      <c r="Q715" s="46" t="s">
        <v>36</v>
      </c>
      <c r="R715" s="46" t="s">
        <v>36</v>
      </c>
      <c r="S715" s="46" t="s">
        <v>36</v>
      </c>
      <c r="T715" s="46" t="s">
        <v>37</v>
      </c>
      <c r="U715" s="46" t="s">
        <v>36</v>
      </c>
      <c r="V715" s="46" t="s">
        <v>36</v>
      </c>
      <c r="W715" s="46" t="s">
        <v>36</v>
      </c>
      <c r="X715" s="46" t="s">
        <v>36</v>
      </c>
      <c r="Y715" s="46" t="s">
        <v>36</v>
      </c>
      <c r="Z715" s="46" t="s">
        <v>36</v>
      </c>
      <c r="AA715" s="46" t="s">
        <v>37</v>
      </c>
      <c r="AB715" s="46" t="s">
        <v>36</v>
      </c>
      <c r="AC715" s="46" t="s">
        <v>36</v>
      </c>
      <c r="AD715" s="46" t="s">
        <v>36</v>
      </c>
      <c r="AE715" s="46" t="s">
        <v>36</v>
      </c>
      <c r="AF715" s="46" t="s">
        <v>36</v>
      </c>
      <c r="AG715" s="46" t="s">
        <v>36</v>
      </c>
      <c r="AH715" s="46" t="s">
        <v>37</v>
      </c>
      <c r="AI715" s="46" t="s">
        <v>36</v>
      </c>
      <c r="AJ715" s="46">
        <f>=SUM(E716:AI716)</f>
      </c>
      <c r="AK715" s="46">
        <f>=+AY715</f>
      </c>
      <c r="AL715" s="46"/>
      <c r="AM715" s="1"/>
      <c r="AN715" s="1">
        <f>=COUNTIF(E715:AI715,"A")+COUNTIF(E715:AI715,"B")+COUNTIF(E715:AI715,"C")+COUNTIF(E715:AI715,"D")+COUNTIF(E715:AI715,"E")+COUNTIF(E715:AI715,"F")+COUNTIF(E715:AI715,"M")+COUNTIF(E715:AI715,"AB")+COUNTIF(E715:AI715,"UZ")+COUNTIF(E715:AI715,"G")+(COUNTIF(E715:AI715,"RT.")/2)+(COUNTIF(E715:AI715,"ÇRT.")/2)</f>
      </c>
      <c r="AO715" s="1">
        <f>=COUNTIF(E715:AI715,"O")</f>
      </c>
      <c r="AP715" s="1">
        <f>=COUNTIF(E715:AI715,"RT")+(COUNTIF(E715:AI715,"RT.")/2)</f>
      </c>
      <c r="AQ715" s="1">
        <f>=COUNTIF(E715:AI715,"ÇRT")+(COUNTIF(E715:AI715,"ÇRT.")/2)</f>
      </c>
      <c r="AR715" s="1">
        <f>=COUNTIF(E715:AI715,"ÇHT")</f>
      </c>
      <c r="AS715" s="1">
        <f>=COUNTIF(E715:AI715,"Ö")+COUNTIF(E715:AI715,"T")</f>
      </c>
      <c r="AT715" s="1">
        <f>=COUNTIF(E715:AI715,"Y")</f>
      </c>
      <c r="AU715" s="1">
        <f>=COUNTIF(E715:AI715,"R.")</f>
      </c>
      <c r="AV715" s="1">
        <f>=COUNTIF(E715:AI715,"Ü")</f>
      </c>
      <c r="AW715" s="1">
        <f>=COUNTIF(E715:AI715,"R")</f>
      </c>
      <c r="AX715" s="1">
        <f>=COUNTIF(E715:AI715,"DV")</f>
      </c>
      <c r="AY715" s="1">
        <f>=+AN715+AO715+AP715+AQ715+AR715+AS715+AT715+AU715</f>
      </c>
    </row>
    <row r="716" ht="16" customHeight="1" spans="1:51" x14ac:dyDescent="0.25">
      <c r="A716" s="45"/>
      <c r="B716" s="46"/>
      <c r="C716" s="46"/>
      <c r="D716" s="46" t="s">
        <v>33</v>
      </c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  <c r="AC716" s="46"/>
      <c r="AD716" s="46"/>
      <c r="AE716" s="46"/>
      <c r="AF716" s="46"/>
      <c r="AG716" s="46"/>
      <c r="AH716" s="46"/>
      <c r="AI716" s="46"/>
      <c r="AJ716" s="46"/>
      <c r="AK716" s="46"/>
      <c r="AL716" s="46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</row>
    <row r="717" ht="16" customHeight="1" spans="1:51" x14ac:dyDescent="0.25">
      <c r="A717" s="45"/>
      <c r="B717" s="46" t="s">
        <v>758</v>
      </c>
      <c r="C717" s="46" t="s">
        <v>759</v>
      </c>
      <c r="D717" s="46" t="s">
        <v>29</v>
      </c>
      <c r="E717" s="46" t="s">
        <v>36</v>
      </c>
      <c r="F717" s="46" t="s">
        <v>36</v>
      </c>
      <c r="G717" s="46" t="s">
        <v>36</v>
      </c>
      <c r="H717" s="46" t="s">
        <v>36</v>
      </c>
      <c r="I717" s="46" t="s">
        <v>37</v>
      </c>
      <c r="J717" s="46" t="s">
        <v>36</v>
      </c>
      <c r="K717" s="46" t="s">
        <v>36</v>
      </c>
      <c r="L717" s="46" t="s">
        <v>36</v>
      </c>
      <c r="M717" s="46" t="s">
        <v>36</v>
      </c>
      <c r="N717" s="46" t="s">
        <v>36</v>
      </c>
      <c r="O717" s="46" t="s">
        <v>36</v>
      </c>
      <c r="P717" s="46" t="s">
        <v>37</v>
      </c>
      <c r="Q717" s="46" t="s">
        <v>36</v>
      </c>
      <c r="R717" s="46" t="s">
        <v>36</v>
      </c>
      <c r="S717" s="46" t="s">
        <v>36</v>
      </c>
      <c r="T717" s="46" t="s">
        <v>36</v>
      </c>
      <c r="U717" s="46" t="s">
        <v>36</v>
      </c>
      <c r="V717" s="46" t="s">
        <v>36</v>
      </c>
      <c r="W717" s="46" t="s">
        <v>37</v>
      </c>
      <c r="X717" s="46" t="s">
        <v>36</v>
      </c>
      <c r="Y717" s="46" t="s">
        <v>36</v>
      </c>
      <c r="Z717" s="46" t="s">
        <v>36</v>
      </c>
      <c r="AA717" s="46" t="s">
        <v>36</v>
      </c>
      <c r="AB717" s="46" t="s">
        <v>36</v>
      </c>
      <c r="AC717" s="46" t="s">
        <v>36</v>
      </c>
      <c r="AD717" s="46" t="s">
        <v>37</v>
      </c>
      <c r="AE717" s="46" t="s">
        <v>36</v>
      </c>
      <c r="AF717" s="46" t="s">
        <v>36</v>
      </c>
      <c r="AG717" s="46" t="s">
        <v>36</v>
      </c>
      <c r="AH717" s="46" t="s">
        <v>43</v>
      </c>
      <c r="AI717" s="46" t="s">
        <v>36</v>
      </c>
      <c r="AJ717" s="46">
        <f>=SUM(E718:AI718)</f>
      </c>
      <c r="AK717" s="46">
        <f>=+AY717</f>
      </c>
      <c r="AL717" s="46"/>
      <c r="AM717" s="1"/>
      <c r="AN717" s="1">
        <f>=COUNTIF(E717:AI717,"A")+COUNTIF(E717:AI717,"B")+COUNTIF(E717:AI717,"C")+COUNTIF(E717:AI717,"D")+COUNTIF(E717:AI717,"E")+COUNTIF(E717:AI717,"F")+COUNTIF(E717:AI717,"M")+COUNTIF(E717:AI717,"AB")+COUNTIF(E717:AI717,"UZ")+COUNTIF(E717:AI717,"G")+(COUNTIF(E717:AI717,"RT.")/2)+(COUNTIF(E717:AI717,"ÇRT.")/2)</f>
      </c>
      <c r="AO717" s="1">
        <f>=COUNTIF(E717:AI717,"O")</f>
      </c>
      <c r="AP717" s="1">
        <f>=COUNTIF(E717:AI717,"RT")+(COUNTIF(E717:AI717,"RT.")/2)</f>
      </c>
      <c r="AQ717" s="1">
        <f>=COUNTIF(E717:AI717,"ÇRT")+(COUNTIF(E717:AI717,"ÇRT.")/2)</f>
      </c>
      <c r="AR717" s="1">
        <f>=COUNTIF(E717:AI717,"ÇHT")</f>
      </c>
      <c r="AS717" s="1">
        <f>=COUNTIF(E717:AI717,"Ö")+COUNTIF(E717:AI717,"T")</f>
      </c>
      <c r="AT717" s="1">
        <f>=COUNTIF(E717:AI717,"Y")</f>
      </c>
      <c r="AU717" s="1">
        <f>=COUNTIF(E717:AI717,"R.")</f>
      </c>
      <c r="AV717" s="1">
        <f>=COUNTIF(E717:AI717,"Ü")</f>
      </c>
      <c r="AW717" s="1">
        <f>=COUNTIF(E717:AI717,"R")</f>
      </c>
      <c r="AX717" s="1">
        <f>=COUNTIF(E717:AI717,"DV")</f>
      </c>
      <c r="AY717" s="1">
        <f>=+AN717+AO717+AP717+AQ717+AR717+AS717+AT717+AU717</f>
      </c>
    </row>
    <row r="718" ht="16" customHeight="1" spans="1:51" x14ac:dyDescent="0.25">
      <c r="A718" s="45"/>
      <c r="B718" s="46"/>
      <c r="C718" s="46"/>
      <c r="D718" s="46" t="s">
        <v>33</v>
      </c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  <c r="AC718" s="46"/>
      <c r="AD718" s="46"/>
      <c r="AE718" s="46"/>
      <c r="AF718" s="46"/>
      <c r="AG718" s="46"/>
      <c r="AH718" s="46"/>
      <c r="AI718" s="46"/>
      <c r="AJ718" s="46"/>
      <c r="AK718" s="46"/>
      <c r="AL718" s="46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</row>
    <row r="719" ht="16" customHeight="1" spans="1:51" x14ac:dyDescent="0.25">
      <c r="A719" s="45"/>
      <c r="B719" s="46" t="s">
        <v>760</v>
      </c>
      <c r="C719" s="46" t="s">
        <v>761</v>
      </c>
      <c r="D719" s="46" t="s">
        <v>29</v>
      </c>
      <c r="E719" s="46" t="s">
        <v>36</v>
      </c>
      <c r="F719" s="46" t="s">
        <v>36</v>
      </c>
      <c r="G719" s="46" t="s">
        <v>36</v>
      </c>
      <c r="H719" s="46" t="s">
        <v>36</v>
      </c>
      <c r="I719" s="46" t="s">
        <v>37</v>
      </c>
      <c r="J719" s="46" t="s">
        <v>36</v>
      </c>
      <c r="K719" s="46" t="s">
        <v>36</v>
      </c>
      <c r="L719" s="46" t="s">
        <v>36</v>
      </c>
      <c r="M719" s="46" t="s">
        <v>36</v>
      </c>
      <c r="N719" s="46" t="s">
        <v>37</v>
      </c>
      <c r="O719" s="46" t="s">
        <v>337</v>
      </c>
      <c r="P719" s="46" t="s">
        <v>36</v>
      </c>
      <c r="Q719" s="46" t="s">
        <v>36</v>
      </c>
      <c r="R719" s="46" t="s">
        <v>36</v>
      </c>
      <c r="S719" s="46" t="s">
        <v>36</v>
      </c>
      <c r="T719" s="46" t="s">
        <v>37</v>
      </c>
      <c r="U719" s="46" t="s">
        <v>36</v>
      </c>
      <c r="V719" s="46" t="s">
        <v>36</v>
      </c>
      <c r="W719" s="46" t="s">
        <v>36</v>
      </c>
      <c r="X719" s="46" t="s">
        <v>36</v>
      </c>
      <c r="Y719" s="46" t="s">
        <v>36</v>
      </c>
      <c r="Z719" s="46" t="s">
        <v>36</v>
      </c>
      <c r="AA719" s="46" t="s">
        <v>36</v>
      </c>
      <c r="AB719" s="46" t="s">
        <v>37</v>
      </c>
      <c r="AC719" s="46" t="s">
        <v>36</v>
      </c>
      <c r="AD719" s="46" t="s">
        <v>36</v>
      </c>
      <c r="AE719" s="46" t="s">
        <v>36</v>
      </c>
      <c r="AF719" s="46" t="s">
        <v>36</v>
      </c>
      <c r="AG719" s="46" t="s">
        <v>36</v>
      </c>
      <c r="AH719" s="46" t="s">
        <v>43</v>
      </c>
      <c r="AI719" s="46" t="s">
        <v>37</v>
      </c>
      <c r="AJ719" s="46">
        <f>=SUM(E720:AI720)</f>
      </c>
      <c r="AK719" s="46">
        <f>=+AY719</f>
      </c>
      <c r="AL719" s="46"/>
      <c r="AM719" s="1"/>
      <c r="AN719" s="1">
        <f>=COUNTIF(E719:AI719,"A")+COUNTIF(E719:AI719,"B")+COUNTIF(E719:AI719,"C")+COUNTIF(E719:AI719,"D")+COUNTIF(E719:AI719,"E")+COUNTIF(E719:AI719,"F")+COUNTIF(E719:AI719,"M")+COUNTIF(E719:AI719,"AB")+COUNTIF(E719:AI719,"UZ")+COUNTIF(E719:AI719,"G")+(COUNTIF(E719:AI719,"RT.")/2)+(COUNTIF(E719:AI719,"ÇRT.")/2)</f>
      </c>
      <c r="AO719" s="1">
        <f>=COUNTIF(E719:AI719,"O")</f>
      </c>
      <c r="AP719" s="1">
        <f>=COUNTIF(E719:AI719,"RT")+(COUNTIF(E719:AI719,"RT.")/2)</f>
      </c>
      <c r="AQ719" s="1">
        <f>=COUNTIF(E719:AI719,"ÇRT")+(COUNTIF(E719:AI719,"ÇRT.")/2)</f>
      </c>
      <c r="AR719" s="1">
        <f>=COUNTIF(E719:AI719,"ÇHT")</f>
      </c>
      <c r="AS719" s="1">
        <f>=COUNTIF(E719:AI719,"Ö")+COUNTIF(E719:AI719,"T")</f>
      </c>
      <c r="AT719" s="1">
        <f>=COUNTIF(E719:AI719,"Y")</f>
      </c>
      <c r="AU719" s="1">
        <f>=COUNTIF(E719:AI719,"R.")</f>
      </c>
      <c r="AV719" s="1">
        <f>=COUNTIF(E719:AI719,"Ü")</f>
      </c>
      <c r="AW719" s="1">
        <f>=COUNTIF(E719:AI719,"R")</f>
      </c>
      <c r="AX719" s="1">
        <f>=COUNTIF(E719:AI719,"DV")</f>
      </c>
      <c r="AY719" s="1">
        <f>=+AN719+AO719+AP719+AQ719+AR719+AS719+AT719+AU719</f>
      </c>
    </row>
    <row r="720" ht="16" customHeight="1" spans="1:51" x14ac:dyDescent="0.25">
      <c r="A720" s="45"/>
      <c r="B720" s="46"/>
      <c r="C720" s="46"/>
      <c r="D720" s="46" t="s">
        <v>33</v>
      </c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  <c r="AC720" s="46"/>
      <c r="AD720" s="46"/>
      <c r="AE720" s="46"/>
      <c r="AF720" s="46"/>
      <c r="AG720" s="46"/>
      <c r="AH720" s="46"/>
      <c r="AI720" s="46"/>
      <c r="AJ720" s="46"/>
      <c r="AK720" s="46"/>
      <c r="AL720" s="46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</row>
    <row r="721" ht="16" customHeight="1" spans="1:51" x14ac:dyDescent="0.25">
      <c r="A721" s="45"/>
      <c r="B721" s="46" t="s">
        <v>762</v>
      </c>
      <c r="C721" s="46" t="s">
        <v>763</v>
      </c>
      <c r="D721" s="46" t="s">
        <v>29</v>
      </c>
      <c r="E721" s="46" t="s">
        <v>59</v>
      </c>
      <c r="F721" s="46" t="s">
        <v>59</v>
      </c>
      <c r="G721" s="46" t="s">
        <v>59</v>
      </c>
      <c r="H721" s="46" t="s">
        <v>59</v>
      </c>
      <c r="I721" s="46" t="s">
        <v>59</v>
      </c>
      <c r="J721" s="46" t="s">
        <v>59</v>
      </c>
      <c r="K721" s="46" t="s">
        <v>37</v>
      </c>
      <c r="L721" s="46" t="s">
        <v>59</v>
      </c>
      <c r="M721" s="46" t="s">
        <v>59</v>
      </c>
      <c r="N721" s="46" t="s">
        <v>59</v>
      </c>
      <c r="O721" s="46" t="s">
        <v>59</v>
      </c>
      <c r="P721" s="46" t="s">
        <v>59</v>
      </c>
      <c r="Q721" s="46" t="s">
        <v>59</v>
      </c>
      <c r="R721" s="46" t="s">
        <v>37</v>
      </c>
      <c r="S721" s="46" t="s">
        <v>59</v>
      </c>
      <c r="T721" s="46" t="s">
        <v>59</v>
      </c>
      <c r="U721" s="46" t="s">
        <v>59</v>
      </c>
      <c r="V721" s="46" t="s">
        <v>59</v>
      </c>
      <c r="W721" s="46" t="s">
        <v>59</v>
      </c>
      <c r="X721" s="46" t="s">
        <v>59</v>
      </c>
      <c r="Y721" s="46" t="s">
        <v>37</v>
      </c>
      <c r="Z721" s="46" t="s">
        <v>59</v>
      </c>
      <c r="AA721" s="46" t="s">
        <v>59</v>
      </c>
      <c r="AB721" s="46" t="s">
        <v>59</v>
      </c>
      <c r="AC721" s="46" t="s">
        <v>59</v>
      </c>
      <c r="AD721" s="46" t="s">
        <v>59</v>
      </c>
      <c r="AE721" s="46" t="s">
        <v>59</v>
      </c>
      <c r="AF721" s="46" t="s">
        <v>37</v>
      </c>
      <c r="AG721" s="46" t="s">
        <v>59</v>
      </c>
      <c r="AH721" s="46" t="s">
        <v>43</v>
      </c>
      <c r="AI721" s="46" t="s">
        <v>59</v>
      </c>
      <c r="AJ721" s="46">
        <f>=SUM(E722:AI722)</f>
      </c>
      <c r="AK721" s="46">
        <f>=+AY721</f>
      </c>
      <c r="AL721" s="46"/>
      <c r="AM721" s="1"/>
      <c r="AN721" s="1">
        <f>=COUNTIF(E721:AI721,"A")+COUNTIF(E721:AI721,"B")+COUNTIF(E721:AI721,"C")+COUNTIF(E721:AI721,"D")+COUNTIF(E721:AI721,"E")+COUNTIF(E721:AI721,"F")+COUNTIF(E721:AI721,"M")+COUNTIF(E721:AI721,"AB")+COUNTIF(E721:AI721,"UZ")+COUNTIF(E721:AI721,"G")+(COUNTIF(E721:AI721,"RT.")/2)+(COUNTIF(E721:AI721,"ÇRT.")/2)</f>
      </c>
      <c r="AO721" s="1">
        <f>=COUNTIF(E721:AI721,"O")</f>
      </c>
      <c r="AP721" s="1">
        <f>=COUNTIF(E721:AI721,"RT")+(COUNTIF(E721:AI721,"RT.")/2)</f>
      </c>
      <c r="AQ721" s="1">
        <f>=COUNTIF(E721:AI721,"ÇRT")+(COUNTIF(E721:AI721,"ÇRT.")/2)</f>
      </c>
      <c r="AR721" s="1">
        <f>=COUNTIF(E721:AI721,"ÇHT")</f>
      </c>
      <c r="AS721" s="1">
        <f>=COUNTIF(E721:AI721,"Ö")+COUNTIF(E721:AI721,"T")</f>
      </c>
      <c r="AT721" s="1">
        <f>=COUNTIF(E721:AI721,"Y")</f>
      </c>
      <c r="AU721" s="1">
        <f>=COUNTIF(E721:AI721,"R.")</f>
      </c>
      <c r="AV721" s="1">
        <f>=COUNTIF(E721:AI721,"Ü")</f>
      </c>
      <c r="AW721" s="1">
        <f>=COUNTIF(E721:AI721,"R")</f>
      </c>
      <c r="AX721" s="1">
        <f>=COUNTIF(E721:AI721,"DV")</f>
      </c>
      <c r="AY721" s="1">
        <f>=+AN721+AO721+AP721+AQ721+AR721+AS721+AT721+AU721</f>
      </c>
    </row>
    <row r="722" ht="16" customHeight="1" spans="1:51" x14ac:dyDescent="0.25">
      <c r="A722" s="45"/>
      <c r="B722" s="46"/>
      <c r="C722" s="46"/>
      <c r="D722" s="46" t="s">
        <v>33</v>
      </c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  <c r="AC722" s="46"/>
      <c r="AD722" s="46"/>
      <c r="AE722" s="46"/>
      <c r="AF722" s="46"/>
      <c r="AG722" s="46"/>
      <c r="AH722" s="46"/>
      <c r="AI722" s="46"/>
      <c r="AJ722" s="46"/>
      <c r="AK722" s="46"/>
      <c r="AL722" s="46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</row>
    <row r="723" ht="16" customHeight="1" spans="1:51" x14ac:dyDescent="0.25">
      <c r="A723" s="45"/>
      <c r="B723" s="46" t="s">
        <v>764</v>
      </c>
      <c r="C723" s="46" t="s">
        <v>765</v>
      </c>
      <c r="D723" s="46" t="s">
        <v>29</v>
      </c>
      <c r="E723" s="46" t="s">
        <v>36</v>
      </c>
      <c r="F723" s="46" t="s">
        <v>36</v>
      </c>
      <c r="G723" s="46" t="s">
        <v>36</v>
      </c>
      <c r="H723" s="46" t="s">
        <v>36</v>
      </c>
      <c r="I723" s="46" t="s">
        <v>37</v>
      </c>
      <c r="J723" s="46" t="s">
        <v>36</v>
      </c>
      <c r="K723" s="46" t="s">
        <v>36</v>
      </c>
      <c r="L723" s="46" t="s">
        <v>36</v>
      </c>
      <c r="M723" s="46" t="s">
        <v>36</v>
      </c>
      <c r="N723" s="46" t="s">
        <v>36</v>
      </c>
      <c r="O723" s="46" t="s">
        <v>36</v>
      </c>
      <c r="P723" s="46" t="s">
        <v>222</v>
      </c>
      <c r="Q723" s="46" t="s">
        <v>36</v>
      </c>
      <c r="R723" s="46" t="s">
        <v>36</v>
      </c>
      <c r="S723" s="46" t="s">
        <v>36</v>
      </c>
      <c r="T723" s="46" t="s">
        <v>36</v>
      </c>
      <c r="U723" s="46" t="s">
        <v>36</v>
      </c>
      <c r="V723" s="46" t="s">
        <v>36</v>
      </c>
      <c r="W723" s="46" t="s">
        <v>37</v>
      </c>
      <c r="X723" s="46" t="s">
        <v>36</v>
      </c>
      <c r="Y723" s="46" t="s">
        <v>36</v>
      </c>
      <c r="Z723" s="46" t="s">
        <v>36</v>
      </c>
      <c r="AA723" s="46" t="s">
        <v>36</v>
      </c>
      <c r="AB723" s="46" t="s">
        <v>36</v>
      </c>
      <c r="AC723" s="46" t="s">
        <v>36</v>
      </c>
      <c r="AD723" s="46" t="s">
        <v>37</v>
      </c>
      <c r="AE723" s="46" t="s">
        <v>36</v>
      </c>
      <c r="AF723" s="46" t="s">
        <v>36</v>
      </c>
      <c r="AG723" s="46" t="s">
        <v>36</v>
      </c>
      <c r="AH723" s="46" t="s">
        <v>43</v>
      </c>
      <c r="AI723" s="46" t="s">
        <v>36</v>
      </c>
      <c r="AJ723" s="46">
        <f>=SUM(E724:AI724)</f>
      </c>
      <c r="AK723" s="46">
        <f>=+AY723</f>
      </c>
      <c r="AL723" s="46"/>
      <c r="AM723" s="1"/>
      <c r="AN723" s="1">
        <f>=COUNTIF(E723:AI723,"A")+COUNTIF(E723:AI723,"B")+COUNTIF(E723:AI723,"C")+COUNTIF(E723:AI723,"D")+COUNTIF(E723:AI723,"E")+COUNTIF(E723:AI723,"F")+COUNTIF(E723:AI723,"M")+COUNTIF(E723:AI723,"AB")+COUNTIF(E723:AI723,"UZ")+COUNTIF(E723:AI723,"G")+(COUNTIF(E723:AI723,"RT.")/2)+(COUNTIF(E723:AI723,"ÇRT.")/2)</f>
      </c>
      <c r="AO723" s="1">
        <f>=COUNTIF(E723:AI723,"O")</f>
      </c>
      <c r="AP723" s="1">
        <f>=COUNTIF(E723:AI723,"RT")+(COUNTIF(E723:AI723,"RT.")/2)</f>
      </c>
      <c r="AQ723" s="1">
        <f>=COUNTIF(E723:AI723,"ÇRT")+(COUNTIF(E723:AI723,"ÇRT.")/2)</f>
      </c>
      <c r="AR723" s="1">
        <f>=COUNTIF(E723:AI723,"ÇHT")</f>
      </c>
      <c r="AS723" s="1">
        <f>=COUNTIF(E723:AI723,"Ö")+COUNTIF(E723:AI723,"T")</f>
      </c>
      <c r="AT723" s="1">
        <f>=COUNTIF(E723:AI723,"Y")</f>
      </c>
      <c r="AU723" s="1">
        <f>=COUNTIF(E723:AI723,"R.")</f>
      </c>
      <c r="AV723" s="1">
        <f>=COUNTIF(E723:AI723,"Ü")</f>
      </c>
      <c r="AW723" s="1">
        <f>=COUNTIF(E723:AI723,"R")</f>
      </c>
      <c r="AX723" s="1">
        <f>=COUNTIF(E723:AI723,"DV")</f>
      </c>
      <c r="AY723" s="1">
        <f>=+AN723+AO723+AP723+AQ723+AR723+AS723+AT723+AU723</f>
      </c>
    </row>
    <row r="724" ht="16" customHeight="1" spans="1:51" x14ac:dyDescent="0.25">
      <c r="A724" s="45"/>
      <c r="B724" s="46"/>
      <c r="C724" s="46"/>
      <c r="D724" s="46" t="s">
        <v>33</v>
      </c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  <c r="AC724" s="46"/>
      <c r="AD724" s="46"/>
      <c r="AE724" s="46"/>
      <c r="AF724" s="46">
        <v>2</v>
      </c>
      <c r="AG724" s="46"/>
      <c r="AH724" s="46"/>
      <c r="AI724" s="46"/>
      <c r="AJ724" s="46"/>
      <c r="AK724" s="46"/>
      <c r="AL724" s="46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</row>
    <row r="725" ht="16" customHeight="1" spans="1:51" x14ac:dyDescent="0.25">
      <c r="A725" s="45"/>
      <c r="B725" s="46" t="s">
        <v>766</v>
      </c>
      <c r="C725" s="46" t="s">
        <v>767</v>
      </c>
      <c r="D725" s="46" t="s">
        <v>29</v>
      </c>
      <c r="E725" s="46" t="s">
        <v>36</v>
      </c>
      <c r="F725" s="46" t="s">
        <v>36</v>
      </c>
      <c r="G725" s="46" t="s">
        <v>37</v>
      </c>
      <c r="H725" s="46" t="s">
        <v>36</v>
      </c>
      <c r="I725" s="46" t="s">
        <v>36</v>
      </c>
      <c r="J725" s="46" t="s">
        <v>36</v>
      </c>
      <c r="K725" s="46" t="s">
        <v>37</v>
      </c>
      <c r="L725" s="46" t="s">
        <v>36</v>
      </c>
      <c r="M725" s="46" t="s">
        <v>36</v>
      </c>
      <c r="N725" s="46" t="s">
        <v>36</v>
      </c>
      <c r="O725" s="46" t="s">
        <v>36</v>
      </c>
      <c r="P725" s="46" t="s">
        <v>36</v>
      </c>
      <c r="Q725" s="46" t="s">
        <v>36</v>
      </c>
      <c r="R725" s="46" t="s">
        <v>37</v>
      </c>
      <c r="S725" s="46" t="s">
        <v>36</v>
      </c>
      <c r="T725" s="46" t="s">
        <v>36</v>
      </c>
      <c r="U725" s="46" t="s">
        <v>36</v>
      </c>
      <c r="V725" s="46" t="s">
        <v>36</v>
      </c>
      <c r="W725" s="46" t="s">
        <v>36</v>
      </c>
      <c r="X725" s="46" t="s">
        <v>36</v>
      </c>
      <c r="Y725" s="46" t="s">
        <v>222</v>
      </c>
      <c r="Z725" s="46" t="s">
        <v>36</v>
      </c>
      <c r="AA725" s="46" t="s">
        <v>36</v>
      </c>
      <c r="AB725" s="46" t="s">
        <v>36</v>
      </c>
      <c r="AC725" s="46" t="s">
        <v>36</v>
      </c>
      <c r="AD725" s="46" t="s">
        <v>36</v>
      </c>
      <c r="AE725" s="46" t="s">
        <v>36</v>
      </c>
      <c r="AF725" s="46" t="s">
        <v>37</v>
      </c>
      <c r="AG725" s="46" t="s">
        <v>36</v>
      </c>
      <c r="AH725" s="46" t="s">
        <v>43</v>
      </c>
      <c r="AI725" s="46" t="s">
        <v>36</v>
      </c>
      <c r="AJ725" s="46">
        <f>=SUM(E726:AI726)</f>
      </c>
      <c r="AK725" s="46">
        <f>=+AY725</f>
      </c>
      <c r="AL725" s="46"/>
      <c r="AM725" s="1"/>
      <c r="AN725" s="1">
        <f>=COUNTIF(E725:AI725,"A")+COUNTIF(E725:AI725,"B")+COUNTIF(E725:AI725,"C")+COUNTIF(E725:AI725,"D")+COUNTIF(E725:AI725,"E")+COUNTIF(E725:AI725,"F")+COUNTIF(E725:AI725,"M")+COUNTIF(E725:AI725,"AB")+COUNTIF(E725:AI725,"UZ")+COUNTIF(E725:AI725,"G")+(COUNTIF(E725:AI725,"RT.")/2)+(COUNTIF(E725:AI725,"ÇRT.")/2)</f>
      </c>
      <c r="AO725" s="1">
        <f>=COUNTIF(E725:AI725,"O")</f>
      </c>
      <c r="AP725" s="1">
        <f>=COUNTIF(E725:AI725,"RT")+(COUNTIF(E725:AI725,"RT.")/2)</f>
      </c>
      <c r="AQ725" s="1">
        <f>=COUNTIF(E725:AI725,"ÇRT")+(COUNTIF(E725:AI725,"ÇRT.")/2)</f>
      </c>
      <c r="AR725" s="1">
        <f>=COUNTIF(E725:AI725,"ÇHT")</f>
      </c>
      <c r="AS725" s="1">
        <f>=COUNTIF(E725:AI725,"Ö")+COUNTIF(E725:AI725,"T")</f>
      </c>
      <c r="AT725" s="1">
        <f>=COUNTIF(E725:AI725,"Y")</f>
      </c>
      <c r="AU725" s="1">
        <f>=COUNTIF(E725:AI725,"R.")</f>
      </c>
      <c r="AV725" s="1">
        <f>=COUNTIF(E725:AI725,"Ü")</f>
      </c>
      <c r="AW725" s="1">
        <f>=COUNTIF(E725:AI725,"R")</f>
      </c>
      <c r="AX725" s="1">
        <f>=COUNTIF(E725:AI725,"DV")</f>
      </c>
      <c r="AY725" s="1">
        <f>=+AN725+AO725+AP725+AQ725+AR725+AS725+AT725+AU725</f>
      </c>
    </row>
    <row r="726" ht="16" customHeight="1" spans="1:51" x14ac:dyDescent="0.25">
      <c r="A726" s="45"/>
      <c r="B726" s="46"/>
      <c r="C726" s="46"/>
      <c r="D726" s="46" t="s">
        <v>33</v>
      </c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  <c r="AC726" s="46"/>
      <c r="AD726" s="46"/>
      <c r="AE726" s="46"/>
      <c r="AF726" s="46"/>
      <c r="AG726" s="46"/>
      <c r="AH726" s="46"/>
      <c r="AI726" s="46"/>
      <c r="AJ726" s="46"/>
      <c r="AK726" s="46"/>
      <c r="AL726" s="46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</row>
    <row r="727" ht="16" customHeight="1" spans="1:51" x14ac:dyDescent="0.25">
      <c r="A727" s="45"/>
      <c r="B727" s="46" t="s">
        <v>768</v>
      </c>
      <c r="C727" s="46" t="s">
        <v>769</v>
      </c>
      <c r="D727" s="46" t="s">
        <v>29</v>
      </c>
      <c r="E727" s="46" t="s">
        <v>36</v>
      </c>
      <c r="F727" s="46" t="s">
        <v>36</v>
      </c>
      <c r="G727" s="46" t="s">
        <v>36</v>
      </c>
      <c r="H727" s="46" t="s">
        <v>37</v>
      </c>
      <c r="I727" s="46" t="s">
        <v>36</v>
      </c>
      <c r="J727" s="46" t="s">
        <v>36</v>
      </c>
      <c r="K727" s="46" t="s">
        <v>36</v>
      </c>
      <c r="L727" s="46" t="s">
        <v>36</v>
      </c>
      <c r="M727" s="46" t="s">
        <v>36</v>
      </c>
      <c r="N727" s="46" t="s">
        <v>36</v>
      </c>
      <c r="O727" s="46" t="s">
        <v>37</v>
      </c>
      <c r="P727" s="46" t="s">
        <v>36</v>
      </c>
      <c r="Q727" s="46" t="s">
        <v>36</v>
      </c>
      <c r="R727" s="46" t="s">
        <v>36</v>
      </c>
      <c r="S727" s="46" t="s">
        <v>36</v>
      </c>
      <c r="T727" s="46" t="s">
        <v>36</v>
      </c>
      <c r="U727" s="46" t="s">
        <v>36</v>
      </c>
      <c r="V727" s="46" t="s">
        <v>37</v>
      </c>
      <c r="W727" s="46" t="s">
        <v>36</v>
      </c>
      <c r="X727" s="46" t="s">
        <v>36</v>
      </c>
      <c r="Y727" s="46" t="s">
        <v>36</v>
      </c>
      <c r="Z727" s="46" t="s">
        <v>36</v>
      </c>
      <c r="AA727" s="46" t="s">
        <v>36</v>
      </c>
      <c r="AB727" s="46" t="s">
        <v>36</v>
      </c>
      <c r="AC727" s="46" t="s">
        <v>37</v>
      </c>
      <c r="AD727" s="46" t="s">
        <v>36</v>
      </c>
      <c r="AE727" s="46" t="s">
        <v>36</v>
      </c>
      <c r="AF727" s="46" t="s">
        <v>36</v>
      </c>
      <c r="AG727" s="46" t="s">
        <v>36</v>
      </c>
      <c r="AH727" s="46" t="s">
        <v>43</v>
      </c>
      <c r="AI727" s="46" t="s">
        <v>36</v>
      </c>
      <c r="AJ727" s="46">
        <f>=SUM(E728:AI728)</f>
      </c>
      <c r="AK727" s="46">
        <f>=+AY727</f>
      </c>
      <c r="AL727" s="46"/>
      <c r="AM727" s="1"/>
      <c r="AN727" s="1">
        <f>=COUNTIF(E727:AI727,"A")+COUNTIF(E727:AI727,"B")+COUNTIF(E727:AI727,"C")+COUNTIF(E727:AI727,"D")+COUNTIF(E727:AI727,"E")+COUNTIF(E727:AI727,"F")+COUNTIF(E727:AI727,"M")+COUNTIF(E727:AI727,"AB")+COUNTIF(E727:AI727,"UZ")+COUNTIF(E727:AI727,"G")+(COUNTIF(E727:AI727,"RT.")/2)+(COUNTIF(E727:AI727,"ÇRT.")/2)</f>
      </c>
      <c r="AO727" s="1">
        <f>=COUNTIF(E727:AI727,"O")</f>
      </c>
      <c r="AP727" s="1">
        <f>=COUNTIF(E727:AI727,"RT")+(COUNTIF(E727:AI727,"RT.")/2)</f>
      </c>
      <c r="AQ727" s="1">
        <f>=COUNTIF(E727:AI727,"ÇRT")+(COUNTIF(E727:AI727,"ÇRT.")/2)</f>
      </c>
      <c r="AR727" s="1">
        <f>=COUNTIF(E727:AI727,"ÇHT")</f>
      </c>
      <c r="AS727" s="1">
        <f>=COUNTIF(E727:AI727,"Ö")+COUNTIF(E727:AI727,"T")</f>
      </c>
      <c r="AT727" s="1">
        <f>=COUNTIF(E727:AI727,"Y")</f>
      </c>
      <c r="AU727" s="1">
        <f>=COUNTIF(E727:AI727,"R.")</f>
      </c>
      <c r="AV727" s="1">
        <f>=COUNTIF(E727:AI727,"Ü")</f>
      </c>
      <c r="AW727" s="1">
        <f>=COUNTIF(E727:AI727,"R")</f>
      </c>
      <c r="AX727" s="1">
        <f>=COUNTIF(E727:AI727,"DV")</f>
      </c>
      <c r="AY727" s="1">
        <f>=+AN727+AO727+AP727+AQ727+AR727+AS727+AT727+AU727</f>
      </c>
    </row>
    <row r="728" ht="16" customHeight="1" spans="1:51" x14ac:dyDescent="0.25">
      <c r="A728" s="45"/>
      <c r="B728" s="46"/>
      <c r="C728" s="46"/>
      <c r="D728" s="46" t="s">
        <v>33</v>
      </c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  <c r="AC728" s="46"/>
      <c r="AD728" s="46"/>
      <c r="AE728" s="46"/>
      <c r="AF728" s="46"/>
      <c r="AG728" s="46"/>
      <c r="AH728" s="46"/>
      <c r="AI728" s="46"/>
      <c r="AJ728" s="46"/>
      <c r="AK728" s="46"/>
      <c r="AL728" s="46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</row>
    <row r="729" ht="16" customHeight="1" spans="1:51" x14ac:dyDescent="0.25">
      <c r="A729" s="45"/>
      <c r="B729" s="46" t="s">
        <v>770</v>
      </c>
      <c r="C729" s="46" t="s">
        <v>771</v>
      </c>
      <c r="D729" s="46" t="s">
        <v>29</v>
      </c>
      <c r="E729" s="46" t="s">
        <v>46</v>
      </c>
      <c r="F729" s="46" t="s">
        <v>46</v>
      </c>
      <c r="G729" s="46" t="s">
        <v>46</v>
      </c>
      <c r="H729" s="46" t="s">
        <v>46</v>
      </c>
      <c r="I729" s="46" t="s">
        <v>46</v>
      </c>
      <c r="J729" s="46" t="s">
        <v>37</v>
      </c>
      <c r="K729" s="46" t="s">
        <v>46</v>
      </c>
      <c r="L729" s="46" t="s">
        <v>36</v>
      </c>
      <c r="M729" s="46" t="s">
        <v>36</v>
      </c>
      <c r="N729" s="46" t="s">
        <v>36</v>
      </c>
      <c r="O729" s="46" t="s">
        <v>36</v>
      </c>
      <c r="P729" s="46" t="s">
        <v>36</v>
      </c>
      <c r="Q729" s="46" t="s">
        <v>37</v>
      </c>
      <c r="R729" s="46" t="s">
        <v>36</v>
      </c>
      <c r="S729" s="46" t="s">
        <v>46</v>
      </c>
      <c r="T729" s="46" t="s">
        <v>36</v>
      </c>
      <c r="U729" s="46" t="s">
        <v>36</v>
      </c>
      <c r="V729" s="46" t="s">
        <v>46</v>
      </c>
      <c r="W729" s="46" t="s">
        <v>36</v>
      </c>
      <c r="X729" s="46" t="s">
        <v>37</v>
      </c>
      <c r="Y729" s="46" t="s">
        <v>46</v>
      </c>
      <c r="Z729" s="46" t="s">
        <v>36</v>
      </c>
      <c r="AA729" s="46" t="s">
        <v>36</v>
      </c>
      <c r="AB729" s="46" t="s">
        <v>36</v>
      </c>
      <c r="AC729" s="46" t="s">
        <v>36</v>
      </c>
      <c r="AD729" s="46" t="s">
        <v>36</v>
      </c>
      <c r="AE729" s="46" t="s">
        <v>37</v>
      </c>
      <c r="AF729" s="46" t="s">
        <v>36</v>
      </c>
      <c r="AG729" s="46" t="s">
        <v>46</v>
      </c>
      <c r="AH729" s="46" t="s">
        <v>43</v>
      </c>
      <c r="AI729" s="46" t="s">
        <v>36</v>
      </c>
      <c r="AJ729" s="46">
        <f>=SUM(E730:AI730)</f>
      </c>
      <c r="AK729" s="46">
        <f>=+AY729</f>
      </c>
      <c r="AL729" s="46"/>
      <c r="AM729" s="1"/>
      <c r="AN729" s="1">
        <f>=COUNTIF(E729:AI729,"A")+COUNTIF(E729:AI729,"B")+COUNTIF(E729:AI729,"C")+COUNTIF(E729:AI729,"D")+COUNTIF(E729:AI729,"E")+COUNTIF(E729:AI729,"F")+COUNTIF(E729:AI729,"M")+COUNTIF(E729:AI729,"AB")+COUNTIF(E729:AI729,"UZ")+COUNTIF(E729:AI729,"G")+(COUNTIF(E729:AI729,"RT.")/2)+(COUNTIF(E729:AI729,"ÇRT.")/2)</f>
      </c>
      <c r="AO729" s="1">
        <f>=COUNTIF(E729:AI729,"O")</f>
      </c>
      <c r="AP729" s="1">
        <f>=COUNTIF(E729:AI729,"RT")+(COUNTIF(E729:AI729,"RT.")/2)</f>
      </c>
      <c r="AQ729" s="1">
        <f>=COUNTIF(E729:AI729,"ÇRT")+(COUNTIF(E729:AI729,"ÇRT.")/2)</f>
      </c>
      <c r="AR729" s="1">
        <f>=COUNTIF(E729:AI729,"ÇHT")</f>
      </c>
      <c r="AS729" s="1">
        <f>=COUNTIF(E729:AI729,"Ö")+COUNTIF(E729:AI729,"T")</f>
      </c>
      <c r="AT729" s="1">
        <f>=COUNTIF(E729:AI729,"Y")</f>
      </c>
      <c r="AU729" s="1">
        <f>=COUNTIF(E729:AI729,"R.")</f>
      </c>
      <c r="AV729" s="1">
        <f>=COUNTIF(E729:AI729,"Ü")</f>
      </c>
      <c r="AW729" s="1">
        <f>=COUNTIF(E729:AI729,"R")</f>
      </c>
      <c r="AX729" s="1">
        <f>=COUNTIF(E729:AI729,"DV")</f>
      </c>
      <c r="AY729" s="1">
        <f>=+AN729+AO729+AP729+AQ729+AR729+AS729+AT729+AU729</f>
      </c>
    </row>
    <row r="730" ht="16" customHeight="1" spans="1:51" x14ac:dyDescent="0.25">
      <c r="A730" s="45"/>
      <c r="B730" s="46"/>
      <c r="C730" s="46"/>
      <c r="D730" s="46" t="s">
        <v>33</v>
      </c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  <c r="AC730" s="46"/>
      <c r="AD730" s="46"/>
      <c r="AE730" s="46"/>
      <c r="AF730" s="46"/>
      <c r="AG730" s="46"/>
      <c r="AH730" s="46"/>
      <c r="AI730" s="46"/>
      <c r="AJ730" s="46"/>
      <c r="AK730" s="46"/>
      <c r="AL730" s="46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</row>
    <row r="731" ht="16" customHeight="1" spans="1:51" x14ac:dyDescent="0.25">
      <c r="A731" s="45"/>
      <c r="B731" s="46" t="s">
        <v>772</v>
      </c>
      <c r="C731" s="46" t="s">
        <v>773</v>
      </c>
      <c r="D731" s="46" t="s">
        <v>29</v>
      </c>
      <c r="E731" s="46" t="s">
        <v>36</v>
      </c>
      <c r="F731" s="46" t="s">
        <v>36</v>
      </c>
      <c r="G731" s="46" t="s">
        <v>36</v>
      </c>
      <c r="H731" s="46" t="s">
        <v>36</v>
      </c>
      <c r="I731" s="46" t="s">
        <v>36</v>
      </c>
      <c r="J731" s="46" t="s">
        <v>37</v>
      </c>
      <c r="K731" s="46" t="s">
        <v>31</v>
      </c>
      <c r="L731" s="46" t="s">
        <v>36</v>
      </c>
      <c r="M731" s="46" t="s">
        <v>36</v>
      </c>
      <c r="N731" s="46" t="s">
        <v>36</v>
      </c>
      <c r="O731" s="46" t="s">
        <v>36</v>
      </c>
      <c r="P731" s="46" t="s">
        <v>36</v>
      </c>
      <c r="Q731" s="46" t="s">
        <v>37</v>
      </c>
      <c r="R731" s="46" t="s">
        <v>36</v>
      </c>
      <c r="S731" s="46" t="s">
        <v>36</v>
      </c>
      <c r="T731" s="46" t="s">
        <v>36</v>
      </c>
      <c r="U731" s="46" t="s">
        <v>36</v>
      </c>
      <c r="V731" s="46" t="s">
        <v>36</v>
      </c>
      <c r="W731" s="46" t="s">
        <v>36</v>
      </c>
      <c r="X731" s="46" t="s">
        <v>37</v>
      </c>
      <c r="Y731" s="46" t="s">
        <v>36</v>
      </c>
      <c r="Z731" s="46" t="s">
        <v>36</v>
      </c>
      <c r="AA731" s="46" t="s">
        <v>36</v>
      </c>
      <c r="AB731" s="46" t="s">
        <v>36</v>
      </c>
      <c r="AC731" s="46" t="s">
        <v>36</v>
      </c>
      <c r="AD731" s="46" t="s">
        <v>36</v>
      </c>
      <c r="AE731" s="46" t="s">
        <v>37</v>
      </c>
      <c r="AF731" s="46" t="s">
        <v>36</v>
      </c>
      <c r="AG731" s="46" t="s">
        <v>36</v>
      </c>
      <c r="AH731" s="46" t="s">
        <v>43</v>
      </c>
      <c r="AI731" s="46" t="s">
        <v>36</v>
      </c>
      <c r="AJ731" s="46">
        <f>=SUM(E732:AI732)</f>
      </c>
      <c r="AK731" s="46">
        <f>=+AY731</f>
      </c>
      <c r="AL731" s="46"/>
      <c r="AM731" s="1"/>
      <c r="AN731" s="1">
        <f>=COUNTIF(E731:AI731,"A")+COUNTIF(E731:AI731,"B")+COUNTIF(E731:AI731,"C")+COUNTIF(E731:AI731,"D")+COUNTIF(E731:AI731,"E")+COUNTIF(E731:AI731,"F")+COUNTIF(E731:AI731,"M")+COUNTIF(E731:AI731,"AB")+COUNTIF(E731:AI731,"UZ")+COUNTIF(E731:AI731,"G")+(COUNTIF(E731:AI731,"RT.")/2)+(COUNTIF(E731:AI731,"ÇRT.")/2)</f>
      </c>
      <c r="AO731" s="1">
        <f>=COUNTIF(E731:AI731,"O")</f>
      </c>
      <c r="AP731" s="1">
        <f>=COUNTIF(E731:AI731,"RT")+(COUNTIF(E731:AI731,"RT.")/2)</f>
      </c>
      <c r="AQ731" s="1">
        <f>=COUNTIF(E731:AI731,"ÇRT")+(COUNTIF(E731:AI731,"ÇRT.")/2)</f>
      </c>
      <c r="AR731" s="1">
        <f>=COUNTIF(E731:AI731,"ÇHT")</f>
      </c>
      <c r="AS731" s="1">
        <f>=COUNTIF(E731:AI731,"Ö")+COUNTIF(E731:AI731,"T")</f>
      </c>
      <c r="AT731" s="1">
        <f>=COUNTIF(E731:AI731,"Y")</f>
      </c>
      <c r="AU731" s="1">
        <f>=COUNTIF(E731:AI731,"R.")</f>
      </c>
      <c r="AV731" s="1">
        <f>=COUNTIF(E731:AI731,"Ü")</f>
      </c>
      <c r="AW731" s="1">
        <f>=COUNTIF(E731:AI731,"R")</f>
      </c>
      <c r="AX731" s="1">
        <f>=COUNTIF(E731:AI731,"DV")</f>
      </c>
      <c r="AY731" s="1">
        <f>=+AN731+AO731+AP731+AQ731+AR731+AS731+AT731+AU731</f>
      </c>
    </row>
    <row r="732" ht="16" customHeight="1" spans="1:51" x14ac:dyDescent="0.25">
      <c r="A732" s="45"/>
      <c r="B732" s="46"/>
      <c r="C732" s="46"/>
      <c r="D732" s="46" t="s">
        <v>33</v>
      </c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  <c r="AC732" s="46"/>
      <c r="AD732" s="46"/>
      <c r="AE732" s="46"/>
      <c r="AF732" s="46">
        <v>2</v>
      </c>
      <c r="AG732" s="46"/>
      <c r="AH732" s="46"/>
      <c r="AI732" s="46"/>
      <c r="AJ732" s="46"/>
      <c r="AK732" s="46"/>
      <c r="AL732" s="46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</row>
    <row r="733" ht="16" customHeight="1" spans="1:51" x14ac:dyDescent="0.25">
      <c r="A733" s="45"/>
      <c r="B733" s="46" t="s">
        <v>774</v>
      </c>
      <c r="C733" s="46" t="s">
        <v>775</v>
      </c>
      <c r="D733" s="46" t="s">
        <v>29</v>
      </c>
      <c r="E733" s="46" t="s">
        <v>36</v>
      </c>
      <c r="F733" s="46" t="s">
        <v>36</v>
      </c>
      <c r="G733" s="46" t="s">
        <v>36</v>
      </c>
      <c r="H733" s="46" t="s">
        <v>36</v>
      </c>
      <c r="I733" s="46" t="s">
        <v>36</v>
      </c>
      <c r="J733" s="46" t="s">
        <v>37</v>
      </c>
      <c r="K733" s="46" t="s">
        <v>36</v>
      </c>
      <c r="L733" s="46" t="s">
        <v>36</v>
      </c>
      <c r="M733" s="46" t="s">
        <v>36</v>
      </c>
      <c r="N733" s="46" t="s">
        <v>36</v>
      </c>
      <c r="O733" s="46" t="s">
        <v>36</v>
      </c>
      <c r="P733" s="46" t="s">
        <v>36</v>
      </c>
      <c r="Q733" s="46" t="s">
        <v>37</v>
      </c>
      <c r="R733" s="46" t="s">
        <v>36</v>
      </c>
      <c r="S733" s="46" t="s">
        <v>36</v>
      </c>
      <c r="T733" s="46" t="s">
        <v>36</v>
      </c>
      <c r="U733" s="46" t="s">
        <v>36</v>
      </c>
      <c r="V733" s="46" t="s">
        <v>37</v>
      </c>
      <c r="W733" s="46" t="s">
        <v>36</v>
      </c>
      <c r="X733" s="46" t="s">
        <v>36</v>
      </c>
      <c r="Y733" s="46" t="s">
        <v>36</v>
      </c>
      <c r="Z733" s="46" t="s">
        <v>36</v>
      </c>
      <c r="AA733" s="46" t="s">
        <v>36</v>
      </c>
      <c r="AB733" s="46" t="s">
        <v>36</v>
      </c>
      <c r="AC733" s="46" t="s">
        <v>36</v>
      </c>
      <c r="AD733" s="46" t="s">
        <v>36</v>
      </c>
      <c r="AE733" s="46" t="s">
        <v>37</v>
      </c>
      <c r="AF733" s="46" t="s">
        <v>36</v>
      </c>
      <c r="AG733" s="46" t="s">
        <v>36</v>
      </c>
      <c r="AH733" s="46" t="s">
        <v>43</v>
      </c>
      <c r="AI733" s="46" t="s">
        <v>36</v>
      </c>
      <c r="AJ733" s="46">
        <f>=SUM(E734:AI734)</f>
      </c>
      <c r="AK733" s="46">
        <f>=+AY733</f>
      </c>
      <c r="AL733" s="46"/>
      <c r="AM733" s="1"/>
      <c r="AN733" s="1">
        <f>=COUNTIF(E733:AI733,"A")+COUNTIF(E733:AI733,"B")+COUNTIF(E733:AI733,"C")+COUNTIF(E733:AI733,"D")+COUNTIF(E733:AI733,"E")+COUNTIF(E733:AI733,"F")+COUNTIF(E733:AI733,"M")+COUNTIF(E733:AI733,"AB")+COUNTIF(E733:AI733,"UZ")+COUNTIF(E733:AI733,"G")+(COUNTIF(E733:AI733,"RT.")/2)+(COUNTIF(E733:AI733,"ÇRT.")/2)</f>
      </c>
      <c r="AO733" s="1">
        <f>=COUNTIF(E733:AI733,"O")</f>
      </c>
      <c r="AP733" s="1">
        <f>=COUNTIF(E733:AI733,"RT")+(COUNTIF(E733:AI733,"RT.")/2)</f>
      </c>
      <c r="AQ733" s="1">
        <f>=COUNTIF(E733:AI733,"ÇRT")+(COUNTIF(E733:AI733,"ÇRT.")/2)</f>
      </c>
      <c r="AR733" s="1">
        <f>=COUNTIF(E733:AI733,"ÇHT")</f>
      </c>
      <c r="AS733" s="1">
        <f>=COUNTIF(E733:AI733,"Ö")+COUNTIF(E733:AI733,"T")</f>
      </c>
      <c r="AT733" s="1">
        <f>=COUNTIF(E733:AI733,"Y")</f>
      </c>
      <c r="AU733" s="1">
        <f>=COUNTIF(E733:AI733,"R.")</f>
      </c>
      <c r="AV733" s="1">
        <f>=COUNTIF(E733:AI733,"Ü")</f>
      </c>
      <c r="AW733" s="1">
        <f>=COUNTIF(E733:AI733,"R")</f>
      </c>
      <c r="AX733" s="1">
        <f>=COUNTIF(E733:AI733,"DV")</f>
      </c>
      <c r="AY733" s="1">
        <f>=+AN733+AO733+AP733+AQ733+AR733+AS733+AT733+AU733</f>
      </c>
    </row>
    <row r="734" ht="16" customHeight="1" spans="1:51" x14ac:dyDescent="0.25">
      <c r="A734" s="45"/>
      <c r="B734" s="46"/>
      <c r="C734" s="46"/>
      <c r="D734" s="46" t="s">
        <v>33</v>
      </c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>
        <v>1</v>
      </c>
      <c r="T734" s="46">
        <v>1</v>
      </c>
      <c r="U734" s="46"/>
      <c r="V734" s="46"/>
      <c r="W734" s="46"/>
      <c r="X734" s="46">
        <v>2</v>
      </c>
      <c r="Y734" s="46"/>
      <c r="Z734" s="46"/>
      <c r="AA734" s="46"/>
      <c r="AB734" s="46"/>
      <c r="AC734" s="46"/>
      <c r="AD734" s="46"/>
      <c r="AE734" s="46"/>
      <c r="AF734" s="46"/>
      <c r="AG734" s="46">
        <v>3</v>
      </c>
      <c r="AH734" s="46">
        <v>2</v>
      </c>
      <c r="AI734" s="46"/>
      <c r="AJ734" s="46"/>
      <c r="AK734" s="46"/>
      <c r="AL734" s="46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</row>
    <row r="735" ht="16" customHeight="1" spans="1:51" x14ac:dyDescent="0.25">
      <c r="A735" s="45"/>
      <c r="B735" s="46" t="s">
        <v>776</v>
      </c>
      <c r="C735" s="46" t="s">
        <v>777</v>
      </c>
      <c r="D735" s="46" t="s">
        <v>29</v>
      </c>
      <c r="E735" s="46" t="s">
        <v>37</v>
      </c>
      <c r="F735" s="46" t="s">
        <v>36</v>
      </c>
      <c r="G735" s="46" t="s">
        <v>36</v>
      </c>
      <c r="H735" s="46" t="s">
        <v>36</v>
      </c>
      <c r="I735" s="46" t="s">
        <v>36</v>
      </c>
      <c r="J735" s="46" t="s">
        <v>36</v>
      </c>
      <c r="K735" s="46" t="s">
        <v>36</v>
      </c>
      <c r="L735" s="46" t="s">
        <v>37</v>
      </c>
      <c r="M735" s="46" t="s">
        <v>36</v>
      </c>
      <c r="N735" s="46" t="s">
        <v>36</v>
      </c>
      <c r="O735" s="46" t="s">
        <v>36</v>
      </c>
      <c r="P735" s="46" t="s">
        <v>36</v>
      </c>
      <c r="Q735" s="46" t="s">
        <v>36</v>
      </c>
      <c r="R735" s="46" t="s">
        <v>36</v>
      </c>
      <c r="S735" s="46" t="s">
        <v>37</v>
      </c>
      <c r="T735" s="46" t="s">
        <v>36</v>
      </c>
      <c r="U735" s="46" t="s">
        <v>36</v>
      </c>
      <c r="V735" s="46" t="s">
        <v>36</v>
      </c>
      <c r="W735" s="46" t="s">
        <v>36</v>
      </c>
      <c r="X735" s="46" t="s">
        <v>36</v>
      </c>
      <c r="Y735" s="46" t="s">
        <v>36</v>
      </c>
      <c r="Z735" s="46" t="s">
        <v>37</v>
      </c>
      <c r="AA735" s="46" t="s">
        <v>36</v>
      </c>
      <c r="AB735" s="46" t="s">
        <v>36</v>
      </c>
      <c r="AC735" s="46" t="s">
        <v>36</v>
      </c>
      <c r="AD735" s="46" t="s">
        <v>36</v>
      </c>
      <c r="AE735" s="46" t="s">
        <v>36</v>
      </c>
      <c r="AF735" s="46" t="s">
        <v>36</v>
      </c>
      <c r="AG735" s="46" t="s">
        <v>222</v>
      </c>
      <c r="AH735" s="46" t="s">
        <v>43</v>
      </c>
      <c r="AI735" s="46" t="s">
        <v>36</v>
      </c>
      <c r="AJ735" s="46">
        <f>=SUM(E736:AI736)</f>
      </c>
      <c r="AK735" s="46">
        <f>=+AY735</f>
      </c>
      <c r="AL735" s="46"/>
      <c r="AM735" s="1"/>
      <c r="AN735" s="1">
        <f>=COUNTIF(E735:AI735,"A")+COUNTIF(E735:AI735,"B")+COUNTIF(E735:AI735,"C")+COUNTIF(E735:AI735,"D")+COUNTIF(E735:AI735,"E")+COUNTIF(E735:AI735,"F")+COUNTIF(E735:AI735,"M")+COUNTIF(E735:AI735,"AB")+COUNTIF(E735:AI735,"UZ")+COUNTIF(E735:AI735,"G")+(COUNTIF(E735:AI735,"RT.")/2)+(COUNTIF(E735:AI735,"ÇRT.")/2)</f>
      </c>
      <c r="AO735" s="1">
        <f>=COUNTIF(E735:AI735,"O")</f>
      </c>
      <c r="AP735" s="1">
        <f>=COUNTIF(E735:AI735,"RT")+(COUNTIF(E735:AI735,"RT.")/2)</f>
      </c>
      <c r="AQ735" s="1">
        <f>=COUNTIF(E735:AI735,"ÇRT")+(COUNTIF(E735:AI735,"ÇRT.")/2)</f>
      </c>
      <c r="AR735" s="1">
        <f>=COUNTIF(E735:AI735,"ÇHT")</f>
      </c>
      <c r="AS735" s="1">
        <f>=COUNTIF(E735:AI735,"Ö")+COUNTIF(E735:AI735,"T")</f>
      </c>
      <c r="AT735" s="1">
        <f>=COUNTIF(E735:AI735,"Y")</f>
      </c>
      <c r="AU735" s="1">
        <f>=COUNTIF(E735:AI735,"R.")</f>
      </c>
      <c r="AV735" s="1">
        <f>=COUNTIF(E735:AI735,"Ü")</f>
      </c>
      <c r="AW735" s="1">
        <f>=COUNTIF(E735:AI735,"R")</f>
      </c>
      <c r="AX735" s="1">
        <f>=COUNTIF(E735:AI735,"DV")</f>
      </c>
      <c r="AY735" s="1">
        <f>=+AN735+AO735+AP735+AQ735+AR735+AS735+AT735+AU735</f>
      </c>
    </row>
    <row r="736" ht="16" customHeight="1" spans="1:51" x14ac:dyDescent="0.25">
      <c r="A736" s="45"/>
      <c r="B736" s="46"/>
      <c r="C736" s="46"/>
      <c r="D736" s="46" t="s">
        <v>33</v>
      </c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  <c r="AC736" s="46"/>
      <c r="AD736" s="46"/>
      <c r="AE736" s="46"/>
      <c r="AF736" s="46">
        <v>2</v>
      </c>
      <c r="AG736" s="46">
        <v>3</v>
      </c>
      <c r="AH736" s="46">
        <v>2</v>
      </c>
      <c r="AI736" s="46"/>
      <c r="AJ736" s="46"/>
      <c r="AK736" s="46"/>
      <c r="AL736" s="46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</row>
    <row r="737" ht="16" customHeight="1" spans="1:51" x14ac:dyDescent="0.25">
      <c r="A737" s="45"/>
      <c r="B737" s="46" t="s">
        <v>778</v>
      </c>
      <c r="C737" s="46" t="s">
        <v>779</v>
      </c>
      <c r="D737" s="46" t="s">
        <v>29</v>
      </c>
      <c r="E737" s="46" t="s">
        <v>36</v>
      </c>
      <c r="F737" s="46" t="s">
        <v>36</v>
      </c>
      <c r="G737" s="46" t="s">
        <v>36</v>
      </c>
      <c r="H737" s="46" t="s">
        <v>36</v>
      </c>
      <c r="I737" s="46" t="s">
        <v>36</v>
      </c>
      <c r="J737" s="46" t="s">
        <v>36</v>
      </c>
      <c r="K737" s="46" t="s">
        <v>37</v>
      </c>
      <c r="L737" s="46" t="s">
        <v>36</v>
      </c>
      <c r="M737" s="46" t="s">
        <v>36</v>
      </c>
      <c r="N737" s="46" t="s">
        <v>36</v>
      </c>
      <c r="O737" s="46" t="s">
        <v>37</v>
      </c>
      <c r="P737" s="46" t="s">
        <v>36</v>
      </c>
      <c r="Q737" s="46" t="s">
        <v>36</v>
      </c>
      <c r="R737" s="46" t="s">
        <v>36</v>
      </c>
      <c r="S737" s="46" t="s">
        <v>36</v>
      </c>
      <c r="T737" s="46" t="s">
        <v>36</v>
      </c>
      <c r="U737" s="46" t="s">
        <v>36</v>
      </c>
      <c r="V737" s="46" t="s">
        <v>36</v>
      </c>
      <c r="W737" s="46" t="s">
        <v>36</v>
      </c>
      <c r="X737" s="46" t="s">
        <v>36</v>
      </c>
      <c r="Y737" s="46" t="s">
        <v>222</v>
      </c>
      <c r="Z737" s="46" t="s">
        <v>36</v>
      </c>
      <c r="AA737" s="46" t="s">
        <v>36</v>
      </c>
      <c r="AB737" s="46" t="s">
        <v>36</v>
      </c>
      <c r="AC737" s="46" t="s">
        <v>36</v>
      </c>
      <c r="AD737" s="46" t="s">
        <v>36</v>
      </c>
      <c r="AE737" s="46" t="s">
        <v>36</v>
      </c>
      <c r="AF737" s="46" t="s">
        <v>37</v>
      </c>
      <c r="AG737" s="46" t="s">
        <v>36</v>
      </c>
      <c r="AH737" s="46" t="s">
        <v>43</v>
      </c>
      <c r="AI737" s="46" t="s">
        <v>36</v>
      </c>
      <c r="AJ737" s="46">
        <f>=SUM(E738:AI738)</f>
      </c>
      <c r="AK737" s="46">
        <f>=+AY737</f>
      </c>
      <c r="AL737" s="46"/>
      <c r="AM737" s="1"/>
      <c r="AN737" s="1">
        <f>=COUNTIF(E737:AI737,"A")+COUNTIF(E737:AI737,"B")+COUNTIF(E737:AI737,"C")+COUNTIF(E737:AI737,"D")+COUNTIF(E737:AI737,"E")+COUNTIF(E737:AI737,"F")+COUNTIF(E737:AI737,"M")+COUNTIF(E737:AI737,"AB")+COUNTIF(E737:AI737,"UZ")+COUNTIF(E737:AI737,"G")+(COUNTIF(E737:AI737,"RT.")/2)+(COUNTIF(E737:AI737,"ÇRT.")/2)</f>
      </c>
      <c r="AO737" s="1">
        <f>=COUNTIF(E737:AI737,"O")</f>
      </c>
      <c r="AP737" s="1">
        <f>=COUNTIF(E737:AI737,"RT")+(COUNTIF(E737:AI737,"RT.")/2)</f>
      </c>
      <c r="AQ737" s="1">
        <f>=COUNTIF(E737:AI737,"ÇRT")+(COUNTIF(E737:AI737,"ÇRT.")/2)</f>
      </c>
      <c r="AR737" s="1">
        <f>=COUNTIF(E737:AI737,"ÇHT")</f>
      </c>
      <c r="AS737" s="1">
        <f>=COUNTIF(E737:AI737,"Ö")+COUNTIF(E737:AI737,"T")</f>
      </c>
      <c r="AT737" s="1">
        <f>=COUNTIF(E737:AI737,"Y")</f>
      </c>
      <c r="AU737" s="1">
        <f>=COUNTIF(E737:AI737,"R.")</f>
      </c>
      <c r="AV737" s="1">
        <f>=COUNTIF(E737:AI737,"Ü")</f>
      </c>
      <c r="AW737" s="1">
        <f>=COUNTIF(E737:AI737,"R")</f>
      </c>
      <c r="AX737" s="1">
        <f>=COUNTIF(E737:AI737,"DV")</f>
      </c>
      <c r="AY737" s="1">
        <f>=+AN737+AO737+AP737+AQ737+AR737+AS737+AT737+AU737</f>
      </c>
    </row>
    <row r="738" ht="16" customHeight="1" spans="1:51" x14ac:dyDescent="0.25">
      <c r="A738" s="45"/>
      <c r="B738" s="46"/>
      <c r="C738" s="46"/>
      <c r="D738" s="46" t="s">
        <v>33</v>
      </c>
      <c r="E738" s="46"/>
      <c r="F738" s="46"/>
      <c r="G738" s="46"/>
      <c r="H738" s="46"/>
      <c r="I738" s="46"/>
      <c r="J738" s="46"/>
      <c r="K738" s="46"/>
      <c r="L738" s="46"/>
      <c r="M738" s="46">
        <v>1</v>
      </c>
      <c r="N738" s="46"/>
      <c r="O738" s="46">
        <v>0</v>
      </c>
      <c r="P738" s="46"/>
      <c r="Q738" s="46"/>
      <c r="R738" s="46"/>
      <c r="S738" s="46">
        <v>1</v>
      </c>
      <c r="T738" s="46">
        <v>1</v>
      </c>
      <c r="U738" s="46"/>
      <c r="V738" s="46"/>
      <c r="W738" s="46"/>
      <c r="X738" s="46"/>
      <c r="Y738" s="46"/>
      <c r="Z738" s="46">
        <v>1</v>
      </c>
      <c r="AA738" s="46"/>
      <c r="AB738" s="46">
        <v>1</v>
      </c>
      <c r="AC738" s="46"/>
      <c r="AD738" s="46"/>
      <c r="AE738" s="46"/>
      <c r="AF738" s="46"/>
      <c r="AG738" s="46"/>
      <c r="AH738" s="46"/>
      <c r="AI738" s="46"/>
      <c r="AJ738" s="46"/>
      <c r="AK738" s="46"/>
      <c r="AL738" s="46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</row>
    <row r="739" ht="16" customHeight="1" spans="1:51" x14ac:dyDescent="0.25">
      <c r="A739" s="45"/>
      <c r="B739" s="46" t="s">
        <v>780</v>
      </c>
      <c r="C739" s="46" t="s">
        <v>781</v>
      </c>
      <c r="D739" s="46" t="s">
        <v>29</v>
      </c>
      <c r="E739" s="46" t="s">
        <v>59</v>
      </c>
      <c r="F739" s="46" t="s">
        <v>59</v>
      </c>
      <c r="G739" s="46" t="s">
        <v>37</v>
      </c>
      <c r="H739" s="46" t="s">
        <v>59</v>
      </c>
      <c r="I739" s="46" t="s">
        <v>59</v>
      </c>
      <c r="J739" s="46" t="s">
        <v>59</v>
      </c>
      <c r="K739" s="46" t="s">
        <v>59</v>
      </c>
      <c r="L739" s="46" t="s">
        <v>59</v>
      </c>
      <c r="M739" s="46" t="s">
        <v>59</v>
      </c>
      <c r="N739" s="46" t="s">
        <v>37</v>
      </c>
      <c r="O739" s="46" t="s">
        <v>59</v>
      </c>
      <c r="P739" s="46" t="s">
        <v>59</v>
      </c>
      <c r="Q739" s="46" t="s">
        <v>59</v>
      </c>
      <c r="R739" s="46" t="s">
        <v>59</v>
      </c>
      <c r="S739" s="46" t="s">
        <v>59</v>
      </c>
      <c r="T739" s="46" t="s">
        <v>59</v>
      </c>
      <c r="U739" s="46" t="s">
        <v>37</v>
      </c>
      <c r="V739" s="46" t="s">
        <v>59</v>
      </c>
      <c r="W739" s="46" t="s">
        <v>59</v>
      </c>
      <c r="X739" s="46" t="s">
        <v>59</v>
      </c>
      <c r="Y739" s="46" t="s">
        <v>59</v>
      </c>
      <c r="Z739" s="46" t="s">
        <v>59</v>
      </c>
      <c r="AA739" s="46" t="s">
        <v>59</v>
      </c>
      <c r="AB739" s="46" t="s">
        <v>37</v>
      </c>
      <c r="AC739" s="46" t="s">
        <v>59</v>
      </c>
      <c r="AD739" s="46" t="s">
        <v>59</v>
      </c>
      <c r="AE739" s="46" t="s">
        <v>59</v>
      </c>
      <c r="AF739" s="46" t="s">
        <v>59</v>
      </c>
      <c r="AG739" s="46" t="s">
        <v>59</v>
      </c>
      <c r="AH739" s="46" t="s">
        <v>43</v>
      </c>
      <c r="AI739" s="46" t="s">
        <v>37</v>
      </c>
      <c r="AJ739" s="46">
        <f>=SUM(E740:AI740)</f>
      </c>
      <c r="AK739" s="46">
        <f>=+AY739</f>
      </c>
      <c r="AL739" s="46"/>
      <c r="AM739" s="1"/>
      <c r="AN739" s="1">
        <f>=COUNTIF(E739:AI739,"A")+COUNTIF(E739:AI739,"B")+COUNTIF(E739:AI739,"C")+COUNTIF(E739:AI739,"D")+COUNTIF(E739:AI739,"E")+COUNTIF(E739:AI739,"F")+COUNTIF(E739:AI739,"M")+COUNTIF(E739:AI739,"AB")+COUNTIF(E739:AI739,"UZ")+COUNTIF(E739:AI739,"G")+(COUNTIF(E739:AI739,"RT.")/2)+(COUNTIF(E739:AI739,"ÇRT.")/2)</f>
      </c>
      <c r="AO739" s="1">
        <f>=COUNTIF(E739:AI739,"O")</f>
      </c>
      <c r="AP739" s="1">
        <f>=COUNTIF(E739:AI739,"RT")+(COUNTIF(E739:AI739,"RT.")/2)</f>
      </c>
      <c r="AQ739" s="1">
        <f>=COUNTIF(E739:AI739,"ÇRT")+(COUNTIF(E739:AI739,"ÇRT.")/2)</f>
      </c>
      <c r="AR739" s="1">
        <f>=COUNTIF(E739:AI739,"ÇHT")</f>
      </c>
      <c r="AS739" s="1">
        <f>=COUNTIF(E739:AI739,"Ö")+COUNTIF(E739:AI739,"T")</f>
      </c>
      <c r="AT739" s="1">
        <f>=COUNTIF(E739:AI739,"Y")</f>
      </c>
      <c r="AU739" s="1">
        <f>=COUNTIF(E739:AI739,"R.")</f>
      </c>
      <c r="AV739" s="1">
        <f>=COUNTIF(E739:AI739,"Ü")</f>
      </c>
      <c r="AW739" s="1">
        <f>=COUNTIF(E739:AI739,"R")</f>
      </c>
      <c r="AX739" s="1">
        <f>=COUNTIF(E739:AI739,"DV")</f>
      </c>
      <c r="AY739" s="1">
        <f>=+AN739+AO739+AP739+AQ739+AR739+AS739+AT739+AU739</f>
      </c>
    </row>
    <row r="740" ht="16" customHeight="1" spans="1:51" x14ac:dyDescent="0.25">
      <c r="A740" s="45"/>
      <c r="B740" s="46"/>
      <c r="C740" s="46"/>
      <c r="D740" s="46" t="s">
        <v>33</v>
      </c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  <c r="AB740" s="46"/>
      <c r="AC740" s="46"/>
      <c r="AD740" s="46"/>
      <c r="AE740" s="46"/>
      <c r="AF740" s="46"/>
      <c r="AG740" s="46"/>
      <c r="AH740" s="46"/>
      <c r="AI740" s="46"/>
      <c r="AJ740" s="46"/>
      <c r="AK740" s="46"/>
      <c r="AL740" s="46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</row>
    <row r="741" ht="16" customHeight="1" spans="1:51" x14ac:dyDescent="0.25">
      <c r="A741" s="45"/>
      <c r="B741" s="46" t="s">
        <v>782</v>
      </c>
      <c r="C741" s="46" t="s">
        <v>783</v>
      </c>
      <c r="D741" s="46" t="s">
        <v>29</v>
      </c>
      <c r="E741" s="46" t="s">
        <v>59</v>
      </c>
      <c r="F741" s="46" t="s">
        <v>59</v>
      </c>
      <c r="G741" s="46" t="s">
        <v>59</v>
      </c>
      <c r="H741" s="46" t="s">
        <v>37</v>
      </c>
      <c r="I741" s="46" t="s">
        <v>59</v>
      </c>
      <c r="J741" s="46" t="s">
        <v>59</v>
      </c>
      <c r="K741" s="46" t="s">
        <v>59</v>
      </c>
      <c r="L741" s="46" t="s">
        <v>59</v>
      </c>
      <c r="M741" s="46" t="s">
        <v>59</v>
      </c>
      <c r="N741" s="46" t="s">
        <v>59</v>
      </c>
      <c r="O741" s="46" t="s">
        <v>37</v>
      </c>
      <c r="P741" s="46" t="s">
        <v>59</v>
      </c>
      <c r="Q741" s="46" t="s">
        <v>59</v>
      </c>
      <c r="R741" s="46" t="s">
        <v>59</v>
      </c>
      <c r="S741" s="46" t="s">
        <v>59</v>
      </c>
      <c r="T741" s="46" t="s">
        <v>59</v>
      </c>
      <c r="U741" s="46" t="s">
        <v>59</v>
      </c>
      <c r="V741" s="46" t="s">
        <v>37</v>
      </c>
      <c r="W741" s="46" t="s">
        <v>59</v>
      </c>
      <c r="X741" s="46" t="s">
        <v>59</v>
      </c>
      <c r="Y741" s="46" t="s">
        <v>59</v>
      </c>
      <c r="Z741" s="46" t="s">
        <v>59</v>
      </c>
      <c r="AA741" s="46" t="s">
        <v>59</v>
      </c>
      <c r="AB741" s="46" t="s">
        <v>59</v>
      </c>
      <c r="AC741" s="46" t="s">
        <v>37</v>
      </c>
      <c r="AD741" s="46" t="s">
        <v>59</v>
      </c>
      <c r="AE741" s="46" t="s">
        <v>59</v>
      </c>
      <c r="AF741" s="46" t="s">
        <v>59</v>
      </c>
      <c r="AG741" s="46" t="s">
        <v>59</v>
      </c>
      <c r="AH741" s="46" t="s">
        <v>43</v>
      </c>
      <c r="AI741" s="46" t="s">
        <v>59</v>
      </c>
      <c r="AJ741" s="46">
        <f>=SUM(E742:AI742)</f>
      </c>
      <c r="AK741" s="46">
        <f>=+AY741</f>
      </c>
      <c r="AL741" s="46"/>
      <c r="AM741" s="1"/>
      <c r="AN741" s="1">
        <f>=COUNTIF(E741:AI741,"A")+COUNTIF(E741:AI741,"B")+COUNTIF(E741:AI741,"C")+COUNTIF(E741:AI741,"D")+COUNTIF(E741:AI741,"E")+COUNTIF(E741:AI741,"F")+COUNTIF(E741:AI741,"M")+COUNTIF(E741:AI741,"AB")+COUNTIF(E741:AI741,"UZ")+COUNTIF(E741:AI741,"G")+(COUNTIF(E741:AI741,"RT.")/2)+(COUNTIF(E741:AI741,"ÇRT.")/2)</f>
      </c>
      <c r="AO741" s="1">
        <f>=COUNTIF(E741:AI741,"O")</f>
      </c>
      <c r="AP741" s="1">
        <f>=COUNTIF(E741:AI741,"RT")+(COUNTIF(E741:AI741,"RT.")/2)</f>
      </c>
      <c r="AQ741" s="1">
        <f>=COUNTIF(E741:AI741,"ÇRT")+(COUNTIF(E741:AI741,"ÇRT.")/2)</f>
      </c>
      <c r="AR741" s="1">
        <f>=COUNTIF(E741:AI741,"ÇHT")</f>
      </c>
      <c r="AS741" s="1">
        <f>=COUNTIF(E741:AI741,"Ö")+COUNTIF(E741:AI741,"T")</f>
      </c>
      <c r="AT741" s="1">
        <f>=COUNTIF(E741:AI741,"Y")</f>
      </c>
      <c r="AU741" s="1">
        <f>=COUNTIF(E741:AI741,"R.")</f>
      </c>
      <c r="AV741" s="1">
        <f>=COUNTIF(E741:AI741,"Ü")</f>
      </c>
      <c r="AW741" s="1">
        <f>=COUNTIF(E741:AI741,"R")</f>
      </c>
      <c r="AX741" s="1">
        <f>=COUNTIF(E741:AI741,"DV")</f>
      </c>
      <c r="AY741" s="1">
        <f>=+AN741+AO741+AP741+AQ741+AR741+AS741+AT741+AU741</f>
      </c>
    </row>
    <row r="742" ht="16" customHeight="1" spans="1:51" x14ac:dyDescent="0.25">
      <c r="A742" s="45"/>
      <c r="B742" s="46"/>
      <c r="C742" s="46"/>
      <c r="D742" s="46" t="s">
        <v>33</v>
      </c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  <c r="AB742" s="46"/>
      <c r="AC742" s="46"/>
      <c r="AD742" s="46"/>
      <c r="AE742" s="46"/>
      <c r="AF742" s="46"/>
      <c r="AG742" s="46"/>
      <c r="AH742" s="46"/>
      <c r="AI742" s="46"/>
      <c r="AJ742" s="46"/>
      <c r="AK742" s="46"/>
      <c r="AL742" s="46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</row>
    <row r="743" ht="16" customHeight="1" spans="1:51" x14ac:dyDescent="0.25">
      <c r="A743" s="45"/>
      <c r="B743" s="46" t="s">
        <v>784</v>
      </c>
      <c r="C743" s="46" t="s">
        <v>785</v>
      </c>
      <c r="D743" s="46" t="s">
        <v>29</v>
      </c>
      <c r="E743" s="46" t="s">
        <v>36</v>
      </c>
      <c r="F743" s="46" t="s">
        <v>36</v>
      </c>
      <c r="G743" s="46" t="s">
        <v>37</v>
      </c>
      <c r="H743" s="46" t="s">
        <v>36</v>
      </c>
      <c r="I743" s="46" t="s">
        <v>36</v>
      </c>
      <c r="J743" s="46" t="s">
        <v>36</v>
      </c>
      <c r="K743" s="46" t="s">
        <v>36</v>
      </c>
      <c r="L743" s="46" t="s">
        <v>36</v>
      </c>
      <c r="M743" s="46" t="s">
        <v>36</v>
      </c>
      <c r="N743" s="46" t="s">
        <v>37</v>
      </c>
      <c r="O743" s="46" t="s">
        <v>36</v>
      </c>
      <c r="P743" s="46" t="s">
        <v>36</v>
      </c>
      <c r="Q743" s="46" t="s">
        <v>36</v>
      </c>
      <c r="R743" s="46" t="s">
        <v>36</v>
      </c>
      <c r="S743" s="46" t="s">
        <v>36</v>
      </c>
      <c r="T743" s="46" t="s">
        <v>36</v>
      </c>
      <c r="U743" s="46" t="s">
        <v>37</v>
      </c>
      <c r="V743" s="46" t="s">
        <v>36</v>
      </c>
      <c r="W743" s="46" t="s">
        <v>36</v>
      </c>
      <c r="X743" s="46" t="s">
        <v>36</v>
      </c>
      <c r="Y743" s="46" t="s">
        <v>36</v>
      </c>
      <c r="Z743" s="46" t="s">
        <v>36</v>
      </c>
      <c r="AA743" s="46" t="s">
        <v>36</v>
      </c>
      <c r="AB743" s="46" t="s">
        <v>37</v>
      </c>
      <c r="AC743" s="46" t="s">
        <v>36</v>
      </c>
      <c r="AD743" s="46" t="s">
        <v>36</v>
      </c>
      <c r="AE743" s="46" t="s">
        <v>36</v>
      </c>
      <c r="AF743" s="46" t="s">
        <v>36</v>
      </c>
      <c r="AG743" s="46" t="s">
        <v>36</v>
      </c>
      <c r="AH743" s="46" t="s">
        <v>43</v>
      </c>
      <c r="AI743" s="46" t="s">
        <v>37</v>
      </c>
      <c r="AJ743" s="46">
        <f>=SUM(E744:AI744)</f>
      </c>
      <c r="AK743" s="46">
        <f>=+AY743</f>
      </c>
      <c r="AL743" s="46"/>
      <c r="AM743" s="1"/>
      <c r="AN743" s="1">
        <f>=COUNTIF(E743:AI743,"A")+COUNTIF(E743:AI743,"B")+COUNTIF(E743:AI743,"C")+COUNTIF(E743:AI743,"D")+COUNTIF(E743:AI743,"E")+COUNTIF(E743:AI743,"F")+COUNTIF(E743:AI743,"M")+COUNTIF(E743:AI743,"AB")+COUNTIF(E743:AI743,"UZ")+COUNTIF(E743:AI743,"G")+(COUNTIF(E743:AI743,"RT.")/2)+(COUNTIF(E743:AI743,"ÇRT.")/2)</f>
      </c>
      <c r="AO743" s="1">
        <f>=COUNTIF(E743:AI743,"O")</f>
      </c>
      <c r="AP743" s="1">
        <f>=COUNTIF(E743:AI743,"RT")+(COUNTIF(E743:AI743,"RT.")/2)</f>
      </c>
      <c r="AQ743" s="1">
        <f>=COUNTIF(E743:AI743,"ÇRT")+(COUNTIF(E743:AI743,"ÇRT.")/2)</f>
      </c>
      <c r="AR743" s="1">
        <f>=COUNTIF(E743:AI743,"ÇHT")</f>
      </c>
      <c r="AS743" s="1">
        <f>=COUNTIF(E743:AI743,"Ö")+COUNTIF(E743:AI743,"T")</f>
      </c>
      <c r="AT743" s="1">
        <f>=COUNTIF(E743:AI743,"Y")</f>
      </c>
      <c r="AU743" s="1">
        <f>=COUNTIF(E743:AI743,"R.")</f>
      </c>
      <c r="AV743" s="1">
        <f>=COUNTIF(E743:AI743,"Ü")</f>
      </c>
      <c r="AW743" s="1">
        <f>=COUNTIF(E743:AI743,"R")</f>
      </c>
      <c r="AX743" s="1">
        <f>=COUNTIF(E743:AI743,"DV")</f>
      </c>
      <c r="AY743" s="1">
        <f>=+AN743+AO743+AP743+AQ743+AR743+AS743+AT743+AU743</f>
      </c>
    </row>
    <row r="744" ht="16" customHeight="1" spans="1:51" x14ac:dyDescent="0.25">
      <c r="A744" s="45"/>
      <c r="B744" s="46"/>
      <c r="C744" s="46"/>
      <c r="D744" s="46" t="s">
        <v>33</v>
      </c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  <c r="AB744" s="46"/>
      <c r="AC744" s="46"/>
      <c r="AD744" s="46"/>
      <c r="AE744" s="46"/>
      <c r="AF744" s="46">
        <v>2</v>
      </c>
      <c r="AG744" s="46"/>
      <c r="AH744" s="46"/>
      <c r="AI744" s="46"/>
      <c r="AJ744" s="46"/>
      <c r="AK744" s="46"/>
      <c r="AL744" s="46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</row>
    <row r="745" ht="16" customHeight="1" spans="1:51" x14ac:dyDescent="0.25">
      <c r="A745" s="45"/>
      <c r="B745" s="46" t="s">
        <v>786</v>
      </c>
      <c r="C745" s="46" t="s">
        <v>787</v>
      </c>
      <c r="D745" s="46" t="s">
        <v>29</v>
      </c>
      <c r="E745" s="46" t="s">
        <v>31</v>
      </c>
      <c r="F745" s="46" t="s">
        <v>32</v>
      </c>
      <c r="G745" s="46" t="s">
        <v>32</v>
      </c>
      <c r="H745" s="46" t="s">
        <v>32</v>
      </c>
      <c r="I745" s="46" t="s">
        <v>32</v>
      </c>
      <c r="J745" s="46" t="s">
        <v>32</v>
      </c>
      <c r="K745" s="46" t="s">
        <v>32</v>
      </c>
      <c r="L745" s="46" t="s">
        <v>32</v>
      </c>
      <c r="M745" s="46" t="s">
        <v>32</v>
      </c>
      <c r="N745" s="46" t="s">
        <v>32</v>
      </c>
      <c r="O745" s="46" t="s">
        <v>32</v>
      </c>
      <c r="P745" s="46" t="s">
        <v>32</v>
      </c>
      <c r="Q745" s="46" t="s">
        <v>32</v>
      </c>
      <c r="R745" s="46" t="s">
        <v>32</v>
      </c>
      <c r="S745" s="46" t="s">
        <v>32</v>
      </c>
      <c r="T745" s="46" t="s">
        <v>32</v>
      </c>
      <c r="U745" s="46" t="s">
        <v>32</v>
      </c>
      <c r="V745" s="46" t="s">
        <v>32</v>
      </c>
      <c r="W745" s="46" t="s">
        <v>32</v>
      </c>
      <c r="X745" s="46" t="s">
        <v>32</v>
      </c>
      <c r="Y745" s="46" t="s">
        <v>32</v>
      </c>
      <c r="Z745" s="46" t="s">
        <v>32</v>
      </c>
      <c r="AA745" s="46" t="s">
        <v>32</v>
      </c>
      <c r="AB745" s="46" t="s">
        <v>32</v>
      </c>
      <c r="AC745" s="46" t="s">
        <v>32</v>
      </c>
      <c r="AD745" s="46" t="s">
        <v>32</v>
      </c>
      <c r="AE745" s="46" t="s">
        <v>32</v>
      </c>
      <c r="AF745" s="46" t="s">
        <v>32</v>
      </c>
      <c r="AG745" s="46" t="s">
        <v>32</v>
      </c>
      <c r="AH745" s="46" t="s">
        <v>154</v>
      </c>
      <c r="AI745" s="46" t="s">
        <v>31</v>
      </c>
      <c r="AJ745" s="46">
        <f>=SUM(E746:AI746)</f>
      </c>
      <c r="AK745" s="46">
        <f>=+AY745</f>
      </c>
      <c r="AL745" s="46"/>
      <c r="AM745" s="1"/>
      <c r="AN745" s="1">
        <f>=COUNTIF(E745:AI745,"A")+COUNTIF(E745:AI745,"B")+COUNTIF(E745:AI745,"C")+COUNTIF(E745:AI745,"D")+COUNTIF(E745:AI745,"E")+COUNTIF(E745:AI745,"F")+COUNTIF(E745:AI745,"M")+COUNTIF(E745:AI745,"AB")+COUNTIF(E745:AI745,"UZ")+COUNTIF(E745:AI745,"G")+(COUNTIF(E745:AI745,"RT.")/2)+(COUNTIF(E745:AI745,"ÇRT.")/2)</f>
      </c>
      <c r="AO745" s="1">
        <f>=COUNTIF(E745:AI745,"O")</f>
      </c>
      <c r="AP745" s="1">
        <f>=COUNTIF(E745:AI745,"RT")+(COUNTIF(E745:AI745,"RT.")/2)</f>
      </c>
      <c r="AQ745" s="1">
        <f>=COUNTIF(E745:AI745,"ÇRT")+(COUNTIF(E745:AI745,"ÇRT.")/2)</f>
      </c>
      <c r="AR745" s="1">
        <f>=COUNTIF(E745:AI745,"ÇHT")</f>
      </c>
      <c r="AS745" s="1">
        <f>=COUNTIF(E745:AI745,"Ö")+COUNTIF(E745:AI745,"T")</f>
      </c>
      <c r="AT745" s="1">
        <f>=COUNTIF(E745:AI745,"Y")</f>
      </c>
      <c r="AU745" s="1">
        <f>=COUNTIF(E745:AI745,"R.")</f>
      </c>
      <c r="AV745" s="1">
        <f>=COUNTIF(E745:AI745,"Ü")</f>
      </c>
      <c r="AW745" s="1">
        <f>=COUNTIF(E745:AI745,"R")</f>
      </c>
      <c r="AX745" s="1">
        <f>=COUNTIF(E745:AI745,"DV")</f>
      </c>
      <c r="AY745" s="1">
        <f>=+AN745+AO745+AP745+AQ745+AR745+AS745+AT745+AU745</f>
      </c>
    </row>
    <row r="746" ht="16" customHeight="1" spans="1:51" x14ac:dyDescent="0.25">
      <c r="A746" s="45"/>
      <c r="B746" s="46"/>
      <c r="C746" s="46"/>
      <c r="D746" s="46" t="s">
        <v>33</v>
      </c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  <c r="AB746" s="46"/>
      <c r="AC746" s="46"/>
      <c r="AD746" s="46"/>
      <c r="AE746" s="46"/>
      <c r="AF746" s="46"/>
      <c r="AG746" s="46"/>
      <c r="AH746" s="46"/>
      <c r="AI746" s="46"/>
      <c r="AJ746" s="46"/>
      <c r="AK746" s="46"/>
      <c r="AL746" s="46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</row>
    <row r="747" ht="16" customHeight="1" spans="1:51" x14ac:dyDescent="0.25">
      <c r="A747" s="45"/>
      <c r="B747" s="46" t="s">
        <v>788</v>
      </c>
      <c r="C747" s="46" t="s">
        <v>789</v>
      </c>
      <c r="D747" s="46" t="s">
        <v>29</v>
      </c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 t="s">
        <v>36</v>
      </c>
      <c r="T747" s="46" t="s">
        <v>36</v>
      </c>
      <c r="U747" s="46" t="s">
        <v>36</v>
      </c>
      <c r="V747" s="46" t="s">
        <v>36</v>
      </c>
      <c r="W747" s="46" t="s">
        <v>36</v>
      </c>
      <c r="X747" s="46" t="s">
        <v>36</v>
      </c>
      <c r="Y747" s="46" t="s">
        <v>37</v>
      </c>
      <c r="Z747" s="46" t="s">
        <v>36</v>
      </c>
      <c r="AA747" s="46" t="s">
        <v>36</v>
      </c>
      <c r="AB747" s="46" t="s">
        <v>36</v>
      </c>
      <c r="AC747" s="46" t="s">
        <v>36</v>
      </c>
      <c r="AD747" s="46" t="s">
        <v>36</v>
      </c>
      <c r="AE747" s="46" t="s">
        <v>36</v>
      </c>
      <c r="AF747" s="46" t="s">
        <v>36</v>
      </c>
      <c r="AG747" s="46" t="s">
        <v>36</v>
      </c>
      <c r="AH747" s="46" t="s">
        <v>37</v>
      </c>
      <c r="AI747" s="46" t="s">
        <v>36</v>
      </c>
      <c r="AJ747" s="46">
        <f>=SUM(E748:AI748)</f>
      </c>
      <c r="AK747" s="46">
        <f>=+AY747</f>
      </c>
      <c r="AL747" s="46"/>
      <c r="AM747" s="1"/>
      <c r="AN747" s="1">
        <f>=COUNTIF(E747:AI747,"A")+COUNTIF(E747:AI747,"B")+COUNTIF(E747:AI747,"C")+COUNTIF(E747:AI747,"D")+COUNTIF(E747:AI747,"E")+COUNTIF(E747:AI747,"F")+COUNTIF(E747:AI747,"M")+COUNTIF(E747:AI747,"AB")+COUNTIF(E747:AI747,"UZ")+COUNTIF(E747:AI747,"G")+(COUNTIF(E747:AI747,"RT.")/2)+(COUNTIF(E747:AI747,"ÇRT.")/2)</f>
      </c>
      <c r="AO747" s="1">
        <f>=COUNTIF(E747:AI747,"O")</f>
      </c>
      <c r="AP747" s="1">
        <f>=COUNTIF(E747:AI747,"RT")+(COUNTIF(E747:AI747,"RT.")/2)</f>
      </c>
      <c r="AQ747" s="1">
        <f>=COUNTIF(E747:AI747,"ÇRT")+(COUNTIF(E747:AI747,"ÇRT.")/2)</f>
      </c>
      <c r="AR747" s="1">
        <f>=COUNTIF(E747:AI747,"ÇHT")</f>
      </c>
      <c r="AS747" s="1">
        <f>=COUNTIF(E747:AI747,"Ö")+COUNTIF(E747:AI747,"T")</f>
      </c>
      <c r="AT747" s="1">
        <f>=COUNTIF(E747:AI747,"Y")</f>
      </c>
      <c r="AU747" s="1">
        <f>=COUNTIF(E747:AI747,"R.")</f>
      </c>
      <c r="AV747" s="1">
        <f>=COUNTIF(E747:AI747,"Ü")</f>
      </c>
      <c r="AW747" s="1">
        <f>=COUNTIF(E747:AI747,"R")</f>
      </c>
      <c r="AX747" s="1">
        <f>=COUNTIF(E747:AI747,"DV")</f>
      </c>
      <c r="AY747" s="1">
        <f>=+AN747+AO747+AP747+AQ747+AR747+AS747+AT747+AU747</f>
      </c>
    </row>
    <row r="748" ht="16" customHeight="1" spans="1:51" x14ac:dyDescent="0.25">
      <c r="A748" s="45"/>
      <c r="B748" s="46"/>
      <c r="C748" s="46"/>
      <c r="D748" s="46" t="s">
        <v>33</v>
      </c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  <c r="AB748" s="46"/>
      <c r="AC748" s="46"/>
      <c r="AD748" s="46"/>
      <c r="AE748" s="46"/>
      <c r="AF748" s="46"/>
      <c r="AG748" s="46"/>
      <c r="AH748" s="46"/>
      <c r="AI748" s="46"/>
      <c r="AJ748" s="46"/>
      <c r="AK748" s="46"/>
      <c r="AL748" s="46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</row>
    <row r="749" ht="16" customHeight="1" spans="1:51" x14ac:dyDescent="0.25">
      <c r="A749" s="45"/>
      <c r="B749" s="46" t="s">
        <v>790</v>
      </c>
      <c r="C749" s="46" t="s">
        <v>791</v>
      </c>
      <c r="D749" s="46" t="s">
        <v>29</v>
      </c>
      <c r="E749" s="46" t="s">
        <v>36</v>
      </c>
      <c r="F749" s="46" t="s">
        <v>36</v>
      </c>
      <c r="G749" s="46" t="s">
        <v>36</v>
      </c>
      <c r="H749" s="46" t="s">
        <v>36</v>
      </c>
      <c r="I749" s="46" t="s">
        <v>37</v>
      </c>
      <c r="J749" s="46" t="s">
        <v>36</v>
      </c>
      <c r="K749" s="46" t="s">
        <v>30</v>
      </c>
      <c r="L749" s="46" t="s">
        <v>30</v>
      </c>
      <c r="M749" s="46" t="s">
        <v>30</v>
      </c>
      <c r="N749" s="46" t="s">
        <v>30</v>
      </c>
      <c r="O749" s="46" t="s">
        <v>30</v>
      </c>
      <c r="P749" s="46" t="s">
        <v>37</v>
      </c>
      <c r="Q749" s="46" t="s">
        <v>30</v>
      </c>
      <c r="R749" s="46" t="s">
        <v>30</v>
      </c>
      <c r="S749" s="46" t="s">
        <v>30</v>
      </c>
      <c r="T749" s="46" t="s">
        <v>30</v>
      </c>
      <c r="U749" s="46" t="s">
        <v>30</v>
      </c>
      <c r="V749" s="46" t="s">
        <v>30</v>
      </c>
      <c r="W749" s="46" t="s">
        <v>37</v>
      </c>
      <c r="X749" s="46" t="s">
        <v>36</v>
      </c>
      <c r="Y749" s="46" t="s">
        <v>36</v>
      </c>
      <c r="Z749" s="46" t="s">
        <v>36</v>
      </c>
      <c r="AA749" s="46" t="s">
        <v>36</v>
      </c>
      <c r="AB749" s="46" t="s">
        <v>36</v>
      </c>
      <c r="AC749" s="46" t="s">
        <v>36</v>
      </c>
      <c r="AD749" s="46" t="s">
        <v>37</v>
      </c>
      <c r="AE749" s="46" t="s">
        <v>36</v>
      </c>
      <c r="AF749" s="46" t="s">
        <v>36</v>
      </c>
      <c r="AG749" s="46" t="s">
        <v>36</v>
      </c>
      <c r="AH749" s="46" t="s">
        <v>43</v>
      </c>
      <c r="AI749" s="46" t="s">
        <v>36</v>
      </c>
      <c r="AJ749" s="46">
        <f>=SUM(E750:AI750)</f>
      </c>
      <c r="AK749" s="46">
        <f>=+AY749</f>
      </c>
      <c r="AL749" s="46"/>
      <c r="AM749" s="1"/>
      <c r="AN749" s="1">
        <f>=COUNTIF(E749:AI749,"A")+COUNTIF(E749:AI749,"B")+COUNTIF(E749:AI749,"C")+COUNTIF(E749:AI749,"D")+COUNTIF(E749:AI749,"E")+COUNTIF(E749:AI749,"F")+COUNTIF(E749:AI749,"M")+COUNTIF(E749:AI749,"AB")+COUNTIF(E749:AI749,"UZ")+COUNTIF(E749:AI749,"G")+(COUNTIF(E749:AI749,"RT.")/2)+(COUNTIF(E749:AI749,"ÇRT.")/2)</f>
      </c>
      <c r="AO749" s="1">
        <f>=COUNTIF(E749:AI749,"O")</f>
      </c>
      <c r="AP749" s="1">
        <f>=COUNTIF(E749:AI749,"RT")+(COUNTIF(E749:AI749,"RT.")/2)</f>
      </c>
      <c r="AQ749" s="1">
        <f>=COUNTIF(E749:AI749,"ÇRT")+(COUNTIF(E749:AI749,"ÇRT.")/2)</f>
      </c>
      <c r="AR749" s="1">
        <f>=COUNTIF(E749:AI749,"ÇHT")</f>
      </c>
      <c r="AS749" s="1">
        <f>=COUNTIF(E749:AI749,"Ö")+COUNTIF(E749:AI749,"T")</f>
      </c>
      <c r="AT749" s="1">
        <f>=COUNTIF(E749:AI749,"Y")</f>
      </c>
      <c r="AU749" s="1">
        <f>=COUNTIF(E749:AI749,"R.")</f>
      </c>
      <c r="AV749" s="1">
        <f>=COUNTIF(E749:AI749,"Ü")</f>
      </c>
      <c r="AW749" s="1">
        <f>=COUNTIF(E749:AI749,"R")</f>
      </c>
      <c r="AX749" s="1">
        <f>=COUNTIF(E749:AI749,"DV")</f>
      </c>
      <c r="AY749" s="1">
        <f>=+AN749+AO749+AP749+AQ749+AR749+AS749+AT749+AU749</f>
      </c>
    </row>
    <row r="750" ht="16" customHeight="1" spans="1:51" x14ac:dyDescent="0.25">
      <c r="A750" s="45"/>
      <c r="B750" s="46"/>
      <c r="C750" s="46"/>
      <c r="D750" s="46" t="s">
        <v>33</v>
      </c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  <c r="AC750" s="46"/>
      <c r="AD750" s="46"/>
      <c r="AE750" s="46"/>
      <c r="AF750" s="46"/>
      <c r="AG750" s="46">
        <v>3</v>
      </c>
      <c r="AH750" s="46">
        <v>2</v>
      </c>
      <c r="AI750" s="46"/>
      <c r="AJ750" s="46"/>
      <c r="AK750" s="46"/>
      <c r="AL750" s="46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</row>
    <row r="751" ht="16" customHeight="1" spans="1:51" x14ac:dyDescent="0.25">
      <c r="A751" s="45"/>
      <c r="B751" s="46" t="s">
        <v>792</v>
      </c>
      <c r="C751" s="46" t="s">
        <v>793</v>
      </c>
      <c r="D751" s="46" t="s">
        <v>29</v>
      </c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  <c r="AB751" s="46"/>
      <c r="AC751" s="46"/>
      <c r="AD751" s="46"/>
      <c r="AE751" s="46"/>
      <c r="AF751" s="46"/>
      <c r="AG751" s="46"/>
      <c r="AH751" s="46"/>
      <c r="AI751" s="46"/>
      <c r="AJ751" s="46">
        <f>=SUM(E752:AI752)</f>
      </c>
      <c r="AK751" s="46">
        <f>=+AY751</f>
      </c>
      <c r="AL751" s="46"/>
      <c r="AM751" s="1"/>
      <c r="AN751" s="1">
        <f>=COUNTIF(E751:AI751,"A")+COUNTIF(E751:AI751,"B")+COUNTIF(E751:AI751,"C")+COUNTIF(E751:AI751,"D")+COUNTIF(E751:AI751,"E")+COUNTIF(E751:AI751,"F")+COUNTIF(E751:AI751,"M")+COUNTIF(E751:AI751,"AB")+COUNTIF(E751:AI751,"UZ")+COUNTIF(E751:AI751,"G")+(COUNTIF(E751:AI751,"RT.")/2)+(COUNTIF(E751:AI751,"ÇRT.")/2)</f>
      </c>
      <c r="AO751" s="1">
        <f>=COUNTIF(E751:AI751,"O")</f>
      </c>
      <c r="AP751" s="1">
        <f>=COUNTIF(E751:AI751,"RT")+(COUNTIF(E751:AI751,"RT.")/2)</f>
      </c>
      <c r="AQ751" s="1">
        <f>=COUNTIF(E751:AI751,"ÇRT")+(COUNTIF(E751:AI751,"ÇRT.")/2)</f>
      </c>
      <c r="AR751" s="1">
        <f>=COUNTIF(E751:AI751,"ÇHT")</f>
      </c>
      <c r="AS751" s="1">
        <f>=COUNTIF(E751:AI751,"Ö")+COUNTIF(E751:AI751,"T")</f>
      </c>
      <c r="AT751" s="1">
        <f>=COUNTIF(E751:AI751,"Y")</f>
      </c>
      <c r="AU751" s="1">
        <f>=COUNTIF(E751:AI751,"R.")</f>
      </c>
      <c r="AV751" s="1">
        <f>=COUNTIF(E751:AI751,"Ü")</f>
      </c>
      <c r="AW751" s="1">
        <f>=COUNTIF(E751:AI751,"R")</f>
      </c>
      <c r="AX751" s="1">
        <f>=COUNTIF(E751:AI751,"DV")</f>
      </c>
      <c r="AY751" s="1">
        <f>=+AN751+AO751+AP751+AQ751+AR751+AS751+AT751+AU751</f>
      </c>
    </row>
    <row r="752" ht="16" customHeight="1" spans="1:51" x14ac:dyDescent="0.25">
      <c r="A752" s="45"/>
      <c r="B752" s="46"/>
      <c r="C752" s="46"/>
      <c r="D752" s="46" t="s">
        <v>33</v>
      </c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  <c r="AB752" s="46"/>
      <c r="AC752" s="46"/>
      <c r="AD752" s="46"/>
      <c r="AE752" s="46"/>
      <c r="AF752" s="46"/>
      <c r="AG752" s="46"/>
      <c r="AH752" s="46"/>
      <c r="AI752" s="46"/>
      <c r="AJ752" s="46"/>
      <c r="AK752" s="46"/>
      <c r="AL752" s="46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</row>
    <row r="753" ht="16" customHeight="1" spans="1:51" x14ac:dyDescent="0.25">
      <c r="A753" s="45"/>
      <c r="B753" s="46" t="s">
        <v>794</v>
      </c>
      <c r="C753" s="46" t="s">
        <v>795</v>
      </c>
      <c r="D753" s="46" t="s">
        <v>29</v>
      </c>
      <c r="E753" s="46" t="s">
        <v>59</v>
      </c>
      <c r="F753" s="46" t="s">
        <v>59</v>
      </c>
      <c r="G753" s="46" t="s">
        <v>59</v>
      </c>
      <c r="H753" s="46" t="s">
        <v>59</v>
      </c>
      <c r="I753" s="46" t="s">
        <v>37</v>
      </c>
      <c r="J753" s="46" t="s">
        <v>59</v>
      </c>
      <c r="K753" s="46" t="s">
        <v>59</v>
      </c>
      <c r="L753" s="46" t="s">
        <v>59</v>
      </c>
      <c r="M753" s="46" t="s">
        <v>59</v>
      </c>
      <c r="N753" s="46" t="s">
        <v>59</v>
      </c>
      <c r="O753" s="46" t="s">
        <v>59</v>
      </c>
      <c r="P753" s="46" t="s">
        <v>37</v>
      </c>
      <c r="Q753" s="46" t="s">
        <v>59</v>
      </c>
      <c r="R753" s="46" t="s">
        <v>59</v>
      </c>
      <c r="S753" s="46" t="s">
        <v>59</v>
      </c>
      <c r="T753" s="46" t="s">
        <v>59</v>
      </c>
      <c r="U753" s="46" t="s">
        <v>59</v>
      </c>
      <c r="V753" s="46" t="s">
        <v>59</v>
      </c>
      <c r="W753" s="46" t="s">
        <v>37</v>
      </c>
      <c r="X753" s="46" t="s">
        <v>59</v>
      </c>
      <c r="Y753" s="46" t="s">
        <v>59</v>
      </c>
      <c r="Z753" s="46" t="s">
        <v>59</v>
      </c>
      <c r="AA753" s="46" t="s">
        <v>59</v>
      </c>
      <c r="AB753" s="46" t="s">
        <v>59</v>
      </c>
      <c r="AC753" s="46" t="s">
        <v>59</v>
      </c>
      <c r="AD753" s="46" t="s">
        <v>37</v>
      </c>
      <c r="AE753" s="46" t="s">
        <v>59</v>
      </c>
      <c r="AF753" s="46" t="s">
        <v>59</v>
      </c>
      <c r="AG753" s="46" t="s">
        <v>59</v>
      </c>
      <c r="AH753" s="46" t="s">
        <v>43</v>
      </c>
      <c r="AI753" s="46" t="s">
        <v>59</v>
      </c>
      <c r="AJ753" s="46">
        <f>=SUM(E754:AI754)</f>
      </c>
      <c r="AK753" s="46">
        <f>=+AY753</f>
      </c>
      <c r="AL753" s="46"/>
      <c r="AM753" s="1"/>
      <c r="AN753" s="1">
        <f>=COUNTIF(E753:AI753,"A")+COUNTIF(E753:AI753,"B")+COUNTIF(E753:AI753,"C")+COUNTIF(E753:AI753,"D")+COUNTIF(E753:AI753,"E")+COUNTIF(E753:AI753,"F")+COUNTIF(E753:AI753,"M")+COUNTIF(E753:AI753,"AB")+COUNTIF(E753:AI753,"UZ")+COUNTIF(E753:AI753,"G")+(COUNTIF(E753:AI753,"RT.")/2)+(COUNTIF(E753:AI753,"ÇRT.")/2)</f>
      </c>
      <c r="AO753" s="1">
        <f>=COUNTIF(E753:AI753,"O")</f>
      </c>
      <c r="AP753" s="1">
        <f>=COUNTIF(E753:AI753,"RT")+(COUNTIF(E753:AI753,"RT.")/2)</f>
      </c>
      <c r="AQ753" s="1">
        <f>=COUNTIF(E753:AI753,"ÇRT")+(COUNTIF(E753:AI753,"ÇRT.")/2)</f>
      </c>
      <c r="AR753" s="1">
        <f>=COUNTIF(E753:AI753,"ÇHT")</f>
      </c>
      <c r="AS753" s="1">
        <f>=COUNTIF(E753:AI753,"Ö")+COUNTIF(E753:AI753,"T")</f>
      </c>
      <c r="AT753" s="1">
        <f>=COUNTIF(E753:AI753,"Y")</f>
      </c>
      <c r="AU753" s="1">
        <f>=COUNTIF(E753:AI753,"R.")</f>
      </c>
      <c r="AV753" s="1">
        <f>=COUNTIF(E753:AI753,"Ü")</f>
      </c>
      <c r="AW753" s="1">
        <f>=COUNTIF(E753:AI753,"R")</f>
      </c>
      <c r="AX753" s="1">
        <f>=COUNTIF(E753:AI753,"DV")</f>
      </c>
      <c r="AY753" s="1">
        <f>=+AN753+AO753+AP753+AQ753+AR753+AS753+AT753+AU753</f>
      </c>
    </row>
    <row r="754" ht="16" customHeight="1" spans="1:51" x14ac:dyDescent="0.25">
      <c r="A754" s="45"/>
      <c r="B754" s="46"/>
      <c r="C754" s="46"/>
      <c r="D754" s="46" t="s">
        <v>33</v>
      </c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  <c r="AB754" s="46"/>
      <c r="AC754" s="46"/>
      <c r="AD754" s="46"/>
      <c r="AE754" s="46"/>
      <c r="AF754" s="46"/>
      <c r="AG754" s="46"/>
      <c r="AH754" s="46"/>
      <c r="AI754" s="46"/>
      <c r="AJ754" s="46"/>
      <c r="AK754" s="46"/>
      <c r="AL754" s="46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</row>
    <row r="755" ht="16" customHeight="1" spans="1:51" x14ac:dyDescent="0.25">
      <c r="A755" s="45"/>
      <c r="B755" s="46" t="s">
        <v>796</v>
      </c>
      <c r="C755" s="46" t="s">
        <v>797</v>
      </c>
      <c r="D755" s="46" t="s">
        <v>29</v>
      </c>
      <c r="E755" s="46" t="s">
        <v>59</v>
      </c>
      <c r="F755" s="46" t="s">
        <v>59</v>
      </c>
      <c r="G755" s="46" t="s">
        <v>59</v>
      </c>
      <c r="H755" s="46" t="s">
        <v>59</v>
      </c>
      <c r="I755" s="46" t="s">
        <v>59</v>
      </c>
      <c r="J755" s="46" t="s">
        <v>37</v>
      </c>
      <c r="K755" s="46" t="s">
        <v>59</v>
      </c>
      <c r="L755" s="46" t="s">
        <v>59</v>
      </c>
      <c r="M755" s="46" t="s">
        <v>59</v>
      </c>
      <c r="N755" s="46" t="s">
        <v>59</v>
      </c>
      <c r="O755" s="46" t="s">
        <v>37</v>
      </c>
      <c r="P755" s="46" t="s">
        <v>59</v>
      </c>
      <c r="Q755" s="46" t="s">
        <v>59</v>
      </c>
      <c r="R755" s="46" t="s">
        <v>59</v>
      </c>
      <c r="S755" s="46" t="s">
        <v>59</v>
      </c>
      <c r="T755" s="46" t="s">
        <v>59</v>
      </c>
      <c r="U755" s="46" t="s">
        <v>59</v>
      </c>
      <c r="V755" s="46" t="s">
        <v>37</v>
      </c>
      <c r="W755" s="46" t="s">
        <v>59</v>
      </c>
      <c r="X755" s="46" t="s">
        <v>59</v>
      </c>
      <c r="Y755" s="46" t="s">
        <v>59</v>
      </c>
      <c r="Z755" s="46" t="s">
        <v>59</v>
      </c>
      <c r="AA755" s="46" t="s">
        <v>59</v>
      </c>
      <c r="AB755" s="46" t="s">
        <v>59</v>
      </c>
      <c r="AC755" s="46" t="s">
        <v>37</v>
      </c>
      <c r="AD755" s="46" t="s">
        <v>59</v>
      </c>
      <c r="AE755" s="46" t="s">
        <v>59</v>
      </c>
      <c r="AF755" s="46" t="s">
        <v>59</v>
      </c>
      <c r="AG755" s="46" t="s">
        <v>59</v>
      </c>
      <c r="AH755" s="46" t="s">
        <v>43</v>
      </c>
      <c r="AI755" s="46" t="s">
        <v>59</v>
      </c>
      <c r="AJ755" s="46">
        <f>=SUM(E756:AI756)</f>
      </c>
      <c r="AK755" s="46">
        <f>=+AY755</f>
      </c>
      <c r="AL755" s="46"/>
      <c r="AM755" s="1"/>
      <c r="AN755" s="1">
        <f>=COUNTIF(E755:AI755,"A")+COUNTIF(E755:AI755,"B")+COUNTIF(E755:AI755,"C")+COUNTIF(E755:AI755,"D")+COUNTIF(E755:AI755,"E")+COUNTIF(E755:AI755,"F")+COUNTIF(E755:AI755,"M")+COUNTIF(E755:AI755,"AB")+COUNTIF(E755:AI755,"UZ")+COUNTIF(E755:AI755,"G")+(COUNTIF(E755:AI755,"RT.")/2)+(COUNTIF(E755:AI755,"ÇRT.")/2)</f>
      </c>
      <c r="AO755" s="1">
        <f>=COUNTIF(E755:AI755,"O")</f>
      </c>
      <c r="AP755" s="1">
        <f>=COUNTIF(E755:AI755,"RT")+(COUNTIF(E755:AI755,"RT.")/2)</f>
      </c>
      <c r="AQ755" s="1">
        <f>=COUNTIF(E755:AI755,"ÇRT")+(COUNTIF(E755:AI755,"ÇRT.")/2)</f>
      </c>
      <c r="AR755" s="1">
        <f>=COUNTIF(E755:AI755,"ÇHT")</f>
      </c>
      <c r="AS755" s="1">
        <f>=COUNTIF(E755:AI755,"Ö")+COUNTIF(E755:AI755,"T")</f>
      </c>
      <c r="AT755" s="1">
        <f>=COUNTIF(E755:AI755,"Y")</f>
      </c>
      <c r="AU755" s="1">
        <f>=COUNTIF(E755:AI755,"R.")</f>
      </c>
      <c r="AV755" s="1">
        <f>=COUNTIF(E755:AI755,"Ü")</f>
      </c>
      <c r="AW755" s="1">
        <f>=COUNTIF(E755:AI755,"R")</f>
      </c>
      <c r="AX755" s="1">
        <f>=COUNTIF(E755:AI755,"DV")</f>
      </c>
      <c r="AY755" s="1">
        <f>=+AN755+AO755+AP755+AQ755+AR755+AS755+AT755+AU755</f>
      </c>
    </row>
    <row r="756" ht="16" customHeight="1" spans="1:51" x14ac:dyDescent="0.25">
      <c r="A756" s="45"/>
      <c r="B756" s="46"/>
      <c r="C756" s="46"/>
      <c r="D756" s="46" t="s">
        <v>33</v>
      </c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  <c r="AB756" s="46"/>
      <c r="AC756" s="46"/>
      <c r="AD756" s="46"/>
      <c r="AE756" s="46"/>
      <c r="AF756" s="46"/>
      <c r="AG756" s="46"/>
      <c r="AH756" s="46"/>
      <c r="AI756" s="46"/>
      <c r="AJ756" s="46"/>
      <c r="AK756" s="46"/>
      <c r="AL756" s="46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</row>
    <row r="757" ht="16" customHeight="1" spans="1:51" x14ac:dyDescent="0.25">
      <c r="A757" s="45"/>
      <c r="B757" s="46" t="s">
        <v>798</v>
      </c>
      <c r="C757" s="46" t="s">
        <v>799</v>
      </c>
      <c r="D757" s="46" t="s">
        <v>29</v>
      </c>
      <c r="E757" s="46" t="s">
        <v>36</v>
      </c>
      <c r="F757" s="46" t="s">
        <v>36</v>
      </c>
      <c r="G757" s="46" t="s">
        <v>36</v>
      </c>
      <c r="H757" s="46" t="s">
        <v>37</v>
      </c>
      <c r="I757" s="46" t="s">
        <v>36</v>
      </c>
      <c r="J757" s="46" t="s">
        <v>36</v>
      </c>
      <c r="K757" s="46" t="s">
        <v>36</v>
      </c>
      <c r="L757" s="46" t="s">
        <v>36</v>
      </c>
      <c r="M757" s="46" t="s">
        <v>36</v>
      </c>
      <c r="N757" s="46" t="s">
        <v>36</v>
      </c>
      <c r="O757" s="46" t="s">
        <v>36</v>
      </c>
      <c r="P757" s="46" t="s">
        <v>37</v>
      </c>
      <c r="Q757" s="46" t="s">
        <v>36</v>
      </c>
      <c r="R757" s="46" t="s">
        <v>36</v>
      </c>
      <c r="S757" s="46" t="s">
        <v>36</v>
      </c>
      <c r="T757" s="46" t="s">
        <v>36</v>
      </c>
      <c r="U757" s="46" t="s">
        <v>36</v>
      </c>
      <c r="V757" s="46" t="s">
        <v>36</v>
      </c>
      <c r="W757" s="46" t="s">
        <v>37</v>
      </c>
      <c r="X757" s="46" t="s">
        <v>36</v>
      </c>
      <c r="Y757" s="46" t="s">
        <v>36</v>
      </c>
      <c r="Z757" s="46" t="s">
        <v>36</v>
      </c>
      <c r="AA757" s="46" t="s">
        <v>36</v>
      </c>
      <c r="AB757" s="46" t="s">
        <v>36</v>
      </c>
      <c r="AC757" s="46" t="s">
        <v>36</v>
      </c>
      <c r="AD757" s="46" t="s">
        <v>37</v>
      </c>
      <c r="AE757" s="46" t="s">
        <v>36</v>
      </c>
      <c r="AF757" s="46" t="s">
        <v>36</v>
      </c>
      <c r="AG757" s="46" t="s">
        <v>36</v>
      </c>
      <c r="AH757" s="46" t="s">
        <v>43</v>
      </c>
      <c r="AI757" s="46" t="s">
        <v>36</v>
      </c>
      <c r="AJ757" s="46">
        <f>=SUM(E758:AI758)</f>
      </c>
      <c r="AK757" s="46">
        <f>=+AY757</f>
      </c>
      <c r="AL757" s="46"/>
      <c r="AM757" s="1"/>
      <c r="AN757" s="1">
        <f>=COUNTIF(E757:AI757,"A")+COUNTIF(E757:AI757,"B")+COUNTIF(E757:AI757,"C")+COUNTIF(E757:AI757,"D")+COUNTIF(E757:AI757,"E")+COUNTIF(E757:AI757,"F")+COUNTIF(E757:AI757,"M")+COUNTIF(E757:AI757,"AB")+COUNTIF(E757:AI757,"UZ")+COUNTIF(E757:AI757,"G")+(COUNTIF(E757:AI757,"RT.")/2)+(COUNTIF(E757:AI757,"ÇRT.")/2)</f>
      </c>
      <c r="AO757" s="1">
        <f>=COUNTIF(E757:AI757,"O")</f>
      </c>
      <c r="AP757" s="1">
        <f>=COUNTIF(E757:AI757,"RT")+(COUNTIF(E757:AI757,"RT.")/2)</f>
      </c>
      <c r="AQ757" s="1">
        <f>=COUNTIF(E757:AI757,"ÇRT")+(COUNTIF(E757:AI757,"ÇRT.")/2)</f>
      </c>
      <c r="AR757" s="1">
        <f>=COUNTIF(E757:AI757,"ÇHT")</f>
      </c>
      <c r="AS757" s="1">
        <f>=COUNTIF(E757:AI757,"Ö")+COUNTIF(E757:AI757,"T")</f>
      </c>
      <c r="AT757" s="1">
        <f>=COUNTIF(E757:AI757,"Y")</f>
      </c>
      <c r="AU757" s="1">
        <f>=COUNTIF(E757:AI757,"R.")</f>
      </c>
      <c r="AV757" s="1">
        <f>=COUNTIF(E757:AI757,"Ü")</f>
      </c>
      <c r="AW757" s="1">
        <f>=COUNTIF(E757:AI757,"R")</f>
      </c>
      <c r="AX757" s="1">
        <f>=COUNTIF(E757:AI757,"DV")</f>
      </c>
      <c r="AY757" s="1">
        <f>=+AN757+AO757+AP757+AQ757+AR757+AS757+AT757+AU757</f>
      </c>
    </row>
    <row r="758" ht="16" customHeight="1" spans="1:51" x14ac:dyDescent="0.25">
      <c r="A758" s="45"/>
      <c r="B758" s="46"/>
      <c r="C758" s="46"/>
      <c r="D758" s="46" t="s">
        <v>33</v>
      </c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  <c r="AB758" s="46"/>
      <c r="AC758" s="46"/>
      <c r="AD758" s="46"/>
      <c r="AE758" s="46"/>
      <c r="AF758" s="46">
        <v>2</v>
      </c>
      <c r="AG758" s="46"/>
      <c r="AH758" s="46"/>
      <c r="AI758" s="46"/>
      <c r="AJ758" s="46"/>
      <c r="AK758" s="46"/>
      <c r="AL758" s="46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</row>
    <row r="759" ht="16" customHeight="1" spans="1:51" x14ac:dyDescent="0.25">
      <c r="A759" s="45"/>
      <c r="B759" s="46" t="s">
        <v>800</v>
      </c>
      <c r="C759" s="46" t="s">
        <v>801</v>
      </c>
      <c r="D759" s="46" t="s">
        <v>29</v>
      </c>
      <c r="E759" s="46" t="s">
        <v>36</v>
      </c>
      <c r="F759" s="46" t="s">
        <v>36</v>
      </c>
      <c r="G759" s="46" t="s">
        <v>37</v>
      </c>
      <c r="H759" s="46" t="s">
        <v>153</v>
      </c>
      <c r="I759" s="46" t="s">
        <v>36</v>
      </c>
      <c r="J759" s="46" t="s">
        <v>36</v>
      </c>
      <c r="K759" s="46" t="s">
        <v>36</v>
      </c>
      <c r="L759" s="46" t="s">
        <v>36</v>
      </c>
      <c r="M759" s="46" t="s">
        <v>36</v>
      </c>
      <c r="N759" s="46" t="s">
        <v>222</v>
      </c>
      <c r="O759" s="46" t="s">
        <v>36</v>
      </c>
      <c r="P759" s="46" t="s">
        <v>36</v>
      </c>
      <c r="Q759" s="46" t="s">
        <v>36</v>
      </c>
      <c r="R759" s="46" t="s">
        <v>36</v>
      </c>
      <c r="S759" s="46" t="s">
        <v>36</v>
      </c>
      <c r="T759" s="46" t="s">
        <v>36</v>
      </c>
      <c r="U759" s="46" t="s">
        <v>37</v>
      </c>
      <c r="V759" s="46" t="s">
        <v>36</v>
      </c>
      <c r="W759" s="46" t="s">
        <v>36</v>
      </c>
      <c r="X759" s="46" t="s">
        <v>36</v>
      </c>
      <c r="Y759" s="46" t="s">
        <v>36</v>
      </c>
      <c r="Z759" s="46" t="s">
        <v>36</v>
      </c>
      <c r="AA759" s="46" t="s">
        <v>36</v>
      </c>
      <c r="AB759" s="46" t="s">
        <v>37</v>
      </c>
      <c r="AC759" s="46" t="s">
        <v>36</v>
      </c>
      <c r="AD759" s="46" t="s">
        <v>36</v>
      </c>
      <c r="AE759" s="46" t="s">
        <v>36</v>
      </c>
      <c r="AF759" s="46" t="s">
        <v>36</v>
      </c>
      <c r="AG759" s="46" t="s">
        <v>153</v>
      </c>
      <c r="AH759" s="46" t="s">
        <v>43</v>
      </c>
      <c r="AI759" s="46" t="s">
        <v>37</v>
      </c>
      <c r="AJ759" s="46">
        <f>=SUM(E760:AI760)</f>
      </c>
      <c r="AK759" s="46">
        <f>=+AY759</f>
      </c>
      <c r="AL759" s="46"/>
      <c r="AM759" s="1"/>
      <c r="AN759" s="1">
        <f>=COUNTIF(E759:AI759,"A")+COUNTIF(E759:AI759,"B")+COUNTIF(E759:AI759,"C")+COUNTIF(E759:AI759,"D")+COUNTIF(E759:AI759,"E")+COUNTIF(E759:AI759,"F")+COUNTIF(E759:AI759,"M")+COUNTIF(E759:AI759,"AB")+COUNTIF(E759:AI759,"UZ")+COUNTIF(E759:AI759,"G")+(COUNTIF(E759:AI759,"RT.")/2)+(COUNTIF(E759:AI759,"ÇRT.")/2)</f>
      </c>
      <c r="AO759" s="1">
        <f>=COUNTIF(E759:AI759,"O")</f>
      </c>
      <c r="AP759" s="1">
        <f>=COUNTIF(E759:AI759,"RT")+(COUNTIF(E759:AI759,"RT.")/2)</f>
      </c>
      <c r="AQ759" s="1">
        <f>=COUNTIF(E759:AI759,"ÇRT")+(COUNTIF(E759:AI759,"ÇRT.")/2)</f>
      </c>
      <c r="AR759" s="1">
        <f>=COUNTIF(E759:AI759,"ÇHT")</f>
      </c>
      <c r="AS759" s="1">
        <f>=COUNTIF(E759:AI759,"Ö")+COUNTIF(E759:AI759,"T")</f>
      </c>
      <c r="AT759" s="1">
        <f>=COUNTIF(E759:AI759,"Y")</f>
      </c>
      <c r="AU759" s="1">
        <f>=COUNTIF(E759:AI759,"R.")</f>
      </c>
      <c r="AV759" s="1">
        <f>=COUNTIF(E759:AI759,"Ü")</f>
      </c>
      <c r="AW759" s="1">
        <f>=COUNTIF(E759:AI759,"R")</f>
      </c>
      <c r="AX759" s="1">
        <f>=COUNTIF(E759:AI759,"DV")</f>
      </c>
      <c r="AY759" s="1">
        <f>=+AN759+AO759+AP759+AQ759+AR759+AS759+AT759+AU759</f>
      </c>
    </row>
    <row r="760" ht="16" customHeight="1" spans="1:51" x14ac:dyDescent="0.25">
      <c r="A760" s="45"/>
      <c r="B760" s="46"/>
      <c r="C760" s="46"/>
      <c r="D760" s="46" t="s">
        <v>33</v>
      </c>
      <c r="E760" s="46"/>
      <c r="F760" s="46"/>
      <c r="G760" s="46"/>
      <c r="H760" s="46"/>
      <c r="I760" s="46"/>
      <c r="J760" s="46"/>
      <c r="K760" s="46"/>
      <c r="L760" s="46">
        <v>2</v>
      </c>
      <c r="M760" s="46"/>
      <c r="N760" s="46">
        <v>1</v>
      </c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  <c r="AB760" s="46"/>
      <c r="AC760" s="46"/>
      <c r="AD760" s="46"/>
      <c r="AE760" s="46"/>
      <c r="AF760" s="46"/>
      <c r="AG760" s="46"/>
      <c r="AH760" s="46"/>
      <c r="AI760" s="46"/>
      <c r="AJ760" s="46"/>
      <c r="AK760" s="46"/>
      <c r="AL760" s="46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</row>
    <row r="761" ht="16" customHeight="1" spans="1:51" x14ac:dyDescent="0.25">
      <c r="A761" s="45"/>
      <c r="B761" s="46" t="s">
        <v>802</v>
      </c>
      <c r="C761" s="46" t="s">
        <v>803</v>
      </c>
      <c r="D761" s="46" t="s">
        <v>29</v>
      </c>
      <c r="E761" s="46" t="s">
        <v>36</v>
      </c>
      <c r="F761" s="46" t="s">
        <v>36</v>
      </c>
      <c r="G761" s="46" t="s">
        <v>37</v>
      </c>
      <c r="H761" s="46" t="s">
        <v>31</v>
      </c>
      <c r="I761" s="46" t="s">
        <v>31</v>
      </c>
      <c r="J761" s="46" t="s">
        <v>31</v>
      </c>
      <c r="K761" s="46" t="s">
        <v>31</v>
      </c>
      <c r="L761" s="46" t="s">
        <v>31</v>
      </c>
      <c r="M761" s="46" t="s">
        <v>36</v>
      </c>
      <c r="N761" s="46" t="s">
        <v>31</v>
      </c>
      <c r="O761" s="46" t="s">
        <v>31</v>
      </c>
      <c r="P761" s="46" t="s">
        <v>32</v>
      </c>
      <c r="Q761" s="46" t="s">
        <v>37</v>
      </c>
      <c r="R761" s="46" t="s">
        <v>36</v>
      </c>
      <c r="S761" s="46" t="s">
        <v>36</v>
      </c>
      <c r="T761" s="46" t="s">
        <v>36</v>
      </c>
      <c r="U761" s="46" t="s">
        <v>36</v>
      </c>
      <c r="V761" s="46" t="s">
        <v>37</v>
      </c>
      <c r="W761" s="46" t="s">
        <v>36</v>
      </c>
      <c r="X761" s="46" t="s">
        <v>36</v>
      </c>
      <c r="Y761" s="46" t="s">
        <v>36</v>
      </c>
      <c r="Z761" s="46" t="s">
        <v>153</v>
      </c>
      <c r="AA761" s="46" t="s">
        <v>36</v>
      </c>
      <c r="AB761" s="46" t="s">
        <v>36</v>
      </c>
      <c r="AC761" s="46" t="s">
        <v>37</v>
      </c>
      <c r="AD761" s="46" t="s">
        <v>36</v>
      </c>
      <c r="AE761" s="46" t="s">
        <v>36</v>
      </c>
      <c r="AF761" s="46" t="s">
        <v>36</v>
      </c>
      <c r="AG761" s="46" t="s">
        <v>36</v>
      </c>
      <c r="AH761" s="46" t="s">
        <v>43</v>
      </c>
      <c r="AI761" s="46" t="s">
        <v>36</v>
      </c>
      <c r="AJ761" s="46">
        <f>=SUM(E762:AI762)</f>
      </c>
      <c r="AK761" s="46">
        <f>=+AY761</f>
      </c>
      <c r="AL761" s="46"/>
      <c r="AM761" s="1"/>
      <c r="AN761" s="1">
        <f>=COUNTIF(E761:AI761,"A")+COUNTIF(E761:AI761,"B")+COUNTIF(E761:AI761,"C")+COUNTIF(E761:AI761,"D")+COUNTIF(E761:AI761,"E")+COUNTIF(E761:AI761,"F")+COUNTIF(E761:AI761,"M")+COUNTIF(E761:AI761,"AB")+COUNTIF(E761:AI761,"UZ")+COUNTIF(E761:AI761,"G")+(COUNTIF(E761:AI761,"RT.")/2)+(COUNTIF(E761:AI761,"ÇRT.")/2)</f>
      </c>
      <c r="AO761" s="1">
        <f>=COUNTIF(E761:AI761,"O")</f>
      </c>
      <c r="AP761" s="1">
        <f>=COUNTIF(E761:AI761,"RT")+(COUNTIF(E761:AI761,"RT.")/2)</f>
      </c>
      <c r="AQ761" s="1">
        <f>=COUNTIF(E761:AI761,"ÇRT")+(COUNTIF(E761:AI761,"ÇRT.")/2)</f>
      </c>
      <c r="AR761" s="1">
        <f>=COUNTIF(E761:AI761,"ÇHT")</f>
      </c>
      <c r="AS761" s="1">
        <f>=COUNTIF(E761:AI761,"Ö")+COUNTIF(E761:AI761,"T")</f>
      </c>
      <c r="AT761" s="1">
        <f>=COUNTIF(E761:AI761,"Y")</f>
      </c>
      <c r="AU761" s="1">
        <f>=COUNTIF(E761:AI761,"R.")</f>
      </c>
      <c r="AV761" s="1">
        <f>=COUNTIF(E761:AI761,"Ü")</f>
      </c>
      <c r="AW761" s="1">
        <f>=COUNTIF(E761:AI761,"R")</f>
      </c>
      <c r="AX761" s="1">
        <f>=COUNTIF(E761:AI761,"DV")</f>
      </c>
      <c r="AY761" s="1">
        <f>=+AN761+AO761+AP761+AQ761+AR761+AS761+AT761+AU761</f>
      </c>
    </row>
    <row r="762" ht="16" customHeight="1" spans="1:51" x14ac:dyDescent="0.25">
      <c r="A762" s="45"/>
      <c r="B762" s="46"/>
      <c r="C762" s="46"/>
      <c r="D762" s="46" t="s">
        <v>33</v>
      </c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  <c r="AB762" s="46"/>
      <c r="AC762" s="46"/>
      <c r="AD762" s="46"/>
      <c r="AE762" s="46"/>
      <c r="AF762" s="46">
        <v>3</v>
      </c>
      <c r="AG762" s="46">
        <v>2</v>
      </c>
      <c r="AH762" s="46">
        <v>2</v>
      </c>
      <c r="AI762" s="46"/>
      <c r="AJ762" s="46"/>
      <c r="AK762" s="46"/>
      <c r="AL762" s="46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</row>
    <row r="763" ht="16" customHeight="1" spans="1:51" x14ac:dyDescent="0.25">
      <c r="A763" s="45"/>
      <c r="B763" s="46" t="s">
        <v>804</v>
      </c>
      <c r="C763" s="46" t="s">
        <v>805</v>
      </c>
      <c r="D763" s="46" t="s">
        <v>29</v>
      </c>
      <c r="E763" s="46" t="s">
        <v>37</v>
      </c>
      <c r="F763" s="46" t="s">
        <v>36</v>
      </c>
      <c r="G763" s="46" t="s">
        <v>36</v>
      </c>
      <c r="H763" s="46" t="s">
        <v>36</v>
      </c>
      <c r="I763" s="46" t="s">
        <v>36</v>
      </c>
      <c r="J763" s="46" t="s">
        <v>36</v>
      </c>
      <c r="K763" s="46" t="s">
        <v>36</v>
      </c>
      <c r="L763" s="46" t="s">
        <v>222</v>
      </c>
      <c r="M763" s="46" t="s">
        <v>36</v>
      </c>
      <c r="N763" s="46" t="s">
        <v>36</v>
      </c>
      <c r="O763" s="46" t="s">
        <v>36</v>
      </c>
      <c r="P763" s="46" t="s">
        <v>36</v>
      </c>
      <c r="Q763" s="46" t="s">
        <v>36</v>
      </c>
      <c r="R763" s="46" t="s">
        <v>36</v>
      </c>
      <c r="S763" s="46" t="s">
        <v>37</v>
      </c>
      <c r="T763" s="46" t="s">
        <v>36</v>
      </c>
      <c r="U763" s="46" t="s">
        <v>36</v>
      </c>
      <c r="V763" s="46" t="s">
        <v>36</v>
      </c>
      <c r="W763" s="46" t="s">
        <v>36</v>
      </c>
      <c r="X763" s="46" t="s">
        <v>36</v>
      </c>
      <c r="Y763" s="46" t="s">
        <v>36</v>
      </c>
      <c r="Z763" s="46" t="s">
        <v>37</v>
      </c>
      <c r="AA763" s="46" t="s">
        <v>36</v>
      </c>
      <c r="AB763" s="46" t="s">
        <v>36</v>
      </c>
      <c r="AC763" s="46" t="s">
        <v>36</v>
      </c>
      <c r="AD763" s="46" t="s">
        <v>36</v>
      </c>
      <c r="AE763" s="46" t="s">
        <v>37</v>
      </c>
      <c r="AF763" s="46" t="s">
        <v>36</v>
      </c>
      <c r="AG763" s="46" t="s">
        <v>36</v>
      </c>
      <c r="AH763" s="46" t="s">
        <v>43</v>
      </c>
      <c r="AI763" s="46" t="s">
        <v>36</v>
      </c>
      <c r="AJ763" s="46">
        <f>=SUM(E764:AI764)</f>
      </c>
      <c r="AK763" s="46">
        <f>=+AY763</f>
      </c>
      <c r="AL763" s="46"/>
      <c r="AM763" s="1"/>
      <c r="AN763" s="1">
        <f>=COUNTIF(E763:AI763,"A")+COUNTIF(E763:AI763,"B")+COUNTIF(E763:AI763,"C")+COUNTIF(E763:AI763,"D")+COUNTIF(E763:AI763,"E")+COUNTIF(E763:AI763,"F")+COUNTIF(E763:AI763,"M")+COUNTIF(E763:AI763,"AB")+COUNTIF(E763:AI763,"UZ")+COUNTIF(E763:AI763,"G")+(COUNTIF(E763:AI763,"RT.")/2)+(COUNTIF(E763:AI763,"ÇRT.")/2)</f>
      </c>
      <c r="AO763" s="1">
        <f>=COUNTIF(E763:AI763,"O")</f>
      </c>
      <c r="AP763" s="1">
        <f>=COUNTIF(E763:AI763,"RT")+(COUNTIF(E763:AI763,"RT.")/2)</f>
      </c>
      <c r="AQ763" s="1">
        <f>=COUNTIF(E763:AI763,"ÇRT")+(COUNTIF(E763:AI763,"ÇRT.")/2)</f>
      </c>
      <c r="AR763" s="1">
        <f>=COUNTIF(E763:AI763,"ÇHT")</f>
      </c>
      <c r="AS763" s="1">
        <f>=COUNTIF(E763:AI763,"Ö")+COUNTIF(E763:AI763,"T")</f>
      </c>
      <c r="AT763" s="1">
        <f>=COUNTIF(E763:AI763,"Y")</f>
      </c>
      <c r="AU763" s="1">
        <f>=COUNTIF(E763:AI763,"R.")</f>
      </c>
      <c r="AV763" s="1">
        <f>=COUNTIF(E763:AI763,"Ü")</f>
      </c>
      <c r="AW763" s="1">
        <f>=COUNTIF(E763:AI763,"R")</f>
      </c>
      <c r="AX763" s="1">
        <f>=COUNTIF(E763:AI763,"DV")</f>
      </c>
      <c r="AY763" s="1">
        <f>=+AN763+AO763+AP763+AQ763+AR763+AS763+AT763+AU763</f>
      </c>
    </row>
    <row r="764" ht="16" customHeight="1" spans="1:51" x14ac:dyDescent="0.25">
      <c r="A764" s="45"/>
      <c r="B764" s="46"/>
      <c r="C764" s="46"/>
      <c r="D764" s="46" t="s">
        <v>33</v>
      </c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  <c r="AB764" s="46"/>
      <c r="AC764" s="46"/>
      <c r="AD764" s="46"/>
      <c r="AE764" s="46"/>
      <c r="AF764" s="46"/>
      <c r="AG764" s="46">
        <v>3</v>
      </c>
      <c r="AH764" s="46">
        <v>2</v>
      </c>
      <c r="AI764" s="46"/>
      <c r="AJ764" s="46"/>
      <c r="AK764" s="46"/>
      <c r="AL764" s="46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</row>
    <row r="765" ht="16" customHeight="1" spans="1:51" x14ac:dyDescent="0.25">
      <c r="A765" s="45"/>
      <c r="B765" s="46" t="s">
        <v>806</v>
      </c>
      <c r="C765" s="46" t="s">
        <v>807</v>
      </c>
      <c r="D765" s="46" t="s">
        <v>29</v>
      </c>
      <c r="E765" s="46" t="s">
        <v>36</v>
      </c>
      <c r="F765" s="46" t="s">
        <v>36</v>
      </c>
      <c r="G765" s="46" t="s">
        <v>36</v>
      </c>
      <c r="H765" s="46" t="s">
        <v>36</v>
      </c>
      <c r="I765" s="46" t="s">
        <v>36</v>
      </c>
      <c r="J765" s="46" t="s">
        <v>37</v>
      </c>
      <c r="K765" s="46" t="s">
        <v>36</v>
      </c>
      <c r="L765" s="46" t="s">
        <v>31</v>
      </c>
      <c r="M765" s="46" t="s">
        <v>36</v>
      </c>
      <c r="N765" s="46" t="s">
        <v>36</v>
      </c>
      <c r="O765" s="46" t="s">
        <v>36</v>
      </c>
      <c r="P765" s="46" t="s">
        <v>31</v>
      </c>
      <c r="Q765" s="46" t="s">
        <v>37</v>
      </c>
      <c r="R765" s="46" t="s">
        <v>36</v>
      </c>
      <c r="S765" s="46" t="s">
        <v>36</v>
      </c>
      <c r="T765" s="46" t="s">
        <v>36</v>
      </c>
      <c r="U765" s="46" t="s">
        <v>36</v>
      </c>
      <c r="V765" s="46" t="s">
        <v>36</v>
      </c>
      <c r="W765" s="46" t="s">
        <v>36</v>
      </c>
      <c r="X765" s="46" t="s">
        <v>37</v>
      </c>
      <c r="Y765" s="46" t="s">
        <v>36</v>
      </c>
      <c r="Z765" s="46" t="s">
        <v>36</v>
      </c>
      <c r="AA765" s="46" t="s">
        <v>36</v>
      </c>
      <c r="AB765" s="46" t="s">
        <v>36</v>
      </c>
      <c r="AC765" s="46" t="s">
        <v>36</v>
      </c>
      <c r="AD765" s="46" t="s">
        <v>36</v>
      </c>
      <c r="AE765" s="46" t="s">
        <v>37</v>
      </c>
      <c r="AF765" s="46" t="s">
        <v>36</v>
      </c>
      <c r="AG765" s="46" t="s">
        <v>36</v>
      </c>
      <c r="AH765" s="46" t="s">
        <v>43</v>
      </c>
      <c r="AI765" s="46" t="s">
        <v>36</v>
      </c>
      <c r="AJ765" s="46">
        <f>=SUM(E766:AI766)</f>
      </c>
      <c r="AK765" s="46">
        <f>=+AY765</f>
      </c>
      <c r="AL765" s="46"/>
      <c r="AM765" s="1"/>
      <c r="AN765" s="1">
        <f>=COUNTIF(E765:AI765,"A")+COUNTIF(E765:AI765,"B")+COUNTIF(E765:AI765,"C")+COUNTIF(E765:AI765,"D")+COUNTIF(E765:AI765,"E")+COUNTIF(E765:AI765,"F")+COUNTIF(E765:AI765,"M")+COUNTIF(E765:AI765,"AB")+COUNTIF(E765:AI765,"UZ")+COUNTIF(E765:AI765,"G")+(COUNTIF(E765:AI765,"RT.")/2)+(COUNTIF(E765:AI765,"ÇRT.")/2)</f>
      </c>
      <c r="AO765" s="1">
        <f>=COUNTIF(E765:AI765,"O")</f>
      </c>
      <c r="AP765" s="1">
        <f>=COUNTIF(E765:AI765,"RT")+(COUNTIF(E765:AI765,"RT.")/2)</f>
      </c>
      <c r="AQ765" s="1">
        <f>=COUNTIF(E765:AI765,"ÇRT")+(COUNTIF(E765:AI765,"ÇRT.")/2)</f>
      </c>
      <c r="AR765" s="1">
        <f>=COUNTIF(E765:AI765,"ÇHT")</f>
      </c>
      <c r="AS765" s="1">
        <f>=COUNTIF(E765:AI765,"Ö")+COUNTIF(E765:AI765,"T")</f>
      </c>
      <c r="AT765" s="1">
        <f>=COUNTIF(E765:AI765,"Y")</f>
      </c>
      <c r="AU765" s="1">
        <f>=COUNTIF(E765:AI765,"R.")</f>
      </c>
      <c r="AV765" s="1">
        <f>=COUNTIF(E765:AI765,"Ü")</f>
      </c>
      <c r="AW765" s="1">
        <f>=COUNTIF(E765:AI765,"R")</f>
      </c>
      <c r="AX765" s="1">
        <f>=COUNTIF(E765:AI765,"DV")</f>
      </c>
      <c r="AY765" s="1">
        <f>=+AN765+AO765+AP765+AQ765+AR765+AS765+AT765+AU765</f>
      </c>
    </row>
    <row r="766" ht="16" customHeight="1" spans="1:51" x14ac:dyDescent="0.25">
      <c r="A766" s="45"/>
      <c r="B766" s="46"/>
      <c r="C766" s="46"/>
      <c r="D766" s="46" t="s">
        <v>33</v>
      </c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  <c r="AB766" s="46"/>
      <c r="AC766" s="46"/>
      <c r="AD766" s="46"/>
      <c r="AE766" s="46"/>
      <c r="AF766" s="46"/>
      <c r="AG766" s="46">
        <v>3</v>
      </c>
      <c r="AH766" s="46">
        <v>2</v>
      </c>
      <c r="AI766" s="46"/>
      <c r="AJ766" s="46"/>
      <c r="AK766" s="46"/>
      <c r="AL766" s="46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</row>
    <row r="767" ht="16" customHeight="1" spans="1:51" x14ac:dyDescent="0.25">
      <c r="A767" s="45"/>
      <c r="B767" s="46" t="s">
        <v>808</v>
      </c>
      <c r="C767" s="46" t="s">
        <v>809</v>
      </c>
      <c r="D767" s="46" t="s">
        <v>29</v>
      </c>
      <c r="E767" s="46" t="s">
        <v>36</v>
      </c>
      <c r="F767" s="46" t="s">
        <v>37</v>
      </c>
      <c r="G767" s="46" t="s">
        <v>36</v>
      </c>
      <c r="H767" s="46" t="s">
        <v>36</v>
      </c>
      <c r="I767" s="46" t="s">
        <v>36</v>
      </c>
      <c r="J767" s="46" t="s">
        <v>36</v>
      </c>
      <c r="K767" s="46" t="s">
        <v>36</v>
      </c>
      <c r="L767" s="46" t="s">
        <v>36</v>
      </c>
      <c r="M767" s="46" t="s">
        <v>37</v>
      </c>
      <c r="N767" s="46" t="s">
        <v>36</v>
      </c>
      <c r="O767" s="46" t="s">
        <v>36</v>
      </c>
      <c r="P767" s="46" t="s">
        <v>36</v>
      </c>
      <c r="Q767" s="46" t="s">
        <v>36</v>
      </c>
      <c r="R767" s="46" t="s">
        <v>36</v>
      </c>
      <c r="S767" s="46" t="s">
        <v>36</v>
      </c>
      <c r="T767" s="46" t="s">
        <v>37</v>
      </c>
      <c r="U767" s="46" t="s">
        <v>36</v>
      </c>
      <c r="V767" s="46" t="s">
        <v>36</v>
      </c>
      <c r="W767" s="46" t="s">
        <v>36</v>
      </c>
      <c r="X767" s="46" t="s">
        <v>36</v>
      </c>
      <c r="Y767" s="46" t="s">
        <v>36</v>
      </c>
      <c r="Z767" s="46" t="s">
        <v>36</v>
      </c>
      <c r="AA767" s="46" t="s">
        <v>37</v>
      </c>
      <c r="AB767" s="46" t="s">
        <v>36</v>
      </c>
      <c r="AC767" s="46" t="s">
        <v>36</v>
      </c>
      <c r="AD767" s="46" t="s">
        <v>36</v>
      </c>
      <c r="AE767" s="46" t="s">
        <v>36</v>
      </c>
      <c r="AF767" s="46" t="s">
        <v>36</v>
      </c>
      <c r="AG767" s="46" t="s">
        <v>36</v>
      </c>
      <c r="AH767" s="46" t="s">
        <v>222</v>
      </c>
      <c r="AI767" s="46" t="s">
        <v>36</v>
      </c>
      <c r="AJ767" s="46">
        <f>=SUM(E768:AI768)</f>
      </c>
      <c r="AK767" s="46">
        <f>=+AY767</f>
      </c>
      <c r="AL767" s="46"/>
      <c r="AM767" s="1"/>
      <c r="AN767" s="1">
        <f>=COUNTIF(E767:AI767,"A")+COUNTIF(E767:AI767,"B")+COUNTIF(E767:AI767,"C")+COUNTIF(E767:AI767,"D")+COUNTIF(E767:AI767,"E")+COUNTIF(E767:AI767,"F")+COUNTIF(E767:AI767,"M")+COUNTIF(E767:AI767,"AB")+COUNTIF(E767:AI767,"UZ")+COUNTIF(E767:AI767,"G")+(COUNTIF(E767:AI767,"RT.")/2)+(COUNTIF(E767:AI767,"ÇRT.")/2)</f>
      </c>
      <c r="AO767" s="1">
        <f>=COUNTIF(E767:AI767,"O")</f>
      </c>
      <c r="AP767" s="1">
        <f>=COUNTIF(E767:AI767,"RT")+(COUNTIF(E767:AI767,"RT.")/2)</f>
      </c>
      <c r="AQ767" s="1">
        <f>=COUNTIF(E767:AI767,"ÇRT")+(COUNTIF(E767:AI767,"ÇRT.")/2)</f>
      </c>
      <c r="AR767" s="1">
        <f>=COUNTIF(E767:AI767,"ÇHT")</f>
      </c>
      <c r="AS767" s="1">
        <f>=COUNTIF(E767:AI767,"Ö")+COUNTIF(E767:AI767,"T")</f>
      </c>
      <c r="AT767" s="1">
        <f>=COUNTIF(E767:AI767,"Y")</f>
      </c>
      <c r="AU767" s="1">
        <f>=COUNTIF(E767:AI767,"R.")</f>
      </c>
      <c r="AV767" s="1">
        <f>=COUNTIF(E767:AI767,"Ü")</f>
      </c>
      <c r="AW767" s="1">
        <f>=COUNTIF(E767:AI767,"R")</f>
      </c>
      <c r="AX767" s="1">
        <f>=COUNTIF(E767:AI767,"DV")</f>
      </c>
      <c r="AY767" s="1">
        <f>=+AN767+AO767+AP767+AQ767+AR767+AS767+AT767+AU767</f>
      </c>
    </row>
    <row r="768" ht="16" customHeight="1" spans="1:51" x14ac:dyDescent="0.25">
      <c r="A768" s="45"/>
      <c r="B768" s="46"/>
      <c r="C768" s="46"/>
      <c r="D768" s="46" t="s">
        <v>33</v>
      </c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  <c r="AB768" s="46"/>
      <c r="AC768" s="46"/>
      <c r="AD768" s="46"/>
      <c r="AE768" s="46"/>
      <c r="AF768" s="46"/>
      <c r="AG768" s="46"/>
      <c r="AH768" s="46"/>
      <c r="AI768" s="46"/>
      <c r="AJ768" s="46"/>
      <c r="AK768" s="46"/>
      <c r="AL768" s="46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</row>
    <row r="769" ht="16" customHeight="1" spans="1:51" x14ac:dyDescent="0.25">
      <c r="A769" s="45"/>
      <c r="B769" s="46" t="s">
        <v>810</v>
      </c>
      <c r="C769" s="46" t="s">
        <v>811</v>
      </c>
      <c r="D769" s="46" t="s">
        <v>29</v>
      </c>
      <c r="E769" s="46" t="s">
        <v>37</v>
      </c>
      <c r="F769" s="46" t="s">
        <v>36</v>
      </c>
      <c r="G769" s="46" t="s">
        <v>36</v>
      </c>
      <c r="H769" s="46" t="s">
        <v>36</v>
      </c>
      <c r="I769" s="46" t="s">
        <v>36</v>
      </c>
      <c r="J769" s="46" t="s">
        <v>36</v>
      </c>
      <c r="K769" s="46" t="s">
        <v>31</v>
      </c>
      <c r="L769" s="46" t="s">
        <v>37</v>
      </c>
      <c r="M769" s="46" t="s">
        <v>32</v>
      </c>
      <c r="N769" s="46" t="s">
        <v>32</v>
      </c>
      <c r="O769" s="46" t="s">
        <v>32</v>
      </c>
      <c r="P769" s="46" t="s">
        <v>32</v>
      </c>
      <c r="Q769" s="46" t="s">
        <v>32</v>
      </c>
      <c r="R769" s="46" t="s">
        <v>36</v>
      </c>
      <c r="S769" s="46" t="s">
        <v>36</v>
      </c>
      <c r="T769" s="46" t="s">
        <v>36</v>
      </c>
      <c r="U769" s="46" t="s">
        <v>36</v>
      </c>
      <c r="V769" s="46" t="s">
        <v>37</v>
      </c>
      <c r="W769" s="46" t="s">
        <v>36</v>
      </c>
      <c r="X769" s="46" t="s">
        <v>36</v>
      </c>
      <c r="Y769" s="46" t="s">
        <v>36</v>
      </c>
      <c r="Z769" s="46" t="s">
        <v>36</v>
      </c>
      <c r="AA769" s="46" t="s">
        <v>36</v>
      </c>
      <c r="AB769" s="46" t="s">
        <v>36</v>
      </c>
      <c r="AC769" s="46" t="s">
        <v>36</v>
      </c>
      <c r="AD769" s="46" t="s">
        <v>36</v>
      </c>
      <c r="AE769" s="46" t="s">
        <v>36</v>
      </c>
      <c r="AF769" s="46" t="s">
        <v>37</v>
      </c>
      <c r="AG769" s="46" t="s">
        <v>36</v>
      </c>
      <c r="AH769" s="46" t="s">
        <v>154</v>
      </c>
      <c r="AI769" s="46" t="s">
        <v>36</v>
      </c>
      <c r="AJ769" s="46">
        <f>=SUM(E770:AI770)</f>
      </c>
      <c r="AK769" s="46">
        <f>=+AY769</f>
      </c>
      <c r="AL769" s="46"/>
      <c r="AM769" s="1"/>
      <c r="AN769" s="1">
        <f>=COUNTIF(E769:AI769,"A")+COUNTIF(E769:AI769,"B")+COUNTIF(E769:AI769,"C")+COUNTIF(E769:AI769,"D")+COUNTIF(E769:AI769,"E")+COUNTIF(E769:AI769,"F")+COUNTIF(E769:AI769,"M")+COUNTIF(E769:AI769,"AB")+COUNTIF(E769:AI769,"UZ")+COUNTIF(E769:AI769,"G")+(COUNTIF(E769:AI769,"RT.")/2)+(COUNTIF(E769:AI769,"ÇRT.")/2)</f>
      </c>
      <c r="AO769" s="1">
        <f>=COUNTIF(E769:AI769,"O")</f>
      </c>
      <c r="AP769" s="1">
        <f>=COUNTIF(E769:AI769,"RT")+(COUNTIF(E769:AI769,"RT.")/2)</f>
      </c>
      <c r="AQ769" s="1">
        <f>=COUNTIF(E769:AI769,"ÇRT")+(COUNTIF(E769:AI769,"ÇRT.")/2)</f>
      </c>
      <c r="AR769" s="1">
        <f>=COUNTIF(E769:AI769,"ÇHT")</f>
      </c>
      <c r="AS769" s="1">
        <f>=COUNTIF(E769:AI769,"Ö")+COUNTIF(E769:AI769,"T")</f>
      </c>
      <c r="AT769" s="1">
        <f>=COUNTIF(E769:AI769,"Y")</f>
      </c>
      <c r="AU769" s="1">
        <f>=COUNTIF(E769:AI769,"R.")</f>
      </c>
      <c r="AV769" s="1">
        <f>=COUNTIF(E769:AI769,"Ü")</f>
      </c>
      <c r="AW769" s="1">
        <f>=COUNTIF(E769:AI769,"R")</f>
      </c>
      <c r="AX769" s="1">
        <f>=COUNTIF(E769:AI769,"DV")</f>
      </c>
      <c r="AY769" s="1">
        <f>=+AN769+AO769+AP769+AQ769+AR769+AS769+AT769+AU769</f>
      </c>
    </row>
    <row r="770" ht="16" customHeight="1" spans="1:51" x14ac:dyDescent="0.25">
      <c r="A770" s="45"/>
      <c r="B770" s="46"/>
      <c r="C770" s="46"/>
      <c r="D770" s="46" t="s">
        <v>33</v>
      </c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>
        <v>1</v>
      </c>
      <c r="Z770" s="46"/>
      <c r="AA770" s="46"/>
      <c r="AB770" s="46"/>
      <c r="AC770" s="46"/>
      <c r="AD770" s="46"/>
      <c r="AE770" s="46"/>
      <c r="AF770" s="46"/>
      <c r="AG770" s="46">
        <v>2</v>
      </c>
      <c r="AH770" s="46"/>
      <c r="AI770" s="46"/>
      <c r="AJ770" s="46"/>
      <c r="AK770" s="46"/>
      <c r="AL770" s="46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</row>
    <row r="771" ht="16" customHeight="1" spans="1:51" x14ac:dyDescent="0.25">
      <c r="A771" s="45"/>
      <c r="B771" s="46" t="s">
        <v>812</v>
      </c>
      <c r="C771" s="46" t="s">
        <v>813</v>
      </c>
      <c r="D771" s="46" t="s">
        <v>29</v>
      </c>
      <c r="E771" s="46"/>
      <c r="F771" s="46"/>
      <c r="G771" s="46"/>
      <c r="H771" s="46"/>
      <c r="I771" s="46"/>
      <c r="J771" s="46"/>
      <c r="K771" s="46"/>
      <c r="L771" s="46" t="s">
        <v>36</v>
      </c>
      <c r="M771" s="46" t="s">
        <v>36</v>
      </c>
      <c r="N771" s="46" t="s">
        <v>36</v>
      </c>
      <c r="O771" s="46" t="s">
        <v>37</v>
      </c>
      <c r="P771" s="46" t="s">
        <v>36</v>
      </c>
      <c r="Q771" s="46" t="s">
        <v>36</v>
      </c>
      <c r="R771" s="46" t="s">
        <v>36</v>
      </c>
      <c r="S771" s="46" t="s">
        <v>36</v>
      </c>
      <c r="T771" s="46" t="s">
        <v>36</v>
      </c>
      <c r="U771" s="46" t="s">
        <v>36</v>
      </c>
      <c r="V771" s="46" t="s">
        <v>37</v>
      </c>
      <c r="W771" s="46" t="s">
        <v>36</v>
      </c>
      <c r="X771" s="46" t="s">
        <v>36</v>
      </c>
      <c r="Y771" s="46" t="s">
        <v>36</v>
      </c>
      <c r="Z771" s="46" t="s">
        <v>36</v>
      </c>
      <c r="AA771" s="46" t="s">
        <v>36</v>
      </c>
      <c r="AB771" s="46" t="s">
        <v>36</v>
      </c>
      <c r="AC771" s="46" t="s">
        <v>36</v>
      </c>
      <c r="AD771" s="46" t="s">
        <v>36</v>
      </c>
      <c r="AE771" s="46" t="s">
        <v>36</v>
      </c>
      <c r="AF771" s="46" t="s">
        <v>36</v>
      </c>
      <c r="AG771" s="46" t="s">
        <v>37</v>
      </c>
      <c r="AH771" s="46" t="s">
        <v>43</v>
      </c>
      <c r="AI771" s="46" t="s">
        <v>36</v>
      </c>
      <c r="AJ771" s="46">
        <f>=SUM(E772:AI772)</f>
      </c>
      <c r="AK771" s="46">
        <f>=+AY771</f>
      </c>
      <c r="AL771" s="46"/>
      <c r="AM771" s="1"/>
      <c r="AN771" s="1">
        <f>=COUNTIF(E771:AI771,"A")+COUNTIF(E771:AI771,"B")+COUNTIF(E771:AI771,"C")+COUNTIF(E771:AI771,"D")+COUNTIF(E771:AI771,"E")+COUNTIF(E771:AI771,"F")+COUNTIF(E771:AI771,"M")+COUNTIF(E771:AI771,"AB")+COUNTIF(E771:AI771,"UZ")+COUNTIF(E771:AI771,"G")+(COUNTIF(E771:AI771,"RT.")/2)+(COUNTIF(E771:AI771,"ÇRT.")/2)</f>
      </c>
      <c r="AO771" s="1">
        <f>=COUNTIF(E771:AI771,"O")</f>
      </c>
      <c r="AP771" s="1">
        <f>=COUNTIF(E771:AI771,"RT")+(COUNTIF(E771:AI771,"RT.")/2)</f>
      </c>
      <c r="AQ771" s="1">
        <f>=COUNTIF(E771:AI771,"ÇRT")+(COUNTIF(E771:AI771,"ÇRT.")/2)</f>
      </c>
      <c r="AR771" s="1">
        <f>=COUNTIF(E771:AI771,"ÇHT")</f>
      </c>
      <c r="AS771" s="1">
        <f>=COUNTIF(E771:AI771,"Ö")+COUNTIF(E771:AI771,"T")</f>
      </c>
      <c r="AT771" s="1">
        <f>=COUNTIF(E771:AI771,"Y")</f>
      </c>
      <c r="AU771" s="1">
        <f>=COUNTIF(E771:AI771,"R.")</f>
      </c>
      <c r="AV771" s="1">
        <f>=COUNTIF(E771:AI771,"Ü")</f>
      </c>
      <c r="AW771" s="1">
        <f>=COUNTIF(E771:AI771,"R")</f>
      </c>
      <c r="AX771" s="1">
        <f>=COUNTIF(E771:AI771,"DV")</f>
      </c>
      <c r="AY771" s="1">
        <f>=+AN771+AO771+AP771+AQ771+AR771+AS771+AT771+AU771</f>
      </c>
    </row>
    <row r="772" ht="16" customHeight="1" spans="1:51" x14ac:dyDescent="0.25">
      <c r="A772" s="45"/>
      <c r="B772" s="46"/>
      <c r="C772" s="46"/>
      <c r="D772" s="46" t="s">
        <v>33</v>
      </c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  <c r="AC772" s="46">
        <v>2</v>
      </c>
      <c r="AD772" s="46"/>
      <c r="AE772" s="46"/>
      <c r="AF772" s="46"/>
      <c r="AG772" s="46"/>
      <c r="AH772" s="46"/>
      <c r="AI772" s="46"/>
      <c r="AJ772" s="46"/>
      <c r="AK772" s="46"/>
      <c r="AL772" s="46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</row>
    <row r="773" ht="16" customHeight="1" spans="1:51" x14ac:dyDescent="0.25">
      <c r="A773" s="45"/>
      <c r="B773" s="46" t="s">
        <v>814</v>
      </c>
      <c r="C773" s="46" t="s">
        <v>815</v>
      </c>
      <c r="D773" s="46" t="s">
        <v>29</v>
      </c>
      <c r="E773" s="46" t="s">
        <v>37</v>
      </c>
      <c r="F773" s="46" t="s">
        <v>46</v>
      </c>
      <c r="G773" s="46" t="s">
        <v>36</v>
      </c>
      <c r="H773" s="46" t="s">
        <v>36</v>
      </c>
      <c r="I773" s="46" t="s">
        <v>36</v>
      </c>
      <c r="J773" s="46" t="s">
        <v>36</v>
      </c>
      <c r="K773" s="46" t="s">
        <v>36</v>
      </c>
      <c r="L773" s="46" t="s">
        <v>37</v>
      </c>
      <c r="M773" s="46" t="s">
        <v>36</v>
      </c>
      <c r="N773" s="46" t="s">
        <v>46</v>
      </c>
      <c r="O773" s="46" t="s">
        <v>46</v>
      </c>
      <c r="P773" s="46" t="s">
        <v>46</v>
      </c>
      <c r="Q773" s="46" t="s">
        <v>46</v>
      </c>
      <c r="R773" s="46" t="s">
        <v>46</v>
      </c>
      <c r="S773" s="46" t="s">
        <v>37</v>
      </c>
      <c r="T773" s="46" t="s">
        <v>46</v>
      </c>
      <c r="U773" s="46" t="s">
        <v>36</v>
      </c>
      <c r="V773" s="46" t="s">
        <v>36</v>
      </c>
      <c r="W773" s="46" t="s">
        <v>36</v>
      </c>
      <c r="X773" s="46" t="s">
        <v>36</v>
      </c>
      <c r="Y773" s="46" t="s">
        <v>36</v>
      </c>
      <c r="Z773" s="46" t="s">
        <v>37</v>
      </c>
      <c r="AA773" s="46" t="s">
        <v>36</v>
      </c>
      <c r="AB773" s="46" t="s">
        <v>36</v>
      </c>
      <c r="AC773" s="46" t="s">
        <v>36</v>
      </c>
      <c r="AD773" s="46" t="s">
        <v>46</v>
      </c>
      <c r="AE773" s="46" t="s">
        <v>46</v>
      </c>
      <c r="AF773" s="46" t="s">
        <v>46</v>
      </c>
      <c r="AG773" s="46" t="s">
        <v>37</v>
      </c>
      <c r="AH773" s="46" t="s">
        <v>43</v>
      </c>
      <c r="AI773" s="46" t="s">
        <v>36</v>
      </c>
      <c r="AJ773" s="46">
        <f>=SUM(E774:AI774)</f>
      </c>
      <c r="AK773" s="46">
        <f>=+AY773</f>
      </c>
      <c r="AL773" s="46"/>
      <c r="AM773" s="1"/>
      <c r="AN773" s="1">
        <f>=COUNTIF(E773:AI773,"A")+COUNTIF(E773:AI773,"B")+COUNTIF(E773:AI773,"C")+COUNTIF(E773:AI773,"D")+COUNTIF(E773:AI773,"E")+COUNTIF(E773:AI773,"F")+COUNTIF(E773:AI773,"M")+COUNTIF(E773:AI773,"AB")+COUNTIF(E773:AI773,"UZ")+COUNTIF(E773:AI773,"G")+(COUNTIF(E773:AI773,"RT.")/2)+(COUNTIF(E773:AI773,"ÇRT.")/2)</f>
      </c>
      <c r="AO773" s="1">
        <f>=COUNTIF(E773:AI773,"O")</f>
      </c>
      <c r="AP773" s="1">
        <f>=COUNTIF(E773:AI773,"RT")+(COUNTIF(E773:AI773,"RT.")/2)</f>
      </c>
      <c r="AQ773" s="1">
        <f>=COUNTIF(E773:AI773,"ÇRT")+(COUNTIF(E773:AI773,"ÇRT.")/2)</f>
      </c>
      <c r="AR773" s="1">
        <f>=COUNTIF(E773:AI773,"ÇHT")</f>
      </c>
      <c r="AS773" s="1">
        <f>=COUNTIF(E773:AI773,"Ö")+COUNTIF(E773:AI773,"T")</f>
      </c>
      <c r="AT773" s="1">
        <f>=COUNTIF(E773:AI773,"Y")</f>
      </c>
      <c r="AU773" s="1">
        <f>=COUNTIF(E773:AI773,"R.")</f>
      </c>
      <c r="AV773" s="1">
        <f>=COUNTIF(E773:AI773,"Ü")</f>
      </c>
      <c r="AW773" s="1">
        <f>=COUNTIF(E773:AI773,"R")</f>
      </c>
      <c r="AX773" s="1">
        <f>=COUNTIF(E773:AI773,"DV")</f>
      </c>
      <c r="AY773" s="1">
        <f>=+AN773+AO773+AP773+AQ773+AR773+AS773+AT773+AU773</f>
      </c>
    </row>
    <row r="774" ht="16" customHeight="1" spans="1:51" x14ac:dyDescent="0.25">
      <c r="A774" s="45"/>
      <c r="B774" s="46"/>
      <c r="C774" s="46"/>
      <c r="D774" s="46" t="s">
        <v>33</v>
      </c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  <c r="AC774" s="46"/>
      <c r="AD774" s="46"/>
      <c r="AE774" s="46"/>
      <c r="AF774" s="46"/>
      <c r="AG774" s="46"/>
      <c r="AH774" s="46"/>
      <c r="AI774" s="46"/>
      <c r="AJ774" s="46"/>
      <c r="AK774" s="46"/>
      <c r="AL774" s="46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</row>
    <row r="775" ht="16" customHeight="1" spans="1:51" x14ac:dyDescent="0.25">
      <c r="A775" s="45"/>
      <c r="B775" s="46" t="s">
        <v>816</v>
      </c>
      <c r="C775" s="46" t="s">
        <v>817</v>
      </c>
      <c r="D775" s="46" t="s">
        <v>29</v>
      </c>
      <c r="E775" s="46" t="s">
        <v>36</v>
      </c>
      <c r="F775" s="46" t="s">
        <v>37</v>
      </c>
      <c r="G775" s="46" t="s">
        <v>36</v>
      </c>
      <c r="H775" s="46" t="s">
        <v>36</v>
      </c>
      <c r="I775" s="46" t="s">
        <v>36</v>
      </c>
      <c r="J775" s="46" t="s">
        <v>31</v>
      </c>
      <c r="K775" s="46" t="s">
        <v>36</v>
      </c>
      <c r="L775" s="46" t="s">
        <v>36</v>
      </c>
      <c r="M775" s="46" t="s">
        <v>37</v>
      </c>
      <c r="N775" s="46" t="s">
        <v>36</v>
      </c>
      <c r="O775" s="46" t="s">
        <v>36</v>
      </c>
      <c r="P775" s="46" t="s">
        <v>36</v>
      </c>
      <c r="Q775" s="46" t="s">
        <v>36</v>
      </c>
      <c r="R775" s="46" t="s">
        <v>36</v>
      </c>
      <c r="S775" s="46" t="s">
        <v>36</v>
      </c>
      <c r="T775" s="46" t="s">
        <v>36</v>
      </c>
      <c r="U775" s="46" t="s">
        <v>37</v>
      </c>
      <c r="V775" s="46" t="s">
        <v>36</v>
      </c>
      <c r="W775" s="46" t="s">
        <v>36</v>
      </c>
      <c r="X775" s="46" t="s">
        <v>36</v>
      </c>
      <c r="Y775" s="46" t="s">
        <v>36</v>
      </c>
      <c r="Z775" s="46" t="s">
        <v>36</v>
      </c>
      <c r="AA775" s="46" t="s">
        <v>37</v>
      </c>
      <c r="AB775" s="46" t="s">
        <v>36</v>
      </c>
      <c r="AC775" s="46" t="s">
        <v>36</v>
      </c>
      <c r="AD775" s="46" t="s">
        <v>36</v>
      </c>
      <c r="AE775" s="46" t="s">
        <v>36</v>
      </c>
      <c r="AF775" s="46" t="s">
        <v>36</v>
      </c>
      <c r="AG775" s="46" t="s">
        <v>36</v>
      </c>
      <c r="AH775" s="46" t="s">
        <v>37</v>
      </c>
      <c r="AI775" s="46"/>
      <c r="AJ775" s="46">
        <f>=SUM(E776:AI776)</f>
      </c>
      <c r="AK775" s="46">
        <f>=+AY775</f>
      </c>
      <c r="AL775" s="46"/>
      <c r="AM775" s="1"/>
      <c r="AN775" s="1">
        <f>=COUNTIF(E775:AI775,"A")+COUNTIF(E775:AI775,"B")+COUNTIF(E775:AI775,"C")+COUNTIF(E775:AI775,"D")+COUNTIF(E775:AI775,"E")+COUNTIF(E775:AI775,"F")+COUNTIF(E775:AI775,"M")+COUNTIF(E775:AI775,"AB")+COUNTIF(E775:AI775,"UZ")+COUNTIF(E775:AI775,"G")+(COUNTIF(E775:AI775,"RT.")/2)+(COUNTIF(E775:AI775,"ÇRT.")/2)</f>
      </c>
      <c r="AO775" s="1">
        <f>=COUNTIF(E775:AI775,"O")</f>
      </c>
      <c r="AP775" s="1">
        <f>=COUNTIF(E775:AI775,"RT")+(COUNTIF(E775:AI775,"RT.")/2)</f>
      </c>
      <c r="AQ775" s="1">
        <f>=COUNTIF(E775:AI775,"ÇRT")+(COUNTIF(E775:AI775,"ÇRT.")/2)</f>
      </c>
      <c r="AR775" s="1">
        <f>=COUNTIF(E775:AI775,"ÇHT")</f>
      </c>
      <c r="AS775" s="1">
        <f>=COUNTIF(E775:AI775,"Ö")+COUNTIF(E775:AI775,"T")</f>
      </c>
      <c r="AT775" s="1">
        <f>=COUNTIF(E775:AI775,"Y")</f>
      </c>
      <c r="AU775" s="1">
        <f>=COUNTIF(E775:AI775,"R.")</f>
      </c>
      <c r="AV775" s="1">
        <f>=COUNTIF(E775:AI775,"Ü")</f>
      </c>
      <c r="AW775" s="1">
        <f>=COUNTIF(E775:AI775,"R")</f>
      </c>
      <c r="AX775" s="1">
        <f>=COUNTIF(E775:AI775,"DV")</f>
      </c>
      <c r="AY775" s="1">
        <f>=+AN775+AO775+AP775+AQ775+AR775+AS775+AT775+AU775</f>
      </c>
    </row>
    <row r="776" ht="16" customHeight="1" spans="1:51" x14ac:dyDescent="0.25">
      <c r="A776" s="45"/>
      <c r="B776" s="46"/>
      <c r="C776" s="46"/>
      <c r="D776" s="46" t="s">
        <v>33</v>
      </c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  <c r="AB776" s="46"/>
      <c r="AC776" s="46"/>
      <c r="AD776" s="46"/>
      <c r="AE776" s="46"/>
      <c r="AF776" s="46"/>
      <c r="AG776" s="46"/>
      <c r="AH776" s="46"/>
      <c r="AI776" s="46"/>
      <c r="AJ776" s="46"/>
      <c r="AK776" s="46"/>
      <c r="AL776" s="46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</row>
    <row r="777" ht="16" customHeight="1" spans="1:51" x14ac:dyDescent="0.25">
      <c r="A777" s="45"/>
      <c r="B777" s="46" t="s">
        <v>818</v>
      </c>
      <c r="C777" s="46" t="s">
        <v>819</v>
      </c>
      <c r="D777" s="46" t="s">
        <v>29</v>
      </c>
      <c r="E777" s="46" t="s">
        <v>36</v>
      </c>
      <c r="F777" s="46" t="s">
        <v>36</v>
      </c>
      <c r="G777" s="46" t="s">
        <v>36</v>
      </c>
      <c r="H777" s="46" t="s">
        <v>222</v>
      </c>
      <c r="I777" s="46" t="s">
        <v>36</v>
      </c>
      <c r="J777" s="46" t="s">
        <v>36</v>
      </c>
      <c r="K777" s="46" t="s">
        <v>36</v>
      </c>
      <c r="L777" s="46" t="s">
        <v>36</v>
      </c>
      <c r="M777" s="46" t="s">
        <v>36</v>
      </c>
      <c r="N777" s="46" t="s">
        <v>36</v>
      </c>
      <c r="O777" s="46" t="s">
        <v>36</v>
      </c>
      <c r="P777" s="46" t="s">
        <v>36</v>
      </c>
      <c r="Q777" s="46" t="s">
        <v>36</v>
      </c>
      <c r="R777" s="46" t="s">
        <v>37</v>
      </c>
      <c r="S777" s="46" t="s">
        <v>36</v>
      </c>
      <c r="T777" s="46" t="s">
        <v>36</v>
      </c>
      <c r="U777" s="46" t="s">
        <v>36</v>
      </c>
      <c r="V777" s="46" t="s">
        <v>37</v>
      </c>
      <c r="W777" s="46" t="s">
        <v>36</v>
      </c>
      <c r="X777" s="46" t="s">
        <v>36</v>
      </c>
      <c r="Y777" s="46" t="s">
        <v>36</v>
      </c>
      <c r="Z777" s="46" t="s">
        <v>36</v>
      </c>
      <c r="AA777" s="46" t="s">
        <v>36</v>
      </c>
      <c r="AB777" s="46" t="s">
        <v>36</v>
      </c>
      <c r="AC777" s="46" t="s">
        <v>37</v>
      </c>
      <c r="AD777" s="46" t="s">
        <v>36</v>
      </c>
      <c r="AE777" s="46" t="s">
        <v>36</v>
      </c>
      <c r="AF777" s="46" t="s">
        <v>36</v>
      </c>
      <c r="AG777" s="46" t="s">
        <v>36</v>
      </c>
      <c r="AH777" s="46" t="s">
        <v>43</v>
      </c>
      <c r="AI777" s="46" t="s">
        <v>36</v>
      </c>
      <c r="AJ777" s="46">
        <f>=SUM(E778:AI778)</f>
      </c>
      <c r="AK777" s="46">
        <f>=+AY777</f>
      </c>
      <c r="AL777" s="46"/>
      <c r="AM777" s="1"/>
      <c r="AN777" s="1">
        <f>=COUNTIF(E777:AI777,"A")+COUNTIF(E777:AI777,"B")+COUNTIF(E777:AI777,"C")+COUNTIF(E777:AI777,"D")+COUNTIF(E777:AI777,"E")+COUNTIF(E777:AI777,"F")+COUNTIF(E777:AI777,"M")+COUNTIF(E777:AI777,"AB")+COUNTIF(E777:AI777,"UZ")+COUNTIF(E777:AI777,"G")+(COUNTIF(E777:AI777,"RT.")/2)+(COUNTIF(E777:AI777,"ÇRT.")/2)</f>
      </c>
      <c r="AO777" s="1">
        <f>=COUNTIF(E777:AI777,"O")</f>
      </c>
      <c r="AP777" s="1">
        <f>=COUNTIF(E777:AI777,"RT")+(COUNTIF(E777:AI777,"RT.")/2)</f>
      </c>
      <c r="AQ777" s="1">
        <f>=COUNTIF(E777:AI777,"ÇRT")+(COUNTIF(E777:AI777,"ÇRT.")/2)</f>
      </c>
      <c r="AR777" s="1">
        <f>=COUNTIF(E777:AI777,"ÇHT")</f>
      </c>
      <c r="AS777" s="1">
        <f>=COUNTIF(E777:AI777,"Ö")+COUNTIF(E777:AI777,"T")</f>
      </c>
      <c r="AT777" s="1">
        <f>=COUNTIF(E777:AI777,"Y")</f>
      </c>
      <c r="AU777" s="1">
        <f>=COUNTIF(E777:AI777,"R.")</f>
      </c>
      <c r="AV777" s="1">
        <f>=COUNTIF(E777:AI777,"Ü")</f>
      </c>
      <c r="AW777" s="1">
        <f>=COUNTIF(E777:AI777,"R")</f>
      </c>
      <c r="AX777" s="1">
        <f>=COUNTIF(E777:AI777,"DV")</f>
      </c>
      <c r="AY777" s="1">
        <f>=+AN777+AO777+AP777+AQ777+AR777+AS777+AT777+AU777</f>
      </c>
    </row>
    <row r="778" ht="16" customHeight="1" spans="1:51" x14ac:dyDescent="0.25">
      <c r="A778" s="45"/>
      <c r="B778" s="46"/>
      <c r="C778" s="46"/>
      <c r="D778" s="46" t="s">
        <v>33</v>
      </c>
      <c r="E778" s="46"/>
      <c r="F778" s="46"/>
      <c r="G778" s="46"/>
      <c r="H778" s="46"/>
      <c r="I778" s="46"/>
      <c r="J778" s="46"/>
      <c r="K778" s="46"/>
      <c r="L778" s="46"/>
      <c r="M778" s="46">
        <v>1</v>
      </c>
      <c r="N778" s="46"/>
      <c r="O778" s="46"/>
      <c r="P778" s="46"/>
      <c r="Q778" s="46"/>
      <c r="R778" s="46"/>
      <c r="S778" s="46">
        <v>1</v>
      </c>
      <c r="T778" s="46">
        <v>1</v>
      </c>
      <c r="U778" s="46"/>
      <c r="V778" s="46"/>
      <c r="W778" s="46"/>
      <c r="X778" s="46"/>
      <c r="Y778" s="46"/>
      <c r="Z778" s="46">
        <v>1</v>
      </c>
      <c r="AA778" s="46"/>
      <c r="AB778" s="46">
        <v>1</v>
      </c>
      <c r="AC778" s="46"/>
      <c r="AD778" s="46"/>
      <c r="AE778" s="46"/>
      <c r="AF778" s="46"/>
      <c r="AG778" s="46">
        <v>3</v>
      </c>
      <c r="AH778" s="46">
        <v>2</v>
      </c>
      <c r="AI778" s="46"/>
      <c r="AJ778" s="46"/>
      <c r="AK778" s="46"/>
      <c r="AL778" s="46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</row>
    <row r="779" ht="16" customHeight="1" spans="1:51" x14ac:dyDescent="0.25">
      <c r="A779" s="45"/>
      <c r="B779" s="46" t="s">
        <v>820</v>
      </c>
      <c r="C779" s="46" t="s">
        <v>821</v>
      </c>
      <c r="D779" s="46" t="s">
        <v>29</v>
      </c>
      <c r="E779" s="46" t="s">
        <v>37</v>
      </c>
      <c r="F779" s="46" t="s">
        <v>30</v>
      </c>
      <c r="G779" s="46" t="s">
        <v>30</v>
      </c>
      <c r="H779" s="46" t="s">
        <v>30</v>
      </c>
      <c r="I779" s="46" t="s">
        <v>30</v>
      </c>
      <c r="J779" s="46" t="s">
        <v>30</v>
      </c>
      <c r="K779" s="46" t="s">
        <v>30</v>
      </c>
      <c r="L779" s="46" t="s">
        <v>37</v>
      </c>
      <c r="M779" s="46" t="s">
        <v>46</v>
      </c>
      <c r="N779" s="46" t="s">
        <v>46</v>
      </c>
      <c r="O779" s="46" t="s">
        <v>46</v>
      </c>
      <c r="P779" s="46" t="s">
        <v>46</v>
      </c>
      <c r="Q779" s="46" t="s">
        <v>46</v>
      </c>
      <c r="R779" s="46" t="s">
        <v>46</v>
      </c>
      <c r="S779" s="46" t="s">
        <v>37</v>
      </c>
      <c r="T779" s="46" t="s">
        <v>46</v>
      </c>
      <c r="U779" s="46" t="s">
        <v>46</v>
      </c>
      <c r="V779" s="46" t="s">
        <v>46</v>
      </c>
      <c r="W779" s="46" t="s">
        <v>46</v>
      </c>
      <c r="X779" s="46" t="s">
        <v>46</v>
      </c>
      <c r="Y779" s="46" t="s">
        <v>46</v>
      </c>
      <c r="Z779" s="46" t="s">
        <v>37</v>
      </c>
      <c r="AA779" s="46" t="s">
        <v>46</v>
      </c>
      <c r="AB779" s="46" t="s">
        <v>46</v>
      </c>
      <c r="AC779" s="46" t="s">
        <v>46</v>
      </c>
      <c r="AD779" s="46" t="s">
        <v>46</v>
      </c>
      <c r="AE779" s="46" t="s">
        <v>46</v>
      </c>
      <c r="AF779" s="46" t="s">
        <v>46</v>
      </c>
      <c r="AG779" s="46" t="s">
        <v>222</v>
      </c>
      <c r="AH779" s="46" t="s">
        <v>43</v>
      </c>
      <c r="AI779" s="46" t="s">
        <v>46</v>
      </c>
      <c r="AJ779" s="46">
        <f>=SUM(E780:AI780)</f>
      </c>
      <c r="AK779" s="46">
        <f>=+AY779</f>
      </c>
      <c r="AL779" s="46"/>
      <c r="AM779" s="1"/>
      <c r="AN779" s="1">
        <f>=COUNTIF(E779:AI779,"A")+COUNTIF(E779:AI779,"B")+COUNTIF(E779:AI779,"C")+COUNTIF(E779:AI779,"D")+COUNTIF(E779:AI779,"E")+COUNTIF(E779:AI779,"F")+COUNTIF(E779:AI779,"M")+COUNTIF(E779:AI779,"AB")+COUNTIF(E779:AI779,"UZ")+COUNTIF(E779:AI779,"G")+(COUNTIF(E779:AI779,"RT.")/2)+(COUNTIF(E779:AI779,"ÇRT.")/2)</f>
      </c>
      <c r="AO779" s="1">
        <f>=COUNTIF(E779:AI779,"O")</f>
      </c>
      <c r="AP779" s="1">
        <f>=COUNTIF(E779:AI779,"RT")+(COUNTIF(E779:AI779,"RT.")/2)</f>
      </c>
      <c r="AQ779" s="1">
        <f>=COUNTIF(E779:AI779,"ÇRT")+(COUNTIF(E779:AI779,"ÇRT.")/2)</f>
      </c>
      <c r="AR779" s="1">
        <f>=COUNTIF(E779:AI779,"ÇHT")</f>
      </c>
      <c r="AS779" s="1">
        <f>=COUNTIF(E779:AI779,"Ö")+COUNTIF(E779:AI779,"T")</f>
      </c>
      <c r="AT779" s="1">
        <f>=COUNTIF(E779:AI779,"Y")</f>
      </c>
      <c r="AU779" s="1">
        <f>=COUNTIF(E779:AI779,"R.")</f>
      </c>
      <c r="AV779" s="1">
        <f>=COUNTIF(E779:AI779,"Ü")</f>
      </c>
      <c r="AW779" s="1">
        <f>=COUNTIF(E779:AI779,"R")</f>
      </c>
      <c r="AX779" s="1">
        <f>=COUNTIF(E779:AI779,"DV")</f>
      </c>
      <c r="AY779" s="1">
        <f>=+AN779+AO779+AP779+AQ779+AR779+AS779+AT779+AU779</f>
      </c>
    </row>
    <row r="780" ht="16" customHeight="1" spans="1:51" x14ac:dyDescent="0.25">
      <c r="A780" s="45"/>
      <c r="B780" s="46"/>
      <c r="C780" s="46"/>
      <c r="D780" s="46" t="s">
        <v>33</v>
      </c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  <c r="AB780" s="46"/>
      <c r="AC780" s="46"/>
      <c r="AD780" s="46"/>
      <c r="AE780" s="46"/>
      <c r="AF780" s="46"/>
      <c r="AG780" s="46"/>
      <c r="AH780" s="46"/>
      <c r="AI780" s="46"/>
      <c r="AJ780" s="46"/>
      <c r="AK780" s="46"/>
      <c r="AL780" s="46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</row>
    <row r="781" ht="16" customHeight="1" spans="1:51" x14ac:dyDescent="0.25">
      <c r="A781" s="45"/>
      <c r="B781" s="46" t="s">
        <v>822</v>
      </c>
      <c r="C781" s="46" t="s">
        <v>823</v>
      </c>
      <c r="D781" s="46" t="s">
        <v>29</v>
      </c>
      <c r="E781" s="46" t="s">
        <v>37</v>
      </c>
      <c r="F781" s="46" t="s">
        <v>36</v>
      </c>
      <c r="G781" s="46" t="s">
        <v>36</v>
      </c>
      <c r="H781" s="46" t="s">
        <v>36</v>
      </c>
      <c r="I781" s="46" t="s">
        <v>36</v>
      </c>
      <c r="J781" s="46" t="s">
        <v>36</v>
      </c>
      <c r="K781" s="46" t="s">
        <v>36</v>
      </c>
      <c r="L781" s="46" t="s">
        <v>222</v>
      </c>
      <c r="M781" s="46" t="s">
        <v>36</v>
      </c>
      <c r="N781" s="46" t="s">
        <v>36</v>
      </c>
      <c r="O781" s="46" t="s">
        <v>36</v>
      </c>
      <c r="P781" s="46" t="s">
        <v>36</v>
      </c>
      <c r="Q781" s="46" t="s">
        <v>36</v>
      </c>
      <c r="R781" s="46" t="s">
        <v>36</v>
      </c>
      <c r="S781" s="46" t="s">
        <v>37</v>
      </c>
      <c r="T781" s="46" t="s">
        <v>36</v>
      </c>
      <c r="U781" s="46" t="s">
        <v>36</v>
      </c>
      <c r="V781" s="46" t="s">
        <v>36</v>
      </c>
      <c r="W781" s="46" t="s">
        <v>36</v>
      </c>
      <c r="X781" s="46" t="s">
        <v>36</v>
      </c>
      <c r="Y781" s="46" t="s">
        <v>36</v>
      </c>
      <c r="Z781" s="46" t="s">
        <v>37</v>
      </c>
      <c r="AA781" s="46" t="s">
        <v>36</v>
      </c>
      <c r="AB781" s="46" t="s">
        <v>36</v>
      </c>
      <c r="AC781" s="46" t="s">
        <v>36</v>
      </c>
      <c r="AD781" s="46" t="s">
        <v>36</v>
      </c>
      <c r="AE781" s="46" t="s">
        <v>36</v>
      </c>
      <c r="AF781" s="46" t="s">
        <v>36</v>
      </c>
      <c r="AG781" s="46" t="s">
        <v>36</v>
      </c>
      <c r="AH781" s="46" t="s">
        <v>222</v>
      </c>
      <c r="AI781" s="46" t="s">
        <v>36</v>
      </c>
      <c r="AJ781" s="46">
        <f>=SUM(E782:AI782)</f>
      </c>
      <c r="AK781" s="46">
        <f>=+AY781</f>
      </c>
      <c r="AL781" s="46"/>
      <c r="AM781" s="1"/>
      <c r="AN781" s="1">
        <f>=COUNTIF(E781:AI781,"A")+COUNTIF(E781:AI781,"B")+COUNTIF(E781:AI781,"C")+COUNTIF(E781:AI781,"D")+COUNTIF(E781:AI781,"E")+COUNTIF(E781:AI781,"F")+COUNTIF(E781:AI781,"M")+COUNTIF(E781:AI781,"AB")+COUNTIF(E781:AI781,"UZ")+COUNTIF(E781:AI781,"G")+(COUNTIF(E781:AI781,"RT.")/2)+(COUNTIF(E781:AI781,"ÇRT.")/2)</f>
      </c>
      <c r="AO781" s="1">
        <f>=COUNTIF(E781:AI781,"O")</f>
      </c>
      <c r="AP781" s="1">
        <f>=COUNTIF(E781:AI781,"RT")+(COUNTIF(E781:AI781,"RT.")/2)</f>
      </c>
      <c r="AQ781" s="1">
        <f>=COUNTIF(E781:AI781,"ÇRT")+(COUNTIF(E781:AI781,"ÇRT.")/2)</f>
      </c>
      <c r="AR781" s="1">
        <f>=COUNTIF(E781:AI781,"ÇHT")</f>
      </c>
      <c r="AS781" s="1">
        <f>=COUNTIF(E781:AI781,"Ö")+COUNTIF(E781:AI781,"T")</f>
      </c>
      <c r="AT781" s="1">
        <f>=COUNTIF(E781:AI781,"Y")</f>
      </c>
      <c r="AU781" s="1">
        <f>=COUNTIF(E781:AI781,"R.")</f>
      </c>
      <c r="AV781" s="1">
        <f>=COUNTIF(E781:AI781,"Ü")</f>
      </c>
      <c r="AW781" s="1">
        <f>=COUNTIF(E781:AI781,"R")</f>
      </c>
      <c r="AX781" s="1">
        <f>=COUNTIF(E781:AI781,"DV")</f>
      </c>
      <c r="AY781" s="1">
        <f>=+AN781+AO781+AP781+AQ781+AR781+AS781+AT781+AU781</f>
      </c>
    </row>
    <row r="782" ht="16" customHeight="1" spans="1:51" x14ac:dyDescent="0.25">
      <c r="A782" s="45"/>
      <c r="B782" s="46"/>
      <c r="C782" s="46"/>
      <c r="D782" s="46" t="s">
        <v>33</v>
      </c>
      <c r="E782" s="46"/>
      <c r="F782" s="46"/>
      <c r="G782" s="46"/>
      <c r="H782" s="46"/>
      <c r="I782" s="46"/>
      <c r="J782" s="46"/>
      <c r="K782" s="46">
        <v>1</v>
      </c>
      <c r="L782" s="46"/>
      <c r="M782" s="46"/>
      <c r="N782" s="46"/>
      <c r="O782" s="46"/>
      <c r="P782" s="46"/>
      <c r="Q782" s="46"/>
      <c r="R782" s="46"/>
      <c r="S782" s="46"/>
      <c r="T782" s="46">
        <v>2</v>
      </c>
      <c r="U782" s="46"/>
      <c r="V782" s="46"/>
      <c r="W782" s="46"/>
      <c r="X782" s="46"/>
      <c r="Y782" s="46"/>
      <c r="Z782" s="46"/>
      <c r="AA782" s="46"/>
      <c r="AB782" s="46"/>
      <c r="AC782" s="46">
        <v>2</v>
      </c>
      <c r="AD782" s="46"/>
      <c r="AE782" s="46"/>
      <c r="AF782" s="46"/>
      <c r="AG782" s="46">
        <v>3</v>
      </c>
      <c r="AH782" s="46">
        <v>2</v>
      </c>
      <c r="AI782" s="46"/>
      <c r="AJ782" s="46"/>
      <c r="AK782" s="46"/>
      <c r="AL782" s="46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</row>
    <row r="783" ht="16" customHeight="1" spans="1:51" x14ac:dyDescent="0.25">
      <c r="A783" s="45"/>
      <c r="B783" s="46" t="s">
        <v>824</v>
      </c>
      <c r="C783" s="46" t="s">
        <v>825</v>
      </c>
      <c r="D783" s="46" t="s">
        <v>29</v>
      </c>
      <c r="E783" s="46" t="s">
        <v>36</v>
      </c>
      <c r="F783" s="46" t="s">
        <v>36</v>
      </c>
      <c r="G783" s="46" t="s">
        <v>36</v>
      </c>
      <c r="H783" s="46" t="s">
        <v>36</v>
      </c>
      <c r="I783" s="46" t="s">
        <v>37</v>
      </c>
      <c r="J783" s="46" t="s">
        <v>36</v>
      </c>
      <c r="K783" s="46" t="s">
        <v>36</v>
      </c>
      <c r="L783" s="46" t="s">
        <v>36</v>
      </c>
      <c r="M783" s="46" t="s">
        <v>36</v>
      </c>
      <c r="N783" s="46" t="s">
        <v>36</v>
      </c>
      <c r="O783" s="46" t="s">
        <v>36</v>
      </c>
      <c r="P783" s="46" t="s">
        <v>37</v>
      </c>
      <c r="Q783" s="46" t="s">
        <v>36</v>
      </c>
      <c r="R783" s="46" t="s">
        <v>36</v>
      </c>
      <c r="S783" s="46" t="s">
        <v>36</v>
      </c>
      <c r="T783" s="46" t="s">
        <v>36</v>
      </c>
      <c r="U783" s="46" t="s">
        <v>36</v>
      </c>
      <c r="V783" s="46" t="s">
        <v>36</v>
      </c>
      <c r="W783" s="46" t="s">
        <v>222</v>
      </c>
      <c r="X783" s="46" t="s">
        <v>36</v>
      </c>
      <c r="Y783" s="46" t="s">
        <v>36</v>
      </c>
      <c r="Z783" s="46" t="s">
        <v>36</v>
      </c>
      <c r="AA783" s="46" t="s">
        <v>36</v>
      </c>
      <c r="AB783" s="46" t="s">
        <v>36</v>
      </c>
      <c r="AC783" s="46" t="s">
        <v>36</v>
      </c>
      <c r="AD783" s="46" t="s">
        <v>37</v>
      </c>
      <c r="AE783" s="46" t="s">
        <v>36</v>
      </c>
      <c r="AF783" s="46" t="s">
        <v>36</v>
      </c>
      <c r="AG783" s="46" t="s">
        <v>36</v>
      </c>
      <c r="AH783" s="46" t="s">
        <v>43</v>
      </c>
      <c r="AI783" s="46" t="s">
        <v>36</v>
      </c>
      <c r="AJ783" s="46">
        <f>=SUM(E784:AI784)</f>
      </c>
      <c r="AK783" s="46">
        <f>=+AY783</f>
      </c>
      <c r="AL783" s="46"/>
      <c r="AM783" s="1"/>
      <c r="AN783" s="1">
        <f>=COUNTIF(E783:AI783,"A")+COUNTIF(E783:AI783,"B")+COUNTIF(E783:AI783,"C")+COUNTIF(E783:AI783,"D")+COUNTIF(E783:AI783,"E")+COUNTIF(E783:AI783,"F")+COUNTIF(E783:AI783,"M")+COUNTIF(E783:AI783,"AB")+COUNTIF(E783:AI783,"UZ")+COUNTIF(E783:AI783,"G")+(COUNTIF(E783:AI783,"RT.")/2)+(COUNTIF(E783:AI783,"ÇRT.")/2)</f>
      </c>
      <c r="AO783" s="1">
        <f>=COUNTIF(E783:AI783,"O")</f>
      </c>
      <c r="AP783" s="1">
        <f>=COUNTIF(E783:AI783,"RT")+(COUNTIF(E783:AI783,"RT.")/2)</f>
      </c>
      <c r="AQ783" s="1">
        <f>=COUNTIF(E783:AI783,"ÇRT")+(COUNTIF(E783:AI783,"ÇRT.")/2)</f>
      </c>
      <c r="AR783" s="1">
        <f>=COUNTIF(E783:AI783,"ÇHT")</f>
      </c>
      <c r="AS783" s="1">
        <f>=COUNTIF(E783:AI783,"Ö")+COUNTIF(E783:AI783,"T")</f>
      </c>
      <c r="AT783" s="1">
        <f>=COUNTIF(E783:AI783,"Y")</f>
      </c>
      <c r="AU783" s="1">
        <f>=COUNTIF(E783:AI783,"R.")</f>
      </c>
      <c r="AV783" s="1">
        <f>=COUNTIF(E783:AI783,"Ü")</f>
      </c>
      <c r="AW783" s="1">
        <f>=COUNTIF(E783:AI783,"R")</f>
      </c>
      <c r="AX783" s="1">
        <f>=COUNTIF(E783:AI783,"DV")</f>
      </c>
      <c r="AY783" s="1">
        <f>=+AN783+AO783+AP783+AQ783+AR783+AS783+AT783+AU783</f>
      </c>
    </row>
    <row r="784" ht="16" customHeight="1" spans="1:51" x14ac:dyDescent="0.25">
      <c r="A784" s="45"/>
      <c r="B784" s="46"/>
      <c r="C784" s="46"/>
      <c r="D784" s="46" t="s">
        <v>33</v>
      </c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  <c r="AB784" s="46"/>
      <c r="AC784" s="46"/>
      <c r="AD784" s="46"/>
      <c r="AE784" s="46"/>
      <c r="AF784" s="46"/>
      <c r="AG784" s="46">
        <v>3</v>
      </c>
      <c r="AH784" s="46">
        <v>2</v>
      </c>
      <c r="AI784" s="46"/>
      <c r="AJ784" s="46"/>
      <c r="AK784" s="46"/>
      <c r="AL784" s="46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</row>
    <row r="785" ht="16" customHeight="1" spans="1:51" x14ac:dyDescent="0.25">
      <c r="A785" s="45"/>
      <c r="B785" s="46" t="s">
        <v>826</v>
      </c>
      <c r="C785" s="46" t="s">
        <v>827</v>
      </c>
      <c r="D785" s="46" t="s">
        <v>29</v>
      </c>
      <c r="E785" s="46" t="s">
        <v>59</v>
      </c>
      <c r="F785" s="46" t="s">
        <v>59</v>
      </c>
      <c r="G785" s="46" t="s">
        <v>37</v>
      </c>
      <c r="H785" s="46" t="s">
        <v>59</v>
      </c>
      <c r="I785" s="46" t="s">
        <v>59</v>
      </c>
      <c r="J785" s="46" t="s">
        <v>59</v>
      </c>
      <c r="K785" s="46" t="s">
        <v>59</v>
      </c>
      <c r="L785" s="46" t="s">
        <v>31</v>
      </c>
      <c r="M785" s="46" t="s">
        <v>59</v>
      </c>
      <c r="N785" s="46" t="s">
        <v>37</v>
      </c>
      <c r="O785" s="46" t="s">
        <v>59</v>
      </c>
      <c r="P785" s="46" t="s">
        <v>59</v>
      </c>
      <c r="Q785" s="46" t="s">
        <v>59</v>
      </c>
      <c r="R785" s="46" t="s">
        <v>59</v>
      </c>
      <c r="S785" s="46" t="s">
        <v>59</v>
      </c>
      <c r="T785" s="46" t="s">
        <v>59</v>
      </c>
      <c r="U785" s="46" t="s">
        <v>37</v>
      </c>
      <c r="V785" s="46" t="s">
        <v>59</v>
      </c>
      <c r="W785" s="46" t="s">
        <v>59</v>
      </c>
      <c r="X785" s="46" t="s">
        <v>59</v>
      </c>
      <c r="Y785" s="46" t="s">
        <v>59</v>
      </c>
      <c r="Z785" s="46" t="s">
        <v>59</v>
      </c>
      <c r="AA785" s="46" t="s">
        <v>59</v>
      </c>
      <c r="AB785" s="46" t="s">
        <v>37</v>
      </c>
      <c r="AC785" s="46" t="s">
        <v>59</v>
      </c>
      <c r="AD785" s="46" t="s">
        <v>59</v>
      </c>
      <c r="AE785" s="46" t="s">
        <v>59</v>
      </c>
      <c r="AF785" s="46" t="s">
        <v>59</v>
      </c>
      <c r="AG785" s="46" t="s">
        <v>59</v>
      </c>
      <c r="AH785" s="46" t="s">
        <v>43</v>
      </c>
      <c r="AI785" s="46" t="s">
        <v>37</v>
      </c>
      <c r="AJ785" s="46">
        <f>=SUM(E786:AI786)</f>
      </c>
      <c r="AK785" s="46">
        <f>=+AY785</f>
      </c>
      <c r="AL785" s="46"/>
      <c r="AM785" s="1"/>
      <c r="AN785" s="1">
        <f>=COUNTIF(E785:AI785,"A")+COUNTIF(E785:AI785,"B")+COUNTIF(E785:AI785,"C")+COUNTIF(E785:AI785,"D")+COUNTIF(E785:AI785,"E")+COUNTIF(E785:AI785,"F")+COUNTIF(E785:AI785,"M")+COUNTIF(E785:AI785,"AB")+COUNTIF(E785:AI785,"UZ")+COUNTIF(E785:AI785,"G")+(COUNTIF(E785:AI785,"RT.")/2)+(COUNTIF(E785:AI785,"ÇRT.")/2)</f>
      </c>
      <c r="AO785" s="1">
        <f>=COUNTIF(E785:AI785,"O")</f>
      </c>
      <c r="AP785" s="1">
        <f>=COUNTIF(E785:AI785,"RT")+(COUNTIF(E785:AI785,"RT.")/2)</f>
      </c>
      <c r="AQ785" s="1">
        <f>=COUNTIF(E785:AI785,"ÇRT")+(COUNTIF(E785:AI785,"ÇRT.")/2)</f>
      </c>
      <c r="AR785" s="1">
        <f>=COUNTIF(E785:AI785,"ÇHT")</f>
      </c>
      <c r="AS785" s="1">
        <f>=COUNTIF(E785:AI785,"Ö")+COUNTIF(E785:AI785,"T")</f>
      </c>
      <c r="AT785" s="1">
        <f>=COUNTIF(E785:AI785,"Y")</f>
      </c>
      <c r="AU785" s="1">
        <f>=COUNTIF(E785:AI785,"R.")</f>
      </c>
      <c r="AV785" s="1">
        <f>=COUNTIF(E785:AI785,"Ü")</f>
      </c>
      <c r="AW785" s="1">
        <f>=COUNTIF(E785:AI785,"R")</f>
      </c>
      <c r="AX785" s="1">
        <f>=COUNTIF(E785:AI785,"DV")</f>
      </c>
      <c r="AY785" s="1">
        <f>=+AN785+AO785+AP785+AQ785+AR785+AS785+AT785+AU785</f>
      </c>
    </row>
    <row r="786" ht="16" customHeight="1" spans="1:51" x14ac:dyDescent="0.25">
      <c r="A786" s="45"/>
      <c r="B786" s="46"/>
      <c r="C786" s="46"/>
      <c r="D786" s="46" t="s">
        <v>33</v>
      </c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  <c r="AB786" s="46"/>
      <c r="AC786" s="46"/>
      <c r="AD786" s="46"/>
      <c r="AE786" s="46"/>
      <c r="AF786" s="46"/>
      <c r="AG786" s="46"/>
      <c r="AH786" s="46"/>
      <c r="AI786" s="46"/>
      <c r="AJ786" s="46"/>
      <c r="AK786" s="46"/>
      <c r="AL786" s="46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</row>
    <row r="787" ht="16" customHeight="1" spans="1:51" x14ac:dyDescent="0.25">
      <c r="A787" s="45"/>
      <c r="B787" s="46" t="s">
        <v>828</v>
      </c>
      <c r="C787" s="46" t="s">
        <v>829</v>
      </c>
      <c r="D787" s="46" t="s">
        <v>29</v>
      </c>
      <c r="E787" s="46" t="s">
        <v>36</v>
      </c>
      <c r="F787" s="46" t="s">
        <v>37</v>
      </c>
      <c r="G787" s="46" t="s">
        <v>36</v>
      </c>
      <c r="H787" s="46" t="s">
        <v>36</v>
      </c>
      <c r="I787" s="46" t="s">
        <v>36</v>
      </c>
      <c r="J787" s="46" t="s">
        <v>36</v>
      </c>
      <c r="K787" s="46" t="s">
        <v>36</v>
      </c>
      <c r="L787" s="46" t="s">
        <v>36</v>
      </c>
      <c r="M787" s="46" t="s">
        <v>37</v>
      </c>
      <c r="N787" s="46" t="s">
        <v>36</v>
      </c>
      <c r="O787" s="46" t="s">
        <v>36</v>
      </c>
      <c r="P787" s="46" t="s">
        <v>36</v>
      </c>
      <c r="Q787" s="46" t="s">
        <v>36</v>
      </c>
      <c r="R787" s="46" t="s">
        <v>36</v>
      </c>
      <c r="S787" s="46" t="s">
        <v>36</v>
      </c>
      <c r="T787" s="46" t="s">
        <v>37</v>
      </c>
      <c r="U787" s="46" t="s">
        <v>36</v>
      </c>
      <c r="V787" s="46" t="s">
        <v>36</v>
      </c>
      <c r="W787" s="46" t="s">
        <v>36</v>
      </c>
      <c r="X787" s="46" t="s">
        <v>36</v>
      </c>
      <c r="Y787" s="46" t="s">
        <v>36</v>
      </c>
      <c r="Z787" s="46" t="s">
        <v>36</v>
      </c>
      <c r="AA787" s="46" t="s">
        <v>37</v>
      </c>
      <c r="AB787" s="46" t="s">
        <v>36</v>
      </c>
      <c r="AC787" s="46" t="s">
        <v>36</v>
      </c>
      <c r="AD787" s="46" t="s">
        <v>36</v>
      </c>
      <c r="AE787" s="46" t="s">
        <v>36</v>
      </c>
      <c r="AF787" s="46" t="s">
        <v>36</v>
      </c>
      <c r="AG787" s="46" t="s">
        <v>36</v>
      </c>
      <c r="AH787" s="46" t="s">
        <v>222</v>
      </c>
      <c r="AI787" s="46" t="s">
        <v>36</v>
      </c>
      <c r="AJ787" s="46">
        <f>=SUM(E788:AI788)</f>
      </c>
      <c r="AK787" s="46">
        <f>=+AY787</f>
      </c>
      <c r="AL787" s="46"/>
      <c r="AM787" s="1"/>
      <c r="AN787" s="1">
        <f>=COUNTIF(E787:AI787,"A")+COUNTIF(E787:AI787,"B")+COUNTIF(E787:AI787,"C")+COUNTIF(E787:AI787,"D")+COUNTIF(E787:AI787,"E")+COUNTIF(E787:AI787,"F")+COUNTIF(E787:AI787,"M")+COUNTIF(E787:AI787,"AB")+COUNTIF(E787:AI787,"UZ")+COUNTIF(E787:AI787,"G")+(COUNTIF(E787:AI787,"RT.")/2)+(COUNTIF(E787:AI787,"ÇRT.")/2)</f>
      </c>
      <c r="AO787" s="1">
        <f>=COUNTIF(E787:AI787,"O")</f>
      </c>
      <c r="AP787" s="1">
        <f>=COUNTIF(E787:AI787,"RT")+(COUNTIF(E787:AI787,"RT.")/2)</f>
      </c>
      <c r="AQ787" s="1">
        <f>=COUNTIF(E787:AI787,"ÇRT")+(COUNTIF(E787:AI787,"ÇRT.")/2)</f>
      </c>
      <c r="AR787" s="1">
        <f>=COUNTIF(E787:AI787,"ÇHT")</f>
      </c>
      <c r="AS787" s="1">
        <f>=COUNTIF(E787:AI787,"Ö")+COUNTIF(E787:AI787,"T")</f>
      </c>
      <c r="AT787" s="1">
        <f>=COUNTIF(E787:AI787,"Y")</f>
      </c>
      <c r="AU787" s="1">
        <f>=COUNTIF(E787:AI787,"R.")</f>
      </c>
      <c r="AV787" s="1">
        <f>=COUNTIF(E787:AI787,"Ü")</f>
      </c>
      <c r="AW787" s="1">
        <f>=COUNTIF(E787:AI787,"R")</f>
      </c>
      <c r="AX787" s="1">
        <f>=COUNTIF(E787:AI787,"DV")</f>
      </c>
      <c r="AY787" s="1">
        <f>=+AN787+AO787+AP787+AQ787+AR787+AS787+AT787+AU787</f>
      </c>
    </row>
    <row r="788" ht="16" customHeight="1" spans="1:51" x14ac:dyDescent="0.25">
      <c r="A788" s="45"/>
      <c r="B788" s="46"/>
      <c r="C788" s="46"/>
      <c r="D788" s="46" t="s">
        <v>33</v>
      </c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  <c r="AC788" s="46"/>
      <c r="AD788" s="46"/>
      <c r="AE788" s="46"/>
      <c r="AF788" s="46"/>
      <c r="AG788" s="46">
        <v>3</v>
      </c>
      <c r="AH788" s="46">
        <v>2</v>
      </c>
      <c r="AI788" s="46"/>
      <c r="AJ788" s="46"/>
      <c r="AK788" s="46"/>
      <c r="AL788" s="46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</row>
    <row r="789" ht="16" customHeight="1" spans="1:51" x14ac:dyDescent="0.25">
      <c r="A789" s="45"/>
      <c r="B789" s="46" t="s">
        <v>830</v>
      </c>
      <c r="C789" s="46" t="s">
        <v>831</v>
      </c>
      <c r="D789" s="46" t="s">
        <v>29</v>
      </c>
      <c r="E789" s="46" t="s">
        <v>36</v>
      </c>
      <c r="F789" s="46" t="s">
        <v>36</v>
      </c>
      <c r="G789" s="46" t="s">
        <v>37</v>
      </c>
      <c r="H789" s="46" t="s">
        <v>36</v>
      </c>
      <c r="I789" s="46" t="s">
        <v>36</v>
      </c>
      <c r="J789" s="46" t="s">
        <v>36</v>
      </c>
      <c r="K789" s="46" t="s">
        <v>36</v>
      </c>
      <c r="L789" s="46" t="s">
        <v>36</v>
      </c>
      <c r="M789" s="46" t="s">
        <v>36</v>
      </c>
      <c r="N789" s="46" t="s">
        <v>222</v>
      </c>
      <c r="O789" s="46" t="s">
        <v>36</v>
      </c>
      <c r="P789" s="46" t="s">
        <v>36</v>
      </c>
      <c r="Q789" s="46" t="s">
        <v>36</v>
      </c>
      <c r="R789" s="46" t="s">
        <v>36</v>
      </c>
      <c r="S789" s="46" t="s">
        <v>36</v>
      </c>
      <c r="T789" s="46" t="s">
        <v>36</v>
      </c>
      <c r="U789" s="46" t="s">
        <v>37</v>
      </c>
      <c r="V789" s="46" t="s">
        <v>36</v>
      </c>
      <c r="W789" s="46" t="s">
        <v>36</v>
      </c>
      <c r="X789" s="46" t="s">
        <v>36</v>
      </c>
      <c r="Y789" s="46" t="s">
        <v>36</v>
      </c>
      <c r="Z789" s="46" t="s">
        <v>36</v>
      </c>
      <c r="AA789" s="46" t="s">
        <v>36</v>
      </c>
      <c r="AB789" s="46" t="s">
        <v>37</v>
      </c>
      <c r="AC789" s="46" t="s">
        <v>36</v>
      </c>
      <c r="AD789" s="46" t="s">
        <v>36</v>
      </c>
      <c r="AE789" s="46" t="s">
        <v>36</v>
      </c>
      <c r="AF789" s="46" t="s">
        <v>36</v>
      </c>
      <c r="AG789" s="46" t="s">
        <v>36</v>
      </c>
      <c r="AH789" s="46" t="s">
        <v>43</v>
      </c>
      <c r="AI789" s="46" t="s">
        <v>37</v>
      </c>
      <c r="AJ789" s="46">
        <f>=SUM(E790:AI790)</f>
      </c>
      <c r="AK789" s="46">
        <f>=+AY789</f>
      </c>
      <c r="AL789" s="46"/>
      <c r="AM789" s="1"/>
      <c r="AN789" s="1">
        <f>=COUNTIF(E789:AI789,"A")+COUNTIF(E789:AI789,"B")+COUNTIF(E789:AI789,"C")+COUNTIF(E789:AI789,"D")+COUNTIF(E789:AI789,"E")+COUNTIF(E789:AI789,"F")+COUNTIF(E789:AI789,"M")+COUNTIF(E789:AI789,"AB")+COUNTIF(E789:AI789,"UZ")+COUNTIF(E789:AI789,"G")+(COUNTIF(E789:AI789,"RT.")/2)+(COUNTIF(E789:AI789,"ÇRT.")/2)</f>
      </c>
      <c r="AO789" s="1">
        <f>=COUNTIF(E789:AI789,"O")</f>
      </c>
      <c r="AP789" s="1">
        <f>=COUNTIF(E789:AI789,"RT")+(COUNTIF(E789:AI789,"RT.")/2)</f>
      </c>
      <c r="AQ789" s="1">
        <f>=COUNTIF(E789:AI789,"ÇRT")+(COUNTIF(E789:AI789,"ÇRT.")/2)</f>
      </c>
      <c r="AR789" s="1">
        <f>=COUNTIF(E789:AI789,"ÇHT")</f>
      </c>
      <c r="AS789" s="1">
        <f>=COUNTIF(E789:AI789,"Ö")+COUNTIF(E789:AI789,"T")</f>
      </c>
      <c r="AT789" s="1">
        <f>=COUNTIF(E789:AI789,"Y")</f>
      </c>
      <c r="AU789" s="1">
        <f>=COUNTIF(E789:AI789,"R.")</f>
      </c>
      <c r="AV789" s="1">
        <f>=COUNTIF(E789:AI789,"Ü")</f>
      </c>
      <c r="AW789" s="1">
        <f>=COUNTIF(E789:AI789,"R")</f>
      </c>
      <c r="AX789" s="1">
        <f>=COUNTIF(E789:AI789,"DV")</f>
      </c>
      <c r="AY789" s="1">
        <f>=+AN789+AO789+AP789+AQ789+AR789+AS789+AT789+AU789</f>
      </c>
    </row>
    <row r="790" ht="16" customHeight="1" spans="1:51" x14ac:dyDescent="0.25">
      <c r="A790" s="45"/>
      <c r="B790" s="46"/>
      <c r="C790" s="46"/>
      <c r="D790" s="46" t="s">
        <v>33</v>
      </c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  <c r="AB790" s="46"/>
      <c r="AC790" s="46"/>
      <c r="AD790" s="46"/>
      <c r="AE790" s="46"/>
      <c r="AF790" s="46"/>
      <c r="AG790" s="46">
        <v>3</v>
      </c>
      <c r="AH790" s="46">
        <v>2</v>
      </c>
      <c r="AI790" s="46"/>
      <c r="AJ790" s="46"/>
      <c r="AK790" s="46"/>
      <c r="AL790" s="46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</row>
    <row r="791" ht="16" customHeight="1" spans="1:51" x14ac:dyDescent="0.25">
      <c r="A791" s="45"/>
      <c r="B791" s="46" t="s">
        <v>832</v>
      </c>
      <c r="C791" s="46" t="s">
        <v>833</v>
      </c>
      <c r="D791" s="46" t="s">
        <v>29</v>
      </c>
      <c r="E791" s="46" t="s">
        <v>37</v>
      </c>
      <c r="F791" s="46" t="s">
        <v>36</v>
      </c>
      <c r="G791" s="46" t="s">
        <v>36</v>
      </c>
      <c r="H791" s="46" t="s">
        <v>36</v>
      </c>
      <c r="I791" s="46" t="s">
        <v>36</v>
      </c>
      <c r="J791" s="46" t="s">
        <v>36</v>
      </c>
      <c r="K791" s="46" t="s">
        <v>36</v>
      </c>
      <c r="L791" s="46" t="s">
        <v>222</v>
      </c>
      <c r="M791" s="46" t="s">
        <v>36</v>
      </c>
      <c r="N791" s="46" t="s">
        <v>36</v>
      </c>
      <c r="O791" s="46" t="s">
        <v>36</v>
      </c>
      <c r="P791" s="46" t="s">
        <v>36</v>
      </c>
      <c r="Q791" s="46" t="s">
        <v>36</v>
      </c>
      <c r="R791" s="46" t="s">
        <v>36</v>
      </c>
      <c r="S791" s="46" t="s">
        <v>37</v>
      </c>
      <c r="T791" s="46" t="s">
        <v>36</v>
      </c>
      <c r="U791" s="46" t="s">
        <v>36</v>
      </c>
      <c r="V791" s="46" t="s">
        <v>36</v>
      </c>
      <c r="W791" s="46" t="s">
        <v>36</v>
      </c>
      <c r="X791" s="46" t="s">
        <v>36</v>
      </c>
      <c r="Y791" s="46" t="s">
        <v>36</v>
      </c>
      <c r="Z791" s="46" t="s">
        <v>37</v>
      </c>
      <c r="AA791" s="46" t="s">
        <v>36</v>
      </c>
      <c r="AB791" s="46" t="s">
        <v>36</v>
      </c>
      <c r="AC791" s="46" t="s">
        <v>36</v>
      </c>
      <c r="AD791" s="46" t="s">
        <v>36</v>
      </c>
      <c r="AE791" s="46" t="s">
        <v>36</v>
      </c>
      <c r="AF791" s="46" t="s">
        <v>36</v>
      </c>
      <c r="AG791" s="46" t="s">
        <v>37</v>
      </c>
      <c r="AH791" s="46" t="s">
        <v>43</v>
      </c>
      <c r="AI791" s="46" t="s">
        <v>36</v>
      </c>
      <c r="AJ791" s="46">
        <f>=SUM(E792:AI792)</f>
      </c>
      <c r="AK791" s="46">
        <f>=+AY791</f>
      </c>
      <c r="AL791" s="46"/>
      <c r="AM791" s="1"/>
      <c r="AN791" s="1">
        <f>=COUNTIF(E791:AI791,"A")+COUNTIF(E791:AI791,"B")+COUNTIF(E791:AI791,"C")+COUNTIF(E791:AI791,"D")+COUNTIF(E791:AI791,"E")+COUNTIF(E791:AI791,"F")+COUNTIF(E791:AI791,"M")+COUNTIF(E791:AI791,"AB")+COUNTIF(E791:AI791,"UZ")+COUNTIF(E791:AI791,"G")+(COUNTIF(E791:AI791,"RT.")/2)+(COUNTIF(E791:AI791,"ÇRT.")/2)</f>
      </c>
      <c r="AO791" s="1">
        <f>=COUNTIF(E791:AI791,"O")</f>
      </c>
      <c r="AP791" s="1">
        <f>=COUNTIF(E791:AI791,"RT")+(COUNTIF(E791:AI791,"RT.")/2)</f>
      </c>
      <c r="AQ791" s="1">
        <f>=COUNTIF(E791:AI791,"ÇRT")+(COUNTIF(E791:AI791,"ÇRT.")/2)</f>
      </c>
      <c r="AR791" s="1">
        <f>=COUNTIF(E791:AI791,"ÇHT")</f>
      </c>
      <c r="AS791" s="1">
        <f>=COUNTIF(E791:AI791,"Ö")+COUNTIF(E791:AI791,"T")</f>
      </c>
      <c r="AT791" s="1">
        <f>=COUNTIF(E791:AI791,"Y")</f>
      </c>
      <c r="AU791" s="1">
        <f>=COUNTIF(E791:AI791,"R.")</f>
      </c>
      <c r="AV791" s="1">
        <f>=COUNTIF(E791:AI791,"Ü")</f>
      </c>
      <c r="AW791" s="1">
        <f>=COUNTIF(E791:AI791,"R")</f>
      </c>
      <c r="AX791" s="1">
        <f>=COUNTIF(E791:AI791,"DV")</f>
      </c>
      <c r="AY791" s="1">
        <f>=+AN791+AO791+AP791+AQ791+AR791+AS791+AT791+AU791</f>
      </c>
    </row>
    <row r="792" ht="16" customHeight="1" spans="1:51" x14ac:dyDescent="0.25">
      <c r="A792" s="45"/>
      <c r="B792" s="46"/>
      <c r="C792" s="46"/>
      <c r="D792" s="46" t="s">
        <v>33</v>
      </c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  <c r="AB792" s="46"/>
      <c r="AC792" s="46"/>
      <c r="AD792" s="46"/>
      <c r="AE792" s="46"/>
      <c r="AF792" s="46"/>
      <c r="AG792" s="46"/>
      <c r="AH792" s="46"/>
      <c r="AI792" s="46"/>
      <c r="AJ792" s="46"/>
      <c r="AK792" s="46"/>
      <c r="AL792" s="46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</row>
    <row r="793" ht="16" customHeight="1" spans="1:51" x14ac:dyDescent="0.25">
      <c r="A793" s="45"/>
      <c r="B793" s="46" t="s">
        <v>834</v>
      </c>
      <c r="C793" s="46" t="s">
        <v>835</v>
      </c>
      <c r="D793" s="46" t="s">
        <v>29</v>
      </c>
      <c r="E793" s="46" t="s">
        <v>36</v>
      </c>
      <c r="F793" s="46" t="s">
        <v>37</v>
      </c>
      <c r="G793" s="46" t="s">
        <v>36</v>
      </c>
      <c r="H793" s="46" t="s">
        <v>37</v>
      </c>
      <c r="I793" s="46" t="s">
        <v>36</v>
      </c>
      <c r="J793" s="46" t="s">
        <v>36</v>
      </c>
      <c r="K793" s="46" t="s">
        <v>36</v>
      </c>
      <c r="L793" s="46" t="s">
        <v>36</v>
      </c>
      <c r="M793" s="46" t="s">
        <v>36</v>
      </c>
      <c r="N793" s="46" t="s">
        <v>36</v>
      </c>
      <c r="O793" s="46" t="s">
        <v>36</v>
      </c>
      <c r="P793" s="46" t="s">
        <v>36</v>
      </c>
      <c r="Q793" s="46" t="s">
        <v>36</v>
      </c>
      <c r="R793" s="46" t="s">
        <v>36</v>
      </c>
      <c r="S793" s="46" t="s">
        <v>37</v>
      </c>
      <c r="T793" s="46" t="s">
        <v>36</v>
      </c>
      <c r="U793" s="46" t="s">
        <v>36</v>
      </c>
      <c r="V793" s="46" t="s">
        <v>36</v>
      </c>
      <c r="W793" s="46" t="s">
        <v>36</v>
      </c>
      <c r="X793" s="46" t="s">
        <v>36</v>
      </c>
      <c r="Y793" s="46" t="s">
        <v>36</v>
      </c>
      <c r="Z793" s="46" t="s">
        <v>36</v>
      </c>
      <c r="AA793" s="46" t="s">
        <v>37</v>
      </c>
      <c r="AB793" s="46" t="s">
        <v>36</v>
      </c>
      <c r="AC793" s="46" t="s">
        <v>36</v>
      </c>
      <c r="AD793" s="46" t="s">
        <v>36</v>
      </c>
      <c r="AE793" s="46" t="s">
        <v>36</v>
      </c>
      <c r="AF793" s="46" t="s">
        <v>36</v>
      </c>
      <c r="AG793" s="46" t="s">
        <v>36</v>
      </c>
      <c r="AH793" s="46" t="s">
        <v>222</v>
      </c>
      <c r="AI793" s="46" t="s">
        <v>31</v>
      </c>
      <c r="AJ793" s="46">
        <f>=SUM(E794:AI794)</f>
      </c>
      <c r="AK793" s="46">
        <f>=+AY793</f>
      </c>
      <c r="AL793" s="46"/>
      <c r="AM793" s="1"/>
      <c r="AN793" s="1">
        <f>=COUNTIF(E793:AI793,"A")+COUNTIF(E793:AI793,"B")+COUNTIF(E793:AI793,"C")+COUNTIF(E793:AI793,"D")+COUNTIF(E793:AI793,"E")+COUNTIF(E793:AI793,"F")+COUNTIF(E793:AI793,"M")+COUNTIF(E793:AI793,"AB")+COUNTIF(E793:AI793,"UZ")+COUNTIF(E793:AI793,"G")+(COUNTIF(E793:AI793,"RT.")/2)+(COUNTIF(E793:AI793,"ÇRT.")/2)</f>
      </c>
      <c r="AO793" s="1">
        <f>=COUNTIF(E793:AI793,"O")</f>
      </c>
      <c r="AP793" s="1">
        <f>=COUNTIF(E793:AI793,"RT")+(COUNTIF(E793:AI793,"RT.")/2)</f>
      </c>
      <c r="AQ793" s="1">
        <f>=COUNTIF(E793:AI793,"ÇRT")+(COUNTIF(E793:AI793,"ÇRT.")/2)</f>
      </c>
      <c r="AR793" s="1">
        <f>=COUNTIF(E793:AI793,"ÇHT")</f>
      </c>
      <c r="AS793" s="1">
        <f>=COUNTIF(E793:AI793,"Ö")+COUNTIF(E793:AI793,"T")</f>
      </c>
      <c r="AT793" s="1">
        <f>=COUNTIF(E793:AI793,"Y")</f>
      </c>
      <c r="AU793" s="1">
        <f>=COUNTIF(E793:AI793,"R.")</f>
      </c>
      <c r="AV793" s="1">
        <f>=COUNTIF(E793:AI793,"Ü")</f>
      </c>
      <c r="AW793" s="1">
        <f>=COUNTIF(E793:AI793,"R")</f>
      </c>
      <c r="AX793" s="1">
        <f>=COUNTIF(E793:AI793,"DV")</f>
      </c>
      <c r="AY793" s="1">
        <f>=+AN793+AO793+AP793+AQ793+AR793+AS793+AT793+AU793</f>
      </c>
    </row>
    <row r="794" ht="16" customHeight="1" spans="1:51" x14ac:dyDescent="0.25">
      <c r="A794" s="45"/>
      <c r="B794" s="46"/>
      <c r="C794" s="46"/>
      <c r="D794" s="46" t="s">
        <v>33</v>
      </c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  <c r="AB794" s="46"/>
      <c r="AC794" s="46"/>
      <c r="AD794" s="46"/>
      <c r="AE794" s="46"/>
      <c r="AF794" s="46">
        <v>2</v>
      </c>
      <c r="AG794" s="46">
        <v>2</v>
      </c>
      <c r="AH794" s="46"/>
      <c r="AI794" s="46"/>
      <c r="AJ794" s="46"/>
      <c r="AK794" s="46"/>
      <c r="AL794" s="46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</row>
    <row r="795" ht="16" customHeight="1" spans="1:51" x14ac:dyDescent="0.25">
      <c r="A795" s="45"/>
      <c r="B795" s="46" t="s">
        <v>836</v>
      </c>
      <c r="C795" s="46" t="s">
        <v>837</v>
      </c>
      <c r="D795" s="46" t="s">
        <v>29</v>
      </c>
      <c r="E795" s="46" t="s">
        <v>36</v>
      </c>
      <c r="F795" s="46" t="s">
        <v>36</v>
      </c>
      <c r="G795" s="46" t="s">
        <v>36</v>
      </c>
      <c r="H795" s="46" t="s">
        <v>37</v>
      </c>
      <c r="I795" s="46" t="s">
        <v>36</v>
      </c>
      <c r="J795" s="46" t="s">
        <v>36</v>
      </c>
      <c r="K795" s="46" t="s">
        <v>36</v>
      </c>
      <c r="L795" s="46" t="s">
        <v>36</v>
      </c>
      <c r="M795" s="46" t="s">
        <v>36</v>
      </c>
      <c r="N795" s="46" t="s">
        <v>36</v>
      </c>
      <c r="O795" s="46" t="s">
        <v>37</v>
      </c>
      <c r="P795" s="46" t="s">
        <v>36</v>
      </c>
      <c r="Q795" s="46" t="s">
        <v>36</v>
      </c>
      <c r="R795" s="46" t="s">
        <v>36</v>
      </c>
      <c r="S795" s="46" t="s">
        <v>36</v>
      </c>
      <c r="T795" s="46" t="s">
        <v>36</v>
      </c>
      <c r="U795" s="46" t="s">
        <v>36</v>
      </c>
      <c r="V795" s="46" t="s">
        <v>37</v>
      </c>
      <c r="W795" s="46" t="s">
        <v>36</v>
      </c>
      <c r="X795" s="46" t="s">
        <v>36</v>
      </c>
      <c r="Y795" s="46" t="s">
        <v>36</v>
      </c>
      <c r="Z795" s="46" t="s">
        <v>36</v>
      </c>
      <c r="AA795" s="46" t="s">
        <v>36</v>
      </c>
      <c r="AB795" s="46" t="s">
        <v>36</v>
      </c>
      <c r="AC795" s="46" t="s">
        <v>37</v>
      </c>
      <c r="AD795" s="46" t="s">
        <v>36</v>
      </c>
      <c r="AE795" s="46" t="s">
        <v>36</v>
      </c>
      <c r="AF795" s="46" t="s">
        <v>36</v>
      </c>
      <c r="AG795" s="46" t="s">
        <v>36</v>
      </c>
      <c r="AH795" s="46" t="s">
        <v>43</v>
      </c>
      <c r="AI795" s="46" t="s">
        <v>36</v>
      </c>
      <c r="AJ795" s="46">
        <f>=SUM(E796:AI796)</f>
      </c>
      <c r="AK795" s="46">
        <f>=+AY795</f>
      </c>
      <c r="AL795" s="46"/>
      <c r="AM795" s="1"/>
      <c r="AN795" s="1">
        <f>=COUNTIF(E795:AI795,"A")+COUNTIF(E795:AI795,"B")+COUNTIF(E795:AI795,"C")+COUNTIF(E795:AI795,"D")+COUNTIF(E795:AI795,"E")+COUNTIF(E795:AI795,"F")+COUNTIF(E795:AI795,"M")+COUNTIF(E795:AI795,"AB")+COUNTIF(E795:AI795,"UZ")+COUNTIF(E795:AI795,"G")+(COUNTIF(E795:AI795,"RT.")/2)+(COUNTIF(E795:AI795,"ÇRT.")/2)</f>
      </c>
      <c r="AO795" s="1">
        <f>=COUNTIF(E795:AI795,"O")</f>
      </c>
      <c r="AP795" s="1">
        <f>=COUNTIF(E795:AI795,"RT")+(COUNTIF(E795:AI795,"RT.")/2)</f>
      </c>
      <c r="AQ795" s="1">
        <f>=COUNTIF(E795:AI795,"ÇRT")+(COUNTIF(E795:AI795,"ÇRT.")/2)</f>
      </c>
      <c r="AR795" s="1">
        <f>=COUNTIF(E795:AI795,"ÇHT")</f>
      </c>
      <c r="AS795" s="1">
        <f>=COUNTIF(E795:AI795,"Ö")+COUNTIF(E795:AI795,"T")</f>
      </c>
      <c r="AT795" s="1">
        <f>=COUNTIF(E795:AI795,"Y")</f>
      </c>
      <c r="AU795" s="1">
        <f>=COUNTIF(E795:AI795,"R.")</f>
      </c>
      <c r="AV795" s="1">
        <f>=COUNTIF(E795:AI795,"Ü")</f>
      </c>
      <c r="AW795" s="1">
        <f>=COUNTIF(E795:AI795,"R")</f>
      </c>
      <c r="AX795" s="1">
        <f>=COUNTIF(E795:AI795,"DV")</f>
      </c>
      <c r="AY795" s="1">
        <f>=+AN795+AO795+AP795+AQ795+AR795+AS795+AT795+AU795</f>
      </c>
    </row>
    <row r="796" ht="16" customHeight="1" spans="1:51" x14ac:dyDescent="0.25">
      <c r="A796" s="45"/>
      <c r="B796" s="46"/>
      <c r="C796" s="46"/>
      <c r="D796" s="46" t="s">
        <v>33</v>
      </c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  <c r="AB796" s="46"/>
      <c r="AC796" s="46"/>
      <c r="AD796" s="46"/>
      <c r="AE796" s="46"/>
      <c r="AF796" s="46">
        <v>2</v>
      </c>
      <c r="AG796" s="46"/>
      <c r="AH796" s="46"/>
      <c r="AI796" s="46"/>
      <c r="AJ796" s="46"/>
      <c r="AK796" s="46"/>
      <c r="AL796" s="46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</row>
    <row r="797" ht="16" customHeight="1" spans="1:51" x14ac:dyDescent="0.25">
      <c r="A797" s="45"/>
      <c r="B797" s="46" t="s">
        <v>838</v>
      </c>
      <c r="C797" s="46" t="s">
        <v>839</v>
      </c>
      <c r="D797" s="46" t="s">
        <v>29</v>
      </c>
      <c r="E797" s="46" t="s">
        <v>59</v>
      </c>
      <c r="F797" s="46" t="s">
        <v>59</v>
      </c>
      <c r="G797" s="46" t="s">
        <v>59</v>
      </c>
      <c r="H797" s="46" t="s">
        <v>59</v>
      </c>
      <c r="I797" s="46" t="s">
        <v>59</v>
      </c>
      <c r="J797" s="46" t="s">
        <v>59</v>
      </c>
      <c r="K797" s="46" t="s">
        <v>37</v>
      </c>
      <c r="L797" s="46" t="s">
        <v>59</v>
      </c>
      <c r="M797" s="46" t="s">
        <v>59</v>
      </c>
      <c r="N797" s="46" t="s">
        <v>59</v>
      </c>
      <c r="O797" s="46" t="s">
        <v>59</v>
      </c>
      <c r="P797" s="46" t="s">
        <v>59</v>
      </c>
      <c r="Q797" s="46" t="s">
        <v>59</v>
      </c>
      <c r="R797" s="46" t="s">
        <v>37</v>
      </c>
      <c r="S797" s="46" t="s">
        <v>59</v>
      </c>
      <c r="T797" s="46" t="s">
        <v>59</v>
      </c>
      <c r="U797" s="46" t="s">
        <v>59</v>
      </c>
      <c r="V797" s="46" t="s">
        <v>59</v>
      </c>
      <c r="W797" s="46" t="s">
        <v>59</v>
      </c>
      <c r="X797" s="46" t="s">
        <v>59</v>
      </c>
      <c r="Y797" s="46" t="s">
        <v>37</v>
      </c>
      <c r="Z797" s="46" t="s">
        <v>59</v>
      </c>
      <c r="AA797" s="46" t="s">
        <v>59</v>
      </c>
      <c r="AB797" s="46" t="s">
        <v>59</v>
      </c>
      <c r="AC797" s="46" t="s">
        <v>59</v>
      </c>
      <c r="AD797" s="46" t="s">
        <v>59</v>
      </c>
      <c r="AE797" s="46" t="s">
        <v>59</v>
      </c>
      <c r="AF797" s="46" t="s">
        <v>37</v>
      </c>
      <c r="AG797" s="46" t="s">
        <v>59</v>
      </c>
      <c r="AH797" s="46" t="s">
        <v>43</v>
      </c>
      <c r="AI797" s="46" t="s">
        <v>59</v>
      </c>
      <c r="AJ797" s="46">
        <f>=SUM(E798:AI798)</f>
      </c>
      <c r="AK797" s="46">
        <f>=+AY797</f>
      </c>
      <c r="AL797" s="46"/>
      <c r="AM797" s="1"/>
      <c r="AN797" s="1">
        <f>=COUNTIF(E797:AI797,"A")+COUNTIF(E797:AI797,"B")+COUNTIF(E797:AI797,"C")+COUNTIF(E797:AI797,"D")+COUNTIF(E797:AI797,"E")+COUNTIF(E797:AI797,"F")+COUNTIF(E797:AI797,"M")+COUNTIF(E797:AI797,"AB")+COUNTIF(E797:AI797,"UZ")+COUNTIF(E797:AI797,"G")+(COUNTIF(E797:AI797,"RT.")/2)+(COUNTIF(E797:AI797,"ÇRT.")/2)</f>
      </c>
      <c r="AO797" s="1">
        <f>=COUNTIF(E797:AI797,"O")</f>
      </c>
      <c r="AP797" s="1">
        <f>=COUNTIF(E797:AI797,"RT")+(COUNTIF(E797:AI797,"RT.")/2)</f>
      </c>
      <c r="AQ797" s="1">
        <f>=COUNTIF(E797:AI797,"ÇRT")+(COUNTIF(E797:AI797,"ÇRT.")/2)</f>
      </c>
      <c r="AR797" s="1">
        <f>=COUNTIF(E797:AI797,"ÇHT")</f>
      </c>
      <c r="AS797" s="1">
        <f>=COUNTIF(E797:AI797,"Ö")+COUNTIF(E797:AI797,"T")</f>
      </c>
      <c r="AT797" s="1">
        <f>=COUNTIF(E797:AI797,"Y")</f>
      </c>
      <c r="AU797" s="1">
        <f>=COUNTIF(E797:AI797,"R.")</f>
      </c>
      <c r="AV797" s="1">
        <f>=COUNTIF(E797:AI797,"Ü")</f>
      </c>
      <c r="AW797" s="1">
        <f>=COUNTIF(E797:AI797,"R")</f>
      </c>
      <c r="AX797" s="1">
        <f>=COUNTIF(E797:AI797,"DV")</f>
      </c>
      <c r="AY797" s="1">
        <f>=+AN797+AO797+AP797+AQ797+AR797+AS797+AT797+AU797</f>
      </c>
    </row>
    <row r="798" ht="16" customHeight="1" spans="1:51" x14ac:dyDescent="0.25">
      <c r="A798" s="45"/>
      <c r="B798" s="46"/>
      <c r="C798" s="46"/>
      <c r="D798" s="46" t="s">
        <v>33</v>
      </c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  <c r="AB798" s="46"/>
      <c r="AC798" s="46"/>
      <c r="AD798" s="46"/>
      <c r="AE798" s="46"/>
      <c r="AF798" s="46"/>
      <c r="AG798" s="46"/>
      <c r="AH798" s="46"/>
      <c r="AI798" s="46"/>
      <c r="AJ798" s="46"/>
      <c r="AK798" s="46"/>
      <c r="AL798" s="46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</row>
    <row r="799" ht="16" customHeight="1" spans="1:51" x14ac:dyDescent="0.25">
      <c r="A799" s="45"/>
      <c r="B799" s="46" t="s">
        <v>840</v>
      </c>
      <c r="C799" s="46" t="s">
        <v>841</v>
      </c>
      <c r="D799" s="46" t="s">
        <v>29</v>
      </c>
      <c r="E799" s="46" t="s">
        <v>36</v>
      </c>
      <c r="F799" s="46" t="s">
        <v>36</v>
      </c>
      <c r="G799" s="46" t="s">
        <v>36</v>
      </c>
      <c r="H799" s="46" t="s">
        <v>36</v>
      </c>
      <c r="I799" s="46" t="s">
        <v>36</v>
      </c>
      <c r="J799" s="46" t="s">
        <v>36</v>
      </c>
      <c r="K799" s="46" t="s">
        <v>37</v>
      </c>
      <c r="L799" s="46" t="s">
        <v>36</v>
      </c>
      <c r="M799" s="46" t="s">
        <v>36</v>
      </c>
      <c r="N799" s="46" t="s">
        <v>36</v>
      </c>
      <c r="O799" s="46" t="s">
        <v>36</v>
      </c>
      <c r="P799" s="46" t="s">
        <v>36</v>
      </c>
      <c r="Q799" s="46" t="s">
        <v>36</v>
      </c>
      <c r="R799" s="46" t="s">
        <v>37</v>
      </c>
      <c r="S799" s="46" t="s">
        <v>36</v>
      </c>
      <c r="T799" s="46" t="s">
        <v>36</v>
      </c>
      <c r="U799" s="46" t="s">
        <v>36</v>
      </c>
      <c r="V799" s="46" t="s">
        <v>36</v>
      </c>
      <c r="W799" s="46" t="s">
        <v>36</v>
      </c>
      <c r="X799" s="46" t="s">
        <v>36</v>
      </c>
      <c r="Y799" s="46" t="s">
        <v>37</v>
      </c>
      <c r="Z799" s="46" t="s">
        <v>36</v>
      </c>
      <c r="AA799" s="46" t="s">
        <v>36</v>
      </c>
      <c r="AB799" s="46" t="s">
        <v>36</v>
      </c>
      <c r="AC799" s="46" t="s">
        <v>36</v>
      </c>
      <c r="AD799" s="46" t="s">
        <v>36</v>
      </c>
      <c r="AE799" s="46" t="s">
        <v>36</v>
      </c>
      <c r="AF799" s="46" t="s">
        <v>222</v>
      </c>
      <c r="AG799" s="46" t="s">
        <v>36</v>
      </c>
      <c r="AH799" s="46" t="s">
        <v>43</v>
      </c>
      <c r="AI799" s="46" t="s">
        <v>36</v>
      </c>
      <c r="AJ799" s="46">
        <f>=SUM(E800:AI800)</f>
      </c>
      <c r="AK799" s="46">
        <f>=+AY799</f>
      </c>
      <c r="AL799" s="46"/>
      <c r="AM799" s="1"/>
      <c r="AN799" s="1">
        <f>=COUNTIF(E799:AI799,"A")+COUNTIF(E799:AI799,"B")+COUNTIF(E799:AI799,"C")+COUNTIF(E799:AI799,"D")+COUNTIF(E799:AI799,"E")+COUNTIF(E799:AI799,"F")+COUNTIF(E799:AI799,"M")+COUNTIF(E799:AI799,"AB")+COUNTIF(E799:AI799,"UZ")+COUNTIF(E799:AI799,"G")+(COUNTIF(E799:AI799,"RT.")/2)+(COUNTIF(E799:AI799,"ÇRT.")/2)</f>
      </c>
      <c r="AO799" s="1">
        <f>=COUNTIF(E799:AI799,"O")</f>
      </c>
      <c r="AP799" s="1">
        <f>=COUNTIF(E799:AI799,"RT")+(COUNTIF(E799:AI799,"RT.")/2)</f>
      </c>
      <c r="AQ799" s="1">
        <f>=COUNTIF(E799:AI799,"ÇRT")+(COUNTIF(E799:AI799,"ÇRT.")/2)</f>
      </c>
      <c r="AR799" s="1">
        <f>=COUNTIF(E799:AI799,"ÇHT")</f>
      </c>
      <c r="AS799" s="1">
        <f>=COUNTIF(E799:AI799,"Ö")+COUNTIF(E799:AI799,"T")</f>
      </c>
      <c r="AT799" s="1">
        <f>=COUNTIF(E799:AI799,"Y")</f>
      </c>
      <c r="AU799" s="1">
        <f>=COUNTIF(E799:AI799,"R.")</f>
      </c>
      <c r="AV799" s="1">
        <f>=COUNTIF(E799:AI799,"Ü")</f>
      </c>
      <c r="AW799" s="1">
        <f>=COUNTIF(E799:AI799,"R")</f>
      </c>
      <c r="AX799" s="1">
        <f>=COUNTIF(E799:AI799,"DV")</f>
      </c>
      <c r="AY799" s="1">
        <f>=+AN799+AO799+AP799+AQ799+AR799+AS799+AT799+AU799</f>
      </c>
    </row>
    <row r="800" ht="16" customHeight="1" spans="1:51" x14ac:dyDescent="0.25">
      <c r="A800" s="45"/>
      <c r="B800" s="46"/>
      <c r="C800" s="46"/>
      <c r="D800" s="46" t="s">
        <v>33</v>
      </c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  <c r="AB800" s="46"/>
      <c r="AC800" s="46"/>
      <c r="AD800" s="46"/>
      <c r="AE800" s="46"/>
      <c r="AF800" s="46">
        <v>2</v>
      </c>
      <c r="AG800" s="46">
        <v>3</v>
      </c>
      <c r="AH800" s="46">
        <v>2</v>
      </c>
      <c r="AI800" s="46"/>
      <c r="AJ800" s="46"/>
      <c r="AK800" s="46"/>
      <c r="AL800" s="46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</row>
    <row r="801" ht="16" customHeight="1" spans="1:51" x14ac:dyDescent="0.25">
      <c r="A801" s="45"/>
      <c r="B801" s="46" t="s">
        <v>842</v>
      </c>
      <c r="C801" s="46" t="s">
        <v>843</v>
      </c>
      <c r="D801" s="46" t="s">
        <v>29</v>
      </c>
      <c r="E801" s="46" t="s">
        <v>36</v>
      </c>
      <c r="F801" s="46" t="s">
        <v>36</v>
      </c>
      <c r="G801" s="46" t="s">
        <v>36</v>
      </c>
      <c r="H801" s="46" t="s">
        <v>36</v>
      </c>
      <c r="I801" s="46" t="s">
        <v>36</v>
      </c>
      <c r="J801" s="46" t="s">
        <v>37</v>
      </c>
      <c r="K801" s="46" t="s">
        <v>36</v>
      </c>
      <c r="L801" s="46" t="s">
        <v>36</v>
      </c>
      <c r="M801" s="46" t="s">
        <v>153</v>
      </c>
      <c r="N801" s="46" t="s">
        <v>37</v>
      </c>
      <c r="O801" s="46" t="s">
        <v>36</v>
      </c>
      <c r="P801" s="46" t="s">
        <v>36</v>
      </c>
      <c r="Q801" s="46" t="s">
        <v>36</v>
      </c>
      <c r="R801" s="46" t="s">
        <v>36</v>
      </c>
      <c r="S801" s="46" t="s">
        <v>36</v>
      </c>
      <c r="T801" s="46" t="s">
        <v>36</v>
      </c>
      <c r="U801" s="46" t="s">
        <v>36</v>
      </c>
      <c r="V801" s="46" t="s">
        <v>37</v>
      </c>
      <c r="W801" s="46" t="s">
        <v>36</v>
      </c>
      <c r="X801" s="46" t="s">
        <v>36</v>
      </c>
      <c r="Y801" s="46" t="s">
        <v>36</v>
      </c>
      <c r="Z801" s="46" t="s">
        <v>36</v>
      </c>
      <c r="AA801" s="46" t="s">
        <v>36</v>
      </c>
      <c r="AB801" s="46" t="s">
        <v>36</v>
      </c>
      <c r="AC801" s="46" t="s">
        <v>37</v>
      </c>
      <c r="AD801" s="46" t="s">
        <v>36</v>
      </c>
      <c r="AE801" s="46" t="s">
        <v>36</v>
      </c>
      <c r="AF801" s="46" t="s">
        <v>36</v>
      </c>
      <c r="AG801" s="46" t="s">
        <v>36</v>
      </c>
      <c r="AH801" s="46" t="s">
        <v>43</v>
      </c>
      <c r="AI801" s="46" t="s">
        <v>36</v>
      </c>
      <c r="AJ801" s="46">
        <f>=SUM(E802:AI802)</f>
      </c>
      <c r="AK801" s="46">
        <f>=+AY801</f>
      </c>
      <c r="AL801" s="46"/>
      <c r="AM801" s="1"/>
      <c r="AN801" s="1">
        <f>=COUNTIF(E801:AI801,"A")+COUNTIF(E801:AI801,"B")+COUNTIF(E801:AI801,"C")+COUNTIF(E801:AI801,"D")+COUNTIF(E801:AI801,"E")+COUNTIF(E801:AI801,"F")+COUNTIF(E801:AI801,"M")+COUNTIF(E801:AI801,"AB")+COUNTIF(E801:AI801,"UZ")+COUNTIF(E801:AI801,"G")+(COUNTIF(E801:AI801,"RT.")/2)+(COUNTIF(E801:AI801,"ÇRT.")/2)</f>
      </c>
      <c r="AO801" s="1">
        <f>=COUNTIF(E801:AI801,"O")</f>
      </c>
      <c r="AP801" s="1">
        <f>=COUNTIF(E801:AI801,"RT")+(COUNTIF(E801:AI801,"RT.")/2)</f>
      </c>
      <c r="AQ801" s="1">
        <f>=COUNTIF(E801:AI801,"ÇRT")+(COUNTIF(E801:AI801,"ÇRT.")/2)</f>
      </c>
      <c r="AR801" s="1">
        <f>=COUNTIF(E801:AI801,"ÇHT")</f>
      </c>
      <c r="AS801" s="1">
        <f>=COUNTIF(E801:AI801,"Ö")+COUNTIF(E801:AI801,"T")</f>
      </c>
      <c r="AT801" s="1">
        <f>=COUNTIF(E801:AI801,"Y")</f>
      </c>
      <c r="AU801" s="1">
        <f>=COUNTIF(E801:AI801,"R.")</f>
      </c>
      <c r="AV801" s="1">
        <f>=COUNTIF(E801:AI801,"Ü")</f>
      </c>
      <c r="AW801" s="1">
        <f>=COUNTIF(E801:AI801,"R")</f>
      </c>
      <c r="AX801" s="1">
        <f>=COUNTIF(E801:AI801,"DV")</f>
      </c>
      <c r="AY801" s="1">
        <f>=+AN801+AO801+AP801+AQ801+AR801+AS801+AT801+AU801</f>
      </c>
    </row>
    <row r="802" ht="16" customHeight="1" spans="1:51" x14ac:dyDescent="0.25">
      <c r="A802" s="45"/>
      <c r="B802" s="46"/>
      <c r="C802" s="46"/>
      <c r="D802" s="46" t="s">
        <v>33</v>
      </c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  <c r="AB802" s="46"/>
      <c r="AC802" s="46"/>
      <c r="AD802" s="46"/>
      <c r="AE802" s="46"/>
      <c r="AF802" s="46"/>
      <c r="AG802" s="46">
        <v>3</v>
      </c>
      <c r="AH802" s="46">
        <v>2</v>
      </c>
      <c r="AI802" s="46"/>
      <c r="AJ802" s="46"/>
      <c r="AK802" s="46"/>
      <c r="AL802" s="46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</row>
    <row r="803" ht="16" customHeight="1" spans="1:51" x14ac:dyDescent="0.25">
      <c r="A803" s="45"/>
      <c r="B803" s="46" t="s">
        <v>844</v>
      </c>
      <c r="C803" s="46" t="s">
        <v>845</v>
      </c>
      <c r="D803" s="46" t="s">
        <v>29</v>
      </c>
      <c r="E803" s="46" t="s">
        <v>36</v>
      </c>
      <c r="F803" s="46" t="s">
        <v>36</v>
      </c>
      <c r="G803" s="46" t="s">
        <v>36</v>
      </c>
      <c r="H803" s="46" t="s">
        <v>36</v>
      </c>
      <c r="I803" s="46" t="s">
        <v>36</v>
      </c>
      <c r="J803" s="46" t="s">
        <v>36</v>
      </c>
      <c r="K803" s="46" t="s">
        <v>37</v>
      </c>
      <c r="L803" s="46" t="s">
        <v>36</v>
      </c>
      <c r="M803" s="46" t="s">
        <v>36</v>
      </c>
      <c r="N803" s="46" t="s">
        <v>36</v>
      </c>
      <c r="O803" s="46" t="s">
        <v>36</v>
      </c>
      <c r="P803" s="46" t="s">
        <v>36</v>
      </c>
      <c r="Q803" s="46" t="s">
        <v>36</v>
      </c>
      <c r="R803" s="46" t="s">
        <v>37</v>
      </c>
      <c r="S803" s="46" t="s">
        <v>36</v>
      </c>
      <c r="T803" s="46" t="s">
        <v>36</v>
      </c>
      <c r="U803" s="46" t="s">
        <v>36</v>
      </c>
      <c r="V803" s="46" t="s">
        <v>36</v>
      </c>
      <c r="W803" s="46" t="s">
        <v>36</v>
      </c>
      <c r="X803" s="46" t="s">
        <v>36</v>
      </c>
      <c r="Y803" s="46" t="s">
        <v>36</v>
      </c>
      <c r="Z803" s="46" t="s">
        <v>36</v>
      </c>
      <c r="AA803" s="46" t="s">
        <v>36</v>
      </c>
      <c r="AB803" s="46" t="s">
        <v>36</v>
      </c>
      <c r="AC803" s="46" t="s">
        <v>37</v>
      </c>
      <c r="AD803" s="46" t="s">
        <v>36</v>
      </c>
      <c r="AE803" s="46" t="s">
        <v>36</v>
      </c>
      <c r="AF803" s="46" t="s">
        <v>37</v>
      </c>
      <c r="AG803" s="46" t="s">
        <v>36</v>
      </c>
      <c r="AH803" s="46" t="s">
        <v>43</v>
      </c>
      <c r="AI803" s="46"/>
      <c r="AJ803" s="46">
        <f>=SUM(E804:AI804)</f>
      </c>
      <c r="AK803" s="46">
        <f>=+AY803</f>
      </c>
      <c r="AL803" s="46"/>
      <c r="AM803" s="1"/>
      <c r="AN803" s="1">
        <f>=COUNTIF(E803:AI803,"A")+COUNTIF(E803:AI803,"B")+COUNTIF(E803:AI803,"C")+COUNTIF(E803:AI803,"D")+COUNTIF(E803:AI803,"E")+COUNTIF(E803:AI803,"F")+COUNTIF(E803:AI803,"M")+COUNTIF(E803:AI803,"AB")+COUNTIF(E803:AI803,"UZ")+COUNTIF(E803:AI803,"G")+(COUNTIF(E803:AI803,"RT.")/2)+(COUNTIF(E803:AI803,"ÇRT.")/2)</f>
      </c>
      <c r="AO803" s="1">
        <f>=COUNTIF(E803:AI803,"O")</f>
      </c>
      <c r="AP803" s="1">
        <f>=COUNTIF(E803:AI803,"RT")+(COUNTIF(E803:AI803,"RT.")/2)</f>
      </c>
      <c r="AQ803" s="1">
        <f>=COUNTIF(E803:AI803,"ÇRT")+(COUNTIF(E803:AI803,"ÇRT.")/2)</f>
      </c>
      <c r="AR803" s="1">
        <f>=COUNTIF(E803:AI803,"ÇHT")</f>
      </c>
      <c r="AS803" s="1">
        <f>=COUNTIF(E803:AI803,"Ö")+COUNTIF(E803:AI803,"T")</f>
      </c>
      <c r="AT803" s="1">
        <f>=COUNTIF(E803:AI803,"Y")</f>
      </c>
      <c r="AU803" s="1">
        <f>=COUNTIF(E803:AI803,"R.")</f>
      </c>
      <c r="AV803" s="1">
        <f>=COUNTIF(E803:AI803,"Ü")</f>
      </c>
      <c r="AW803" s="1">
        <f>=COUNTIF(E803:AI803,"R")</f>
      </c>
      <c r="AX803" s="1">
        <f>=COUNTIF(E803:AI803,"DV")</f>
      </c>
      <c r="AY803" s="1">
        <f>=+AN803+AO803+AP803+AQ803+AR803+AS803+AT803+AU803</f>
      </c>
    </row>
    <row r="804" ht="16" customHeight="1" spans="1:51" x14ac:dyDescent="0.25">
      <c r="A804" s="45"/>
      <c r="B804" s="46"/>
      <c r="C804" s="46"/>
      <c r="D804" s="46" t="s">
        <v>33</v>
      </c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>
        <v>2</v>
      </c>
      <c r="Z804" s="46"/>
      <c r="AA804" s="46"/>
      <c r="AB804" s="46"/>
      <c r="AC804" s="46"/>
      <c r="AD804" s="46"/>
      <c r="AE804" s="46"/>
      <c r="AF804" s="46"/>
      <c r="AG804" s="46">
        <v>2</v>
      </c>
      <c r="AH804" s="46"/>
      <c r="AI804" s="46"/>
      <c r="AJ804" s="46"/>
      <c r="AK804" s="46"/>
      <c r="AL804" s="46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</row>
    <row r="805" ht="16" customHeight="1" spans="1:51" x14ac:dyDescent="0.25">
      <c r="A805" s="45"/>
      <c r="B805" s="46" t="s">
        <v>846</v>
      </c>
      <c r="C805" s="46" t="s">
        <v>847</v>
      </c>
      <c r="D805" s="46" t="s">
        <v>29</v>
      </c>
      <c r="E805" s="46" t="s">
        <v>36</v>
      </c>
      <c r="F805" s="46" t="s">
        <v>36</v>
      </c>
      <c r="G805" s="46" t="s">
        <v>36</v>
      </c>
      <c r="H805" s="46" t="s">
        <v>36</v>
      </c>
      <c r="I805" s="46" t="s">
        <v>37</v>
      </c>
      <c r="J805" s="46" t="s">
        <v>36</v>
      </c>
      <c r="K805" s="46" t="s">
        <v>36</v>
      </c>
      <c r="L805" s="46" t="s">
        <v>36</v>
      </c>
      <c r="M805" s="46" t="s">
        <v>36</v>
      </c>
      <c r="N805" s="46" t="s">
        <v>36</v>
      </c>
      <c r="O805" s="46" t="s">
        <v>37</v>
      </c>
      <c r="P805" s="46" t="s">
        <v>36</v>
      </c>
      <c r="Q805" s="46" t="s">
        <v>36</v>
      </c>
      <c r="R805" s="46" t="s">
        <v>36</v>
      </c>
      <c r="S805" s="46" t="s">
        <v>36</v>
      </c>
      <c r="T805" s="46" t="s">
        <v>36</v>
      </c>
      <c r="U805" s="46" t="s">
        <v>36</v>
      </c>
      <c r="V805" s="46" t="s">
        <v>36</v>
      </c>
      <c r="W805" s="46" t="s">
        <v>37</v>
      </c>
      <c r="X805" s="46" t="s">
        <v>36</v>
      </c>
      <c r="Y805" s="46" t="s">
        <v>36</v>
      </c>
      <c r="Z805" s="46" t="s">
        <v>36</v>
      </c>
      <c r="AA805" s="46" t="s">
        <v>36</v>
      </c>
      <c r="AB805" s="46" t="s">
        <v>36</v>
      </c>
      <c r="AC805" s="46" t="s">
        <v>37</v>
      </c>
      <c r="AD805" s="46" t="s">
        <v>36</v>
      </c>
      <c r="AE805" s="46" t="s">
        <v>36</v>
      </c>
      <c r="AF805" s="46" t="s">
        <v>36</v>
      </c>
      <c r="AG805" s="46" t="s">
        <v>36</v>
      </c>
      <c r="AH805" s="46" t="s">
        <v>43</v>
      </c>
      <c r="AI805" s="46" t="s">
        <v>36</v>
      </c>
      <c r="AJ805" s="46">
        <f>=SUM(E806:AI806)</f>
      </c>
      <c r="AK805" s="46">
        <f>=+AY805</f>
      </c>
      <c r="AL805" s="46"/>
      <c r="AM805" s="1"/>
      <c r="AN805" s="1">
        <f>=COUNTIF(E805:AI805,"A")+COUNTIF(E805:AI805,"B")+COUNTIF(E805:AI805,"C")+COUNTIF(E805:AI805,"D")+COUNTIF(E805:AI805,"E")+COUNTIF(E805:AI805,"F")+COUNTIF(E805:AI805,"M")+COUNTIF(E805:AI805,"AB")+COUNTIF(E805:AI805,"UZ")+COUNTIF(E805:AI805,"G")+(COUNTIF(E805:AI805,"RT.")/2)+(COUNTIF(E805:AI805,"ÇRT.")/2)</f>
      </c>
      <c r="AO805" s="1">
        <f>=COUNTIF(E805:AI805,"O")</f>
      </c>
      <c r="AP805" s="1">
        <f>=COUNTIF(E805:AI805,"RT")+(COUNTIF(E805:AI805,"RT.")/2)</f>
      </c>
      <c r="AQ805" s="1">
        <f>=COUNTIF(E805:AI805,"ÇRT")+(COUNTIF(E805:AI805,"ÇRT.")/2)</f>
      </c>
      <c r="AR805" s="1">
        <f>=COUNTIF(E805:AI805,"ÇHT")</f>
      </c>
      <c r="AS805" s="1">
        <f>=COUNTIF(E805:AI805,"Ö")+COUNTIF(E805:AI805,"T")</f>
      </c>
      <c r="AT805" s="1">
        <f>=COUNTIF(E805:AI805,"Y")</f>
      </c>
      <c r="AU805" s="1">
        <f>=COUNTIF(E805:AI805,"R.")</f>
      </c>
      <c r="AV805" s="1">
        <f>=COUNTIF(E805:AI805,"Ü")</f>
      </c>
      <c r="AW805" s="1">
        <f>=COUNTIF(E805:AI805,"R")</f>
      </c>
      <c r="AX805" s="1">
        <f>=COUNTIF(E805:AI805,"DV")</f>
      </c>
      <c r="AY805" s="1">
        <f>=+AN805+AO805+AP805+AQ805+AR805+AS805+AT805+AU805</f>
      </c>
    </row>
    <row r="806" ht="16" customHeight="1" spans="1:51" x14ac:dyDescent="0.25">
      <c r="A806" s="45"/>
      <c r="B806" s="46"/>
      <c r="C806" s="46"/>
      <c r="D806" s="46" t="s">
        <v>33</v>
      </c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  <c r="AB806" s="46"/>
      <c r="AC806" s="46"/>
      <c r="AD806" s="46">
        <v>0</v>
      </c>
      <c r="AE806" s="46"/>
      <c r="AF806" s="46">
        <v>2</v>
      </c>
      <c r="AG806" s="46">
        <v>3</v>
      </c>
      <c r="AH806" s="46">
        <v>2</v>
      </c>
      <c r="AI806" s="46"/>
      <c r="AJ806" s="46"/>
      <c r="AK806" s="46"/>
      <c r="AL806" s="46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</row>
    <row r="807" ht="16" customHeight="1" spans="1:51" x14ac:dyDescent="0.25">
      <c r="A807" s="45"/>
      <c r="B807" s="46" t="s">
        <v>848</v>
      </c>
      <c r="C807" s="46" t="s">
        <v>849</v>
      </c>
      <c r="D807" s="46" t="s">
        <v>29</v>
      </c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  <c r="AC807" s="46"/>
      <c r="AD807" s="46"/>
      <c r="AE807" s="46"/>
      <c r="AF807" s="46"/>
      <c r="AG807" s="46"/>
      <c r="AH807" s="46"/>
      <c r="AI807" s="46"/>
      <c r="AJ807" s="46">
        <f>=SUM(E808:AI808)</f>
      </c>
      <c r="AK807" s="46">
        <f>=+AY807</f>
      </c>
      <c r="AL807" s="46"/>
      <c r="AM807" s="1"/>
      <c r="AN807" s="1">
        <f>=COUNTIF(E807:AI807,"A")+COUNTIF(E807:AI807,"B")+COUNTIF(E807:AI807,"C")+COUNTIF(E807:AI807,"D")+COUNTIF(E807:AI807,"E")+COUNTIF(E807:AI807,"F")+COUNTIF(E807:AI807,"M")+COUNTIF(E807:AI807,"AB")+COUNTIF(E807:AI807,"UZ")+COUNTIF(E807:AI807,"G")+(COUNTIF(E807:AI807,"RT.")/2)+(COUNTIF(E807:AI807,"ÇRT.")/2)</f>
      </c>
      <c r="AO807" s="1">
        <f>=COUNTIF(E807:AI807,"O")</f>
      </c>
      <c r="AP807" s="1">
        <f>=COUNTIF(E807:AI807,"RT")+(COUNTIF(E807:AI807,"RT.")/2)</f>
      </c>
      <c r="AQ807" s="1">
        <f>=COUNTIF(E807:AI807,"ÇRT")+(COUNTIF(E807:AI807,"ÇRT.")/2)</f>
      </c>
      <c r="AR807" s="1">
        <f>=COUNTIF(E807:AI807,"ÇHT")</f>
      </c>
      <c r="AS807" s="1">
        <f>=COUNTIF(E807:AI807,"Ö")+COUNTIF(E807:AI807,"T")</f>
      </c>
      <c r="AT807" s="1">
        <f>=COUNTIF(E807:AI807,"Y")</f>
      </c>
      <c r="AU807" s="1">
        <f>=COUNTIF(E807:AI807,"R.")</f>
      </c>
      <c r="AV807" s="1">
        <f>=COUNTIF(E807:AI807,"Ü")</f>
      </c>
      <c r="AW807" s="1">
        <f>=COUNTIF(E807:AI807,"R")</f>
      </c>
      <c r="AX807" s="1">
        <f>=COUNTIF(E807:AI807,"DV")</f>
      </c>
      <c r="AY807" s="1">
        <f>=+AN807+AO807+AP807+AQ807+AR807+AS807+AT807+AU807</f>
      </c>
    </row>
    <row r="808" ht="16" customHeight="1" spans="1:51" x14ac:dyDescent="0.25">
      <c r="A808" s="45"/>
      <c r="B808" s="46"/>
      <c r="C808" s="46"/>
      <c r="D808" s="46" t="s">
        <v>33</v>
      </c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  <c r="AB808" s="46"/>
      <c r="AC808" s="46"/>
      <c r="AD808" s="46"/>
      <c r="AE808" s="46"/>
      <c r="AF808" s="46"/>
      <c r="AG808" s="46"/>
      <c r="AH808" s="46"/>
      <c r="AI808" s="46"/>
      <c r="AJ808" s="46"/>
      <c r="AK808" s="46"/>
      <c r="AL808" s="46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</row>
    <row r="809" ht="16" customHeight="1" spans="1:51" x14ac:dyDescent="0.25">
      <c r="A809" s="45"/>
      <c r="B809" s="46" t="s">
        <v>850</v>
      </c>
      <c r="C809" s="46" t="s">
        <v>851</v>
      </c>
      <c r="D809" s="46" t="s">
        <v>29</v>
      </c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  <c r="AB809" s="46"/>
      <c r="AC809" s="46"/>
      <c r="AD809" s="46"/>
      <c r="AE809" s="46"/>
      <c r="AF809" s="46"/>
      <c r="AG809" s="46"/>
      <c r="AH809" s="46"/>
      <c r="AI809" s="46"/>
      <c r="AJ809" s="46">
        <f>=SUM(E810:AI810)</f>
      </c>
      <c r="AK809" s="46">
        <f>=+AY809</f>
      </c>
      <c r="AL809" s="46"/>
      <c r="AM809" s="1"/>
      <c r="AN809" s="1">
        <f>=COUNTIF(E809:AI809,"A")+COUNTIF(E809:AI809,"B")+COUNTIF(E809:AI809,"C")+COUNTIF(E809:AI809,"D")+COUNTIF(E809:AI809,"E")+COUNTIF(E809:AI809,"F")+COUNTIF(E809:AI809,"M")+COUNTIF(E809:AI809,"AB")+COUNTIF(E809:AI809,"UZ")+COUNTIF(E809:AI809,"G")+(COUNTIF(E809:AI809,"RT.")/2)+(COUNTIF(E809:AI809,"ÇRT.")/2)</f>
      </c>
      <c r="AO809" s="1">
        <f>=COUNTIF(E809:AI809,"O")</f>
      </c>
      <c r="AP809" s="1">
        <f>=COUNTIF(E809:AI809,"RT")+(COUNTIF(E809:AI809,"RT.")/2)</f>
      </c>
      <c r="AQ809" s="1">
        <f>=COUNTIF(E809:AI809,"ÇRT")+(COUNTIF(E809:AI809,"ÇRT.")/2)</f>
      </c>
      <c r="AR809" s="1">
        <f>=COUNTIF(E809:AI809,"ÇHT")</f>
      </c>
      <c r="AS809" s="1">
        <f>=COUNTIF(E809:AI809,"Ö")+COUNTIF(E809:AI809,"T")</f>
      </c>
      <c r="AT809" s="1">
        <f>=COUNTIF(E809:AI809,"Y")</f>
      </c>
      <c r="AU809" s="1">
        <f>=COUNTIF(E809:AI809,"R.")</f>
      </c>
      <c r="AV809" s="1">
        <f>=COUNTIF(E809:AI809,"Ü")</f>
      </c>
      <c r="AW809" s="1">
        <f>=COUNTIF(E809:AI809,"R")</f>
      </c>
      <c r="AX809" s="1">
        <f>=COUNTIF(E809:AI809,"DV")</f>
      </c>
      <c r="AY809" s="1">
        <f>=+AN809+AO809+AP809+AQ809+AR809+AS809+AT809+AU809</f>
      </c>
    </row>
    <row r="810" ht="16" customHeight="1" spans="1:51" x14ac:dyDescent="0.25">
      <c r="A810" s="45"/>
      <c r="B810" s="46"/>
      <c r="C810" s="46"/>
      <c r="D810" s="46" t="s">
        <v>33</v>
      </c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  <c r="AB810" s="46"/>
      <c r="AC810" s="46"/>
      <c r="AD810" s="46"/>
      <c r="AE810" s="46"/>
      <c r="AF810" s="46"/>
      <c r="AG810" s="46"/>
      <c r="AH810" s="46"/>
      <c r="AI810" s="46"/>
      <c r="AJ810" s="46"/>
      <c r="AK810" s="46"/>
      <c r="AL810" s="46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</row>
    <row r="811" ht="16" customHeight="1" spans="1:51" x14ac:dyDescent="0.25">
      <c r="A811" s="45"/>
      <c r="B811" s="46" t="s">
        <v>852</v>
      </c>
      <c r="C811" s="46" t="s">
        <v>853</v>
      </c>
      <c r="D811" s="46" t="s">
        <v>29</v>
      </c>
      <c r="E811" s="46" t="s">
        <v>36</v>
      </c>
      <c r="F811" s="46" t="s">
        <v>36</v>
      </c>
      <c r="G811" s="46" t="s">
        <v>37</v>
      </c>
      <c r="H811" s="46" t="s">
        <v>36</v>
      </c>
      <c r="I811" s="46" t="s">
        <v>36</v>
      </c>
      <c r="J811" s="46" t="s">
        <v>36</v>
      </c>
      <c r="K811" s="46" t="s">
        <v>36</v>
      </c>
      <c r="L811" s="46" t="s">
        <v>36</v>
      </c>
      <c r="M811" s="46" t="s">
        <v>36</v>
      </c>
      <c r="N811" s="46" t="s">
        <v>37</v>
      </c>
      <c r="O811" s="46" t="s">
        <v>36</v>
      </c>
      <c r="P811" s="46" t="s">
        <v>36</v>
      </c>
      <c r="Q811" s="46" t="s">
        <v>36</v>
      </c>
      <c r="R811" s="46" t="s">
        <v>36</v>
      </c>
      <c r="S811" s="46" t="s">
        <v>36</v>
      </c>
      <c r="T811" s="46" t="s">
        <v>36</v>
      </c>
      <c r="U811" s="46" t="s">
        <v>36</v>
      </c>
      <c r="V811" s="46" t="s">
        <v>36</v>
      </c>
      <c r="W811" s="46" t="s">
        <v>36</v>
      </c>
      <c r="X811" s="46" t="s">
        <v>37</v>
      </c>
      <c r="Y811" s="46" t="s">
        <v>36</v>
      </c>
      <c r="Z811" s="46" t="s">
        <v>36</v>
      </c>
      <c r="AA811" s="46" t="s">
        <v>36</v>
      </c>
      <c r="AB811" s="46" t="s">
        <v>37</v>
      </c>
      <c r="AC811" s="46" t="s">
        <v>36</v>
      </c>
      <c r="AD811" s="46" t="s">
        <v>36</v>
      </c>
      <c r="AE811" s="46" t="s">
        <v>36</v>
      </c>
      <c r="AF811" s="46" t="s">
        <v>36</v>
      </c>
      <c r="AG811" s="46" t="s">
        <v>36</v>
      </c>
      <c r="AH811" s="46" t="s">
        <v>43</v>
      </c>
      <c r="AI811" s="46" t="s">
        <v>37</v>
      </c>
      <c r="AJ811" s="46">
        <f>=SUM(E812:AI812)</f>
      </c>
      <c r="AK811" s="46">
        <f>=+AY811</f>
      </c>
      <c r="AL811" s="46"/>
      <c r="AM811" s="1"/>
      <c r="AN811" s="1">
        <f>=COUNTIF(E811:AI811,"A")+COUNTIF(E811:AI811,"B")+COUNTIF(E811:AI811,"C")+COUNTIF(E811:AI811,"D")+COUNTIF(E811:AI811,"E")+COUNTIF(E811:AI811,"F")+COUNTIF(E811:AI811,"M")+COUNTIF(E811:AI811,"AB")+COUNTIF(E811:AI811,"UZ")+COUNTIF(E811:AI811,"G")+(COUNTIF(E811:AI811,"RT.")/2)+(COUNTIF(E811:AI811,"ÇRT.")/2)</f>
      </c>
      <c r="AO811" s="1">
        <f>=COUNTIF(E811:AI811,"O")</f>
      </c>
      <c r="AP811" s="1">
        <f>=COUNTIF(E811:AI811,"RT")+(COUNTIF(E811:AI811,"RT.")/2)</f>
      </c>
      <c r="AQ811" s="1">
        <f>=COUNTIF(E811:AI811,"ÇRT")+(COUNTIF(E811:AI811,"ÇRT.")/2)</f>
      </c>
      <c r="AR811" s="1">
        <f>=COUNTIF(E811:AI811,"ÇHT")</f>
      </c>
      <c r="AS811" s="1">
        <f>=COUNTIF(E811:AI811,"Ö")+COUNTIF(E811:AI811,"T")</f>
      </c>
      <c r="AT811" s="1">
        <f>=COUNTIF(E811:AI811,"Y")</f>
      </c>
      <c r="AU811" s="1">
        <f>=COUNTIF(E811:AI811,"R.")</f>
      </c>
      <c r="AV811" s="1">
        <f>=COUNTIF(E811:AI811,"Ü")</f>
      </c>
      <c r="AW811" s="1">
        <f>=COUNTIF(E811:AI811,"R")</f>
      </c>
      <c r="AX811" s="1">
        <f>=COUNTIF(E811:AI811,"DV")</f>
      </c>
      <c r="AY811" s="1">
        <f>=+AN811+AO811+AP811+AQ811+AR811+AS811+AT811+AU811</f>
      </c>
    </row>
    <row r="812" ht="16" customHeight="1" spans="1:51" x14ac:dyDescent="0.25">
      <c r="A812" s="45"/>
      <c r="B812" s="46"/>
      <c r="C812" s="46"/>
      <c r="D812" s="46" t="s">
        <v>33</v>
      </c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>
        <v>0</v>
      </c>
      <c r="R812" s="46"/>
      <c r="S812" s="46"/>
      <c r="T812" s="46"/>
      <c r="U812" s="46"/>
      <c r="V812" s="46"/>
      <c r="W812" s="46"/>
      <c r="X812" s="46"/>
      <c r="Y812" s="46"/>
      <c r="Z812" s="46"/>
      <c r="AA812" s="46"/>
      <c r="AB812" s="46"/>
      <c r="AC812" s="46"/>
      <c r="AD812" s="46"/>
      <c r="AE812" s="46"/>
      <c r="AF812" s="46">
        <v>2</v>
      </c>
      <c r="AG812" s="46">
        <v>3</v>
      </c>
      <c r="AH812" s="46">
        <v>2</v>
      </c>
      <c r="AI812" s="46"/>
      <c r="AJ812" s="46"/>
      <c r="AK812" s="46"/>
      <c r="AL812" s="46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</row>
    <row r="813" ht="16" customHeight="1" spans="1:51" x14ac:dyDescent="0.25">
      <c r="A813" s="45"/>
      <c r="B813" s="46" t="s">
        <v>854</v>
      </c>
      <c r="C813" s="46" t="s">
        <v>855</v>
      </c>
      <c r="D813" s="46" t="s">
        <v>29</v>
      </c>
      <c r="E813" s="46" t="s">
        <v>59</v>
      </c>
      <c r="F813" s="46" t="s">
        <v>59</v>
      </c>
      <c r="G813" s="46" t="s">
        <v>59</v>
      </c>
      <c r="H813" s="46" t="s">
        <v>59</v>
      </c>
      <c r="I813" s="46" t="s">
        <v>37</v>
      </c>
      <c r="J813" s="46" t="s">
        <v>59</v>
      </c>
      <c r="K813" s="46" t="s">
        <v>59</v>
      </c>
      <c r="L813" s="46" t="s">
        <v>59</v>
      </c>
      <c r="M813" s="46" t="s">
        <v>59</v>
      </c>
      <c r="N813" s="46" t="s">
        <v>59</v>
      </c>
      <c r="O813" s="46" t="s">
        <v>59</v>
      </c>
      <c r="P813" s="46" t="s">
        <v>37</v>
      </c>
      <c r="Q813" s="46" t="s">
        <v>59</v>
      </c>
      <c r="R813" s="46" t="s">
        <v>59</v>
      </c>
      <c r="S813" s="46" t="s">
        <v>59</v>
      </c>
      <c r="T813" s="46" t="s">
        <v>59</v>
      </c>
      <c r="U813" s="46" t="s">
        <v>59</v>
      </c>
      <c r="V813" s="46" t="s">
        <v>59</v>
      </c>
      <c r="W813" s="46" t="s">
        <v>37</v>
      </c>
      <c r="X813" s="46" t="s">
        <v>59</v>
      </c>
      <c r="Y813" s="46" t="s">
        <v>59</v>
      </c>
      <c r="Z813" s="46" t="s">
        <v>59</v>
      </c>
      <c r="AA813" s="46" t="s">
        <v>59</v>
      </c>
      <c r="AB813" s="46" t="s">
        <v>59</v>
      </c>
      <c r="AC813" s="46" t="s">
        <v>59</v>
      </c>
      <c r="AD813" s="46" t="s">
        <v>37</v>
      </c>
      <c r="AE813" s="46" t="s">
        <v>59</v>
      </c>
      <c r="AF813" s="46" t="s">
        <v>59</v>
      </c>
      <c r="AG813" s="46" t="s">
        <v>59</v>
      </c>
      <c r="AH813" s="46" t="s">
        <v>43</v>
      </c>
      <c r="AI813" s="46" t="s">
        <v>59</v>
      </c>
      <c r="AJ813" s="46">
        <f>=SUM(E814:AI814)</f>
      </c>
      <c r="AK813" s="46">
        <f>=+AY813</f>
      </c>
      <c r="AL813" s="46"/>
      <c r="AM813" s="1"/>
      <c r="AN813" s="1">
        <f>=COUNTIF(E813:AI813,"A")+COUNTIF(E813:AI813,"B")+COUNTIF(E813:AI813,"C")+COUNTIF(E813:AI813,"D")+COUNTIF(E813:AI813,"E")+COUNTIF(E813:AI813,"F")+COUNTIF(E813:AI813,"M")+COUNTIF(E813:AI813,"AB")+COUNTIF(E813:AI813,"UZ")+COUNTIF(E813:AI813,"G")+(COUNTIF(E813:AI813,"RT.")/2)+(COUNTIF(E813:AI813,"ÇRT.")/2)</f>
      </c>
      <c r="AO813" s="1">
        <f>=COUNTIF(E813:AI813,"O")</f>
      </c>
      <c r="AP813" s="1">
        <f>=COUNTIF(E813:AI813,"RT")+(COUNTIF(E813:AI813,"RT.")/2)</f>
      </c>
      <c r="AQ813" s="1">
        <f>=COUNTIF(E813:AI813,"ÇRT")+(COUNTIF(E813:AI813,"ÇRT.")/2)</f>
      </c>
      <c r="AR813" s="1">
        <f>=COUNTIF(E813:AI813,"ÇHT")</f>
      </c>
      <c r="AS813" s="1">
        <f>=COUNTIF(E813:AI813,"Ö")+COUNTIF(E813:AI813,"T")</f>
      </c>
      <c r="AT813" s="1">
        <f>=COUNTIF(E813:AI813,"Y")</f>
      </c>
      <c r="AU813" s="1">
        <f>=COUNTIF(E813:AI813,"R.")</f>
      </c>
      <c r="AV813" s="1">
        <f>=COUNTIF(E813:AI813,"Ü")</f>
      </c>
      <c r="AW813" s="1">
        <f>=COUNTIF(E813:AI813,"R")</f>
      </c>
      <c r="AX813" s="1">
        <f>=COUNTIF(E813:AI813,"DV")</f>
      </c>
      <c r="AY813" s="1">
        <f>=+AN813+AO813+AP813+AQ813+AR813+AS813+AT813+AU813</f>
      </c>
    </row>
    <row r="814" ht="16" customHeight="1" spans="1:51" x14ac:dyDescent="0.25">
      <c r="A814" s="45"/>
      <c r="B814" s="46"/>
      <c r="C814" s="46"/>
      <c r="D814" s="46" t="s">
        <v>33</v>
      </c>
      <c r="E814" s="46"/>
      <c r="F814" s="46"/>
      <c r="G814" s="46"/>
      <c r="H814" s="46"/>
      <c r="I814" s="46"/>
      <c r="J814" s="46"/>
      <c r="K814" s="46"/>
      <c r="L814" s="46">
        <v>3</v>
      </c>
      <c r="M814" s="46">
        <v>2</v>
      </c>
      <c r="N814" s="46">
        <v>3</v>
      </c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  <c r="AB814" s="46">
        <v>0</v>
      </c>
      <c r="AC814" s="46"/>
      <c r="AD814" s="46"/>
      <c r="AE814" s="46"/>
      <c r="AF814" s="46"/>
      <c r="AG814" s="46"/>
      <c r="AH814" s="46"/>
      <c r="AI814" s="46"/>
      <c r="AJ814" s="46"/>
      <c r="AK814" s="46"/>
      <c r="AL814" s="46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</row>
    <row r="815" ht="16" customHeight="1" spans="1:51" x14ac:dyDescent="0.25">
      <c r="A815" s="45"/>
      <c r="B815" s="46" t="s">
        <v>856</v>
      </c>
      <c r="C815" s="46" t="s">
        <v>857</v>
      </c>
      <c r="D815" s="46" t="s">
        <v>29</v>
      </c>
      <c r="E815" s="46" t="s">
        <v>222</v>
      </c>
      <c r="F815" s="46" t="s">
        <v>36</v>
      </c>
      <c r="G815" s="46" t="s">
        <v>36</v>
      </c>
      <c r="H815" s="46" t="s">
        <v>36</v>
      </c>
      <c r="I815" s="46" t="s">
        <v>36</v>
      </c>
      <c r="J815" s="46" t="s">
        <v>36</v>
      </c>
      <c r="K815" s="46" t="s">
        <v>37</v>
      </c>
      <c r="L815" s="46" t="s">
        <v>36</v>
      </c>
      <c r="M815" s="46" t="s">
        <v>36</v>
      </c>
      <c r="N815" s="46" t="s">
        <v>36</v>
      </c>
      <c r="O815" s="46" t="s">
        <v>36</v>
      </c>
      <c r="P815" s="46" t="s">
        <v>36</v>
      </c>
      <c r="Q815" s="46" t="s">
        <v>36</v>
      </c>
      <c r="R815" s="46" t="s">
        <v>37</v>
      </c>
      <c r="S815" s="46" t="s">
        <v>36</v>
      </c>
      <c r="T815" s="46" t="s">
        <v>36</v>
      </c>
      <c r="U815" s="46" t="s">
        <v>36</v>
      </c>
      <c r="V815" s="46" t="s">
        <v>36</v>
      </c>
      <c r="W815" s="46" t="s">
        <v>36</v>
      </c>
      <c r="X815" s="46" t="s">
        <v>36</v>
      </c>
      <c r="Y815" s="46" t="s">
        <v>222</v>
      </c>
      <c r="Z815" s="46" t="s">
        <v>36</v>
      </c>
      <c r="AA815" s="46" t="s">
        <v>36</v>
      </c>
      <c r="AB815" s="46" t="s">
        <v>36</v>
      </c>
      <c r="AC815" s="46" t="s">
        <v>36</v>
      </c>
      <c r="AD815" s="46" t="s">
        <v>36</v>
      </c>
      <c r="AE815" s="46" t="s">
        <v>36</v>
      </c>
      <c r="AF815" s="46" t="s">
        <v>37</v>
      </c>
      <c r="AG815" s="46" t="s">
        <v>36</v>
      </c>
      <c r="AH815" s="46" t="s">
        <v>43</v>
      </c>
      <c r="AI815" s="46" t="s">
        <v>36</v>
      </c>
      <c r="AJ815" s="46">
        <f>=SUM(E816:AI816)</f>
      </c>
      <c r="AK815" s="46">
        <f>=+AY815</f>
      </c>
      <c r="AL815" s="46"/>
      <c r="AM815" s="1"/>
      <c r="AN815" s="1">
        <f>=COUNTIF(E815:AI815,"A")+COUNTIF(E815:AI815,"B")+COUNTIF(E815:AI815,"C")+COUNTIF(E815:AI815,"D")+COUNTIF(E815:AI815,"E")+COUNTIF(E815:AI815,"F")+COUNTIF(E815:AI815,"M")+COUNTIF(E815:AI815,"AB")+COUNTIF(E815:AI815,"UZ")+COUNTIF(E815:AI815,"G")+(COUNTIF(E815:AI815,"RT.")/2)+(COUNTIF(E815:AI815,"ÇRT.")/2)</f>
      </c>
      <c r="AO815" s="1">
        <f>=COUNTIF(E815:AI815,"O")</f>
      </c>
      <c r="AP815" s="1">
        <f>=COUNTIF(E815:AI815,"RT")+(COUNTIF(E815:AI815,"RT.")/2)</f>
      </c>
      <c r="AQ815" s="1">
        <f>=COUNTIF(E815:AI815,"ÇRT")+(COUNTIF(E815:AI815,"ÇRT.")/2)</f>
      </c>
      <c r="AR815" s="1">
        <f>=COUNTIF(E815:AI815,"ÇHT")</f>
      </c>
      <c r="AS815" s="1">
        <f>=COUNTIF(E815:AI815,"Ö")+COUNTIF(E815:AI815,"T")</f>
      </c>
      <c r="AT815" s="1">
        <f>=COUNTIF(E815:AI815,"Y")</f>
      </c>
      <c r="AU815" s="1">
        <f>=COUNTIF(E815:AI815,"R.")</f>
      </c>
      <c r="AV815" s="1">
        <f>=COUNTIF(E815:AI815,"Ü")</f>
      </c>
      <c r="AW815" s="1">
        <f>=COUNTIF(E815:AI815,"R")</f>
      </c>
      <c r="AX815" s="1">
        <f>=COUNTIF(E815:AI815,"DV")</f>
      </c>
      <c r="AY815" s="1">
        <f>=+AN815+AO815+AP815+AQ815+AR815+AS815+AT815+AU815</f>
      </c>
    </row>
    <row r="816" ht="16" customHeight="1" spans="1:51" x14ac:dyDescent="0.25">
      <c r="A816" s="45"/>
      <c r="B816" s="46"/>
      <c r="C816" s="46"/>
      <c r="D816" s="46" t="s">
        <v>33</v>
      </c>
      <c r="E816" s="46"/>
      <c r="F816" s="46"/>
      <c r="G816" s="46"/>
      <c r="H816" s="46"/>
      <c r="I816" s="46"/>
      <c r="J816" s="46"/>
      <c r="K816" s="46"/>
      <c r="L816" s="46"/>
      <c r="M816" s="46"/>
      <c r="N816" s="46">
        <v>1</v>
      </c>
      <c r="O816" s="46"/>
      <c r="P816" s="46"/>
      <c r="Q816" s="46"/>
      <c r="R816" s="46"/>
      <c r="S816" s="46"/>
      <c r="T816" s="46"/>
      <c r="U816" s="46">
        <v>0</v>
      </c>
      <c r="V816" s="46"/>
      <c r="W816" s="46">
        <v>0</v>
      </c>
      <c r="X816" s="46"/>
      <c r="Y816" s="46"/>
      <c r="Z816" s="46"/>
      <c r="AA816" s="46"/>
      <c r="AB816" s="46"/>
      <c r="AC816" s="46"/>
      <c r="AD816" s="46">
        <v>0</v>
      </c>
      <c r="AE816" s="46"/>
      <c r="AF816" s="46"/>
      <c r="AG816" s="46"/>
      <c r="AH816" s="46"/>
      <c r="AI816" s="46"/>
      <c r="AJ816" s="46"/>
      <c r="AK816" s="46"/>
      <c r="AL816" s="46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</row>
    <row r="817" ht="16" customHeight="1" spans="1:51" x14ac:dyDescent="0.25">
      <c r="A817" s="45"/>
      <c r="B817" s="46" t="s">
        <v>858</v>
      </c>
      <c r="C817" s="46" t="s">
        <v>859</v>
      </c>
      <c r="D817" s="46" t="s">
        <v>29</v>
      </c>
      <c r="E817" s="46" t="s">
        <v>36</v>
      </c>
      <c r="F817" s="46" t="s">
        <v>37</v>
      </c>
      <c r="G817" s="46" t="s">
        <v>36</v>
      </c>
      <c r="H817" s="46" t="s">
        <v>36</v>
      </c>
      <c r="I817" s="46" t="s">
        <v>36</v>
      </c>
      <c r="J817" s="46" t="s">
        <v>36</v>
      </c>
      <c r="K817" s="46" t="s">
        <v>36</v>
      </c>
      <c r="L817" s="46" t="s">
        <v>36</v>
      </c>
      <c r="M817" s="46" t="s">
        <v>37</v>
      </c>
      <c r="N817" s="46" t="s">
        <v>36</v>
      </c>
      <c r="O817" s="46" t="s">
        <v>36</v>
      </c>
      <c r="P817" s="46" t="s">
        <v>36</v>
      </c>
      <c r="Q817" s="46" t="s">
        <v>36</v>
      </c>
      <c r="R817" s="46" t="s">
        <v>36</v>
      </c>
      <c r="S817" s="46" t="s">
        <v>36</v>
      </c>
      <c r="T817" s="46" t="s">
        <v>37</v>
      </c>
      <c r="U817" s="46" t="s">
        <v>36</v>
      </c>
      <c r="V817" s="46" t="s">
        <v>36</v>
      </c>
      <c r="W817" s="46" t="s">
        <v>36</v>
      </c>
      <c r="X817" s="46" t="s">
        <v>36</v>
      </c>
      <c r="Y817" s="46" t="s">
        <v>36</v>
      </c>
      <c r="Z817" s="46" t="s">
        <v>36</v>
      </c>
      <c r="AA817" s="46" t="s">
        <v>37</v>
      </c>
      <c r="AB817" s="46" t="s">
        <v>36</v>
      </c>
      <c r="AC817" s="46" t="s">
        <v>36</v>
      </c>
      <c r="AD817" s="46" t="s">
        <v>36</v>
      </c>
      <c r="AE817" s="46" t="s">
        <v>36</v>
      </c>
      <c r="AF817" s="46" t="s">
        <v>36</v>
      </c>
      <c r="AG817" s="46" t="s">
        <v>36</v>
      </c>
      <c r="AH817" s="46" t="s">
        <v>222</v>
      </c>
      <c r="AI817" s="46" t="s">
        <v>36</v>
      </c>
      <c r="AJ817" s="46">
        <f>=SUM(E818:AI818)</f>
      </c>
      <c r="AK817" s="46">
        <f>=+AY817</f>
      </c>
      <c r="AL817" s="46"/>
      <c r="AM817" s="1"/>
      <c r="AN817" s="1">
        <f>=COUNTIF(E817:AI817,"A")+COUNTIF(E817:AI817,"B")+COUNTIF(E817:AI817,"C")+COUNTIF(E817:AI817,"D")+COUNTIF(E817:AI817,"E")+COUNTIF(E817:AI817,"F")+COUNTIF(E817:AI817,"M")+COUNTIF(E817:AI817,"AB")+COUNTIF(E817:AI817,"UZ")+COUNTIF(E817:AI817,"G")+(COUNTIF(E817:AI817,"RT.")/2)+(COUNTIF(E817:AI817,"ÇRT.")/2)</f>
      </c>
      <c r="AO817" s="1">
        <f>=COUNTIF(E817:AI817,"O")</f>
      </c>
      <c r="AP817" s="1">
        <f>=COUNTIF(E817:AI817,"RT")+(COUNTIF(E817:AI817,"RT.")/2)</f>
      </c>
      <c r="AQ817" s="1">
        <f>=COUNTIF(E817:AI817,"ÇRT")+(COUNTIF(E817:AI817,"ÇRT.")/2)</f>
      </c>
      <c r="AR817" s="1">
        <f>=COUNTIF(E817:AI817,"ÇHT")</f>
      </c>
      <c r="AS817" s="1">
        <f>=COUNTIF(E817:AI817,"Ö")+COUNTIF(E817:AI817,"T")</f>
      </c>
      <c r="AT817" s="1">
        <f>=COUNTIF(E817:AI817,"Y")</f>
      </c>
      <c r="AU817" s="1">
        <f>=COUNTIF(E817:AI817,"R.")</f>
      </c>
      <c r="AV817" s="1">
        <f>=COUNTIF(E817:AI817,"Ü")</f>
      </c>
      <c r="AW817" s="1">
        <f>=COUNTIF(E817:AI817,"R")</f>
      </c>
      <c r="AX817" s="1">
        <f>=COUNTIF(E817:AI817,"DV")</f>
      </c>
      <c r="AY817" s="1">
        <f>=+AN817+AO817+AP817+AQ817+AR817+AS817+AT817+AU817</f>
      </c>
    </row>
    <row r="818" ht="16" customHeight="1" spans="1:51" x14ac:dyDescent="0.25">
      <c r="A818" s="45"/>
      <c r="B818" s="46"/>
      <c r="C818" s="46"/>
      <c r="D818" s="46" t="s">
        <v>33</v>
      </c>
      <c r="E818" s="46">
        <v>0</v>
      </c>
      <c r="F818" s="46"/>
      <c r="G818" s="46">
        <v>0</v>
      </c>
      <c r="H818" s="46">
        <v>0</v>
      </c>
      <c r="I818" s="46">
        <v>0</v>
      </c>
      <c r="J818" s="46"/>
      <c r="K818" s="46">
        <v>0</v>
      </c>
      <c r="L818" s="46">
        <v>3</v>
      </c>
      <c r="M818" s="46"/>
      <c r="N818" s="46">
        <v>3</v>
      </c>
      <c r="O818" s="46">
        <v>1</v>
      </c>
      <c r="P818" s="46"/>
      <c r="Q818" s="46"/>
      <c r="R818" s="46"/>
      <c r="S818" s="46"/>
      <c r="T818" s="46"/>
      <c r="U818" s="46">
        <v>1</v>
      </c>
      <c r="V818" s="46">
        <v>1</v>
      </c>
      <c r="W818" s="46"/>
      <c r="X818" s="46">
        <v>0</v>
      </c>
      <c r="Y818" s="46">
        <v>1</v>
      </c>
      <c r="Z818" s="46">
        <v>0</v>
      </c>
      <c r="AA818" s="46"/>
      <c r="AB818" s="46"/>
      <c r="AC818" s="46">
        <v>0</v>
      </c>
      <c r="AD818" s="46"/>
      <c r="AE818" s="46">
        <v>0</v>
      </c>
      <c r="AF818" s="46">
        <v>0</v>
      </c>
      <c r="AG818" s="46">
        <v>3</v>
      </c>
      <c r="AH818" s="46">
        <v>3</v>
      </c>
      <c r="AI818" s="46">
        <v>0</v>
      </c>
      <c r="AJ818" s="46"/>
      <c r="AK818" s="46"/>
      <c r="AL818" s="46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</row>
    <row r="819" ht="16" customHeight="1" spans="1:51" x14ac:dyDescent="0.25">
      <c r="A819" s="45"/>
      <c r="B819" s="46" t="s">
        <v>860</v>
      </c>
      <c r="C819" s="46" t="s">
        <v>861</v>
      </c>
      <c r="D819" s="46" t="s">
        <v>29</v>
      </c>
      <c r="E819" s="46" t="s">
        <v>36</v>
      </c>
      <c r="F819" s="46" t="s">
        <v>37</v>
      </c>
      <c r="G819" s="46" t="s">
        <v>36</v>
      </c>
      <c r="H819" s="46" t="s">
        <v>36</v>
      </c>
      <c r="I819" s="46" t="s">
        <v>36</v>
      </c>
      <c r="J819" s="46" t="s">
        <v>36</v>
      </c>
      <c r="K819" s="46" t="s">
        <v>36</v>
      </c>
      <c r="L819" s="46" t="s">
        <v>36</v>
      </c>
      <c r="M819" s="46" t="s">
        <v>37</v>
      </c>
      <c r="N819" s="46" t="s">
        <v>36</v>
      </c>
      <c r="O819" s="46" t="s">
        <v>36</v>
      </c>
      <c r="P819" s="46" t="s">
        <v>36</v>
      </c>
      <c r="Q819" s="46" t="s">
        <v>36</v>
      </c>
      <c r="R819" s="46" t="s">
        <v>36</v>
      </c>
      <c r="S819" s="46" t="s">
        <v>36</v>
      </c>
      <c r="T819" s="46" t="s">
        <v>37</v>
      </c>
      <c r="U819" s="46" t="s">
        <v>36</v>
      </c>
      <c r="V819" s="46" t="s">
        <v>36</v>
      </c>
      <c r="W819" s="46" t="s">
        <v>31</v>
      </c>
      <c r="X819" s="46" t="s">
        <v>36</v>
      </c>
      <c r="Y819" s="46" t="s">
        <v>36</v>
      </c>
      <c r="Z819" s="46" t="s">
        <v>36</v>
      </c>
      <c r="AA819" s="46" t="s">
        <v>37</v>
      </c>
      <c r="AB819" s="46" t="s">
        <v>36</v>
      </c>
      <c r="AC819" s="46" t="s">
        <v>36</v>
      </c>
      <c r="AD819" s="46" t="s">
        <v>36</v>
      </c>
      <c r="AE819" s="46" t="s">
        <v>36</v>
      </c>
      <c r="AF819" s="46" t="s">
        <v>36</v>
      </c>
      <c r="AG819" s="46" t="s">
        <v>36</v>
      </c>
      <c r="AH819" s="46" t="s">
        <v>222</v>
      </c>
      <c r="AI819" s="46" t="s">
        <v>36</v>
      </c>
      <c r="AJ819" s="46">
        <f>=SUM(E820:AI820)</f>
      </c>
      <c r="AK819" s="46">
        <f>=+AY819</f>
      </c>
      <c r="AL819" s="46"/>
      <c r="AM819" s="1"/>
      <c r="AN819" s="1">
        <f>=COUNTIF(E819:AI819,"A")+COUNTIF(E819:AI819,"B")+COUNTIF(E819:AI819,"C")+COUNTIF(E819:AI819,"D")+COUNTIF(E819:AI819,"E")+COUNTIF(E819:AI819,"F")+COUNTIF(E819:AI819,"M")+COUNTIF(E819:AI819,"AB")+COUNTIF(E819:AI819,"UZ")+COUNTIF(E819:AI819,"G")+(COUNTIF(E819:AI819,"RT.")/2)+(COUNTIF(E819:AI819,"ÇRT.")/2)</f>
      </c>
      <c r="AO819" s="1">
        <f>=COUNTIF(E819:AI819,"O")</f>
      </c>
      <c r="AP819" s="1">
        <f>=COUNTIF(E819:AI819,"RT")+(COUNTIF(E819:AI819,"RT.")/2)</f>
      </c>
      <c r="AQ819" s="1">
        <f>=COUNTIF(E819:AI819,"ÇRT")+(COUNTIF(E819:AI819,"ÇRT.")/2)</f>
      </c>
      <c r="AR819" s="1">
        <f>=COUNTIF(E819:AI819,"ÇHT")</f>
      </c>
      <c r="AS819" s="1">
        <f>=COUNTIF(E819:AI819,"Ö")+COUNTIF(E819:AI819,"T")</f>
      </c>
      <c r="AT819" s="1">
        <f>=COUNTIF(E819:AI819,"Y")</f>
      </c>
      <c r="AU819" s="1">
        <f>=COUNTIF(E819:AI819,"R.")</f>
      </c>
      <c r="AV819" s="1">
        <f>=COUNTIF(E819:AI819,"Ü")</f>
      </c>
      <c r="AW819" s="1">
        <f>=COUNTIF(E819:AI819,"R")</f>
      </c>
      <c r="AX819" s="1">
        <f>=COUNTIF(E819:AI819,"DV")</f>
      </c>
      <c r="AY819" s="1">
        <f>=+AN819+AO819+AP819+AQ819+AR819+AS819+AT819+AU819</f>
      </c>
    </row>
    <row r="820" ht="16" customHeight="1" spans="1:51" x14ac:dyDescent="0.25">
      <c r="A820" s="45"/>
      <c r="B820" s="46"/>
      <c r="C820" s="46"/>
      <c r="D820" s="46" t="s">
        <v>33</v>
      </c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  <c r="AB820" s="46"/>
      <c r="AC820" s="46"/>
      <c r="AD820" s="46"/>
      <c r="AE820" s="46"/>
      <c r="AF820" s="46">
        <v>2</v>
      </c>
      <c r="AG820" s="46">
        <v>3</v>
      </c>
      <c r="AH820" s="46">
        <v>2</v>
      </c>
      <c r="AI820" s="46"/>
      <c r="AJ820" s="46"/>
      <c r="AK820" s="46"/>
      <c r="AL820" s="46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</row>
    <row r="821" ht="16" customHeight="1" spans="1:51" x14ac:dyDescent="0.25">
      <c r="A821" s="45" t="s">
        <v>862</v>
      </c>
      <c r="B821" s="46" t="s">
        <v>863</v>
      </c>
      <c r="C821" s="46" t="s">
        <v>864</v>
      </c>
      <c r="D821" s="46" t="s">
        <v>29</v>
      </c>
      <c r="E821" s="46" t="s">
        <v>42</v>
      </c>
      <c r="F821" s="46" t="s">
        <v>37</v>
      </c>
      <c r="G821" s="46" t="s">
        <v>42</v>
      </c>
      <c r="H821" s="46" t="s">
        <v>42</v>
      </c>
      <c r="I821" s="46" t="s">
        <v>42</v>
      </c>
      <c r="J821" s="46" t="s">
        <v>42</v>
      </c>
      <c r="K821" s="46" t="s">
        <v>42</v>
      </c>
      <c r="L821" s="46" t="s">
        <v>42</v>
      </c>
      <c r="M821" s="46" t="s">
        <v>37</v>
      </c>
      <c r="N821" s="46" t="s">
        <v>42</v>
      </c>
      <c r="O821" s="46" t="s">
        <v>42</v>
      </c>
      <c r="P821" s="46" t="s">
        <v>42</v>
      </c>
      <c r="Q821" s="46" t="s">
        <v>42</v>
      </c>
      <c r="R821" s="46" t="s">
        <v>42</v>
      </c>
      <c r="S821" s="46" t="s">
        <v>42</v>
      </c>
      <c r="T821" s="46" t="s">
        <v>37</v>
      </c>
      <c r="U821" s="46" t="s">
        <v>42</v>
      </c>
      <c r="V821" s="46" t="s">
        <v>42</v>
      </c>
      <c r="W821" s="46" t="s">
        <v>42</v>
      </c>
      <c r="X821" s="46" t="s">
        <v>42</v>
      </c>
      <c r="Y821" s="46" t="s">
        <v>42</v>
      </c>
      <c r="Z821" s="46" t="s">
        <v>42</v>
      </c>
      <c r="AA821" s="46" t="s">
        <v>37</v>
      </c>
      <c r="AB821" s="46" t="s">
        <v>42</v>
      </c>
      <c r="AC821" s="46" t="s">
        <v>42</v>
      </c>
      <c r="AD821" s="46" t="s">
        <v>42</v>
      </c>
      <c r="AE821" s="46" t="s">
        <v>42</v>
      </c>
      <c r="AF821" s="46" t="s">
        <v>42</v>
      </c>
      <c r="AG821" s="46" t="s">
        <v>42</v>
      </c>
      <c r="AH821" s="46" t="s">
        <v>37</v>
      </c>
      <c r="AI821" s="46" t="s">
        <v>42</v>
      </c>
      <c r="AJ821" s="46">
        <f>=SUM(E822:AI822)</f>
      </c>
      <c r="AK821" s="46">
        <f>=+AY821</f>
      </c>
      <c r="AL821" s="46"/>
      <c r="AM821" s="1"/>
      <c r="AN821" s="1">
        <f>=COUNTIF(E821:AI821,"A")+COUNTIF(E821:AI821,"B")+COUNTIF(E821:AI821,"C")+COUNTIF(E821:AI821,"D")+COUNTIF(E821:AI821,"E")+COUNTIF(E821:AI821,"F")+COUNTIF(E821:AI821,"M")+COUNTIF(E821:AI821,"AB")+COUNTIF(E821:AI821,"UZ")+COUNTIF(E821:AI821,"G")+(COUNTIF(E821:AI821,"RT.")/2)+(COUNTIF(E821:AI821,"ÇRT.")/2)</f>
      </c>
      <c r="AO821" s="1">
        <f>=COUNTIF(E821:AI821,"O")</f>
      </c>
      <c r="AP821" s="1">
        <f>=COUNTIF(E821:AI821,"RT")+(COUNTIF(E821:AI821,"RT.")/2)</f>
      </c>
      <c r="AQ821" s="1">
        <f>=COUNTIF(E821:AI821,"ÇRT")+(COUNTIF(E821:AI821,"ÇRT.")/2)</f>
      </c>
      <c r="AR821" s="1">
        <f>=COUNTIF(E821:AI821,"ÇHT")</f>
      </c>
      <c r="AS821" s="1">
        <f>=COUNTIF(E821:AI821,"Ö")+COUNTIF(E821:AI821,"T")</f>
      </c>
      <c r="AT821" s="1">
        <f>=COUNTIF(E821:AI821,"Y")</f>
      </c>
      <c r="AU821" s="1">
        <f>=COUNTIF(E821:AI821,"R.")</f>
      </c>
      <c r="AV821" s="1">
        <f>=COUNTIF(E821:AI821,"Ü")</f>
      </c>
      <c r="AW821" s="1">
        <f>=COUNTIF(E821:AI821,"R")</f>
      </c>
      <c r="AX821" s="1">
        <f>=COUNTIF(E821:AI821,"DV")</f>
      </c>
      <c r="AY821" s="1">
        <f>=+AN821+AO821+AP821+AQ821+AR821+AS821+AT821+AU821</f>
      </c>
    </row>
    <row r="822" ht="16" customHeight="1" spans="1:51" x14ac:dyDescent="0.25">
      <c r="A822" s="45"/>
      <c r="B822" s="46"/>
      <c r="C822" s="46"/>
      <c r="D822" s="46" t="s">
        <v>33</v>
      </c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>
        <v>0</v>
      </c>
      <c r="S822" s="46"/>
      <c r="T822" s="46"/>
      <c r="U822" s="46"/>
      <c r="V822" s="46"/>
      <c r="W822" s="46"/>
      <c r="X822" s="46"/>
      <c r="Y822" s="46"/>
      <c r="Z822" s="46"/>
      <c r="AA822" s="46"/>
      <c r="AB822" s="46"/>
      <c r="AC822" s="46"/>
      <c r="AD822" s="46"/>
      <c r="AE822" s="46"/>
      <c r="AF822" s="46"/>
      <c r="AG822" s="46"/>
      <c r="AH822" s="46"/>
      <c r="AI822" s="46"/>
      <c r="AJ822" s="46"/>
      <c r="AK822" s="46"/>
      <c r="AL822" s="46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</row>
    <row r="823" ht="16" customHeight="1" spans="1:51" x14ac:dyDescent="0.25">
      <c r="A823" s="45"/>
      <c r="B823" s="46" t="s">
        <v>865</v>
      </c>
      <c r="C823" s="46" t="s">
        <v>866</v>
      </c>
      <c r="D823" s="46" t="s">
        <v>29</v>
      </c>
      <c r="E823" s="46" t="s">
        <v>36</v>
      </c>
      <c r="F823" s="46" t="s">
        <v>37</v>
      </c>
      <c r="G823" s="46" t="s">
        <v>36</v>
      </c>
      <c r="H823" s="46" t="s">
        <v>337</v>
      </c>
      <c r="I823" s="46" t="s">
        <v>36</v>
      </c>
      <c r="J823" s="46" t="s">
        <v>36</v>
      </c>
      <c r="K823" s="46" t="s">
        <v>36</v>
      </c>
      <c r="L823" s="46" t="s">
        <v>36</v>
      </c>
      <c r="M823" s="46" t="s">
        <v>37</v>
      </c>
      <c r="N823" s="46" t="s">
        <v>36</v>
      </c>
      <c r="O823" s="46" t="s">
        <v>36</v>
      </c>
      <c r="P823" s="46" t="s">
        <v>36</v>
      </c>
      <c r="Q823" s="46" t="s">
        <v>337</v>
      </c>
      <c r="R823" s="46" t="s">
        <v>36</v>
      </c>
      <c r="S823" s="46" t="s">
        <v>36</v>
      </c>
      <c r="T823" s="46" t="s">
        <v>222</v>
      </c>
      <c r="U823" s="46" t="s">
        <v>36</v>
      </c>
      <c r="V823" s="46" t="s">
        <v>36</v>
      </c>
      <c r="W823" s="46" t="s">
        <v>36</v>
      </c>
      <c r="X823" s="46" t="s">
        <v>36</v>
      </c>
      <c r="Y823" s="46" t="s">
        <v>36</v>
      </c>
      <c r="Z823" s="46" t="s">
        <v>36</v>
      </c>
      <c r="AA823" s="46" t="s">
        <v>37</v>
      </c>
      <c r="AB823" s="46" t="s">
        <v>36</v>
      </c>
      <c r="AC823" s="46" t="s">
        <v>36</v>
      </c>
      <c r="AD823" s="46" t="s">
        <v>36</v>
      </c>
      <c r="AE823" s="46" t="s">
        <v>36</v>
      </c>
      <c r="AF823" s="46" t="s">
        <v>36</v>
      </c>
      <c r="AG823" s="46" t="s">
        <v>36</v>
      </c>
      <c r="AH823" s="46" t="s">
        <v>43</v>
      </c>
      <c r="AI823" s="46" t="s">
        <v>42</v>
      </c>
      <c r="AJ823" s="46">
        <f>=SUM(E824:AI824)</f>
      </c>
      <c r="AK823" s="46">
        <f>=+AY823</f>
      </c>
      <c r="AL823" s="46"/>
      <c r="AM823" s="1"/>
      <c r="AN823" s="1">
        <f>=COUNTIF(E823:AI823,"A")+COUNTIF(E823:AI823,"B")+COUNTIF(E823:AI823,"C")+COUNTIF(E823:AI823,"D")+COUNTIF(E823:AI823,"E")+COUNTIF(E823:AI823,"F")+COUNTIF(E823:AI823,"M")+COUNTIF(E823:AI823,"AB")+COUNTIF(E823:AI823,"UZ")+COUNTIF(E823:AI823,"G")+(COUNTIF(E823:AI823,"RT.")/2)+(COUNTIF(E823:AI823,"ÇRT.")/2)</f>
      </c>
      <c r="AO823" s="1">
        <f>=COUNTIF(E823:AI823,"O")</f>
      </c>
      <c r="AP823" s="1">
        <f>=COUNTIF(E823:AI823,"RT")+(COUNTIF(E823:AI823,"RT.")/2)</f>
      </c>
      <c r="AQ823" s="1">
        <f>=COUNTIF(E823:AI823,"ÇRT")+(COUNTIF(E823:AI823,"ÇRT.")/2)</f>
      </c>
      <c r="AR823" s="1">
        <f>=COUNTIF(E823:AI823,"ÇHT")</f>
      </c>
      <c r="AS823" s="1">
        <f>=COUNTIF(E823:AI823,"Ö")+COUNTIF(E823:AI823,"T")</f>
      </c>
      <c r="AT823" s="1">
        <f>=COUNTIF(E823:AI823,"Y")</f>
      </c>
      <c r="AU823" s="1">
        <f>=COUNTIF(E823:AI823,"R.")</f>
      </c>
      <c r="AV823" s="1">
        <f>=COUNTIF(E823:AI823,"Ü")</f>
      </c>
      <c r="AW823" s="1">
        <f>=COUNTIF(E823:AI823,"R")</f>
      </c>
      <c r="AX823" s="1">
        <f>=COUNTIF(E823:AI823,"DV")</f>
      </c>
      <c r="AY823" s="1">
        <f>=+AN823+AO823+AP823+AQ823+AR823+AS823+AT823+AU823</f>
      </c>
    </row>
    <row r="824" ht="16" customHeight="1" spans="1:51" x14ac:dyDescent="0.25">
      <c r="A824" s="45"/>
      <c r="B824" s="46"/>
      <c r="C824" s="46"/>
      <c r="D824" s="46" t="s">
        <v>33</v>
      </c>
      <c r="E824" s="46"/>
      <c r="F824" s="46"/>
      <c r="G824" s="46"/>
      <c r="H824" s="46"/>
      <c r="I824" s="46"/>
      <c r="J824" s="46"/>
      <c r="K824" s="46">
        <v>1</v>
      </c>
      <c r="L824" s="46"/>
      <c r="M824" s="46"/>
      <c r="N824" s="46"/>
      <c r="O824" s="46"/>
      <c r="P824" s="46"/>
      <c r="Q824" s="46"/>
      <c r="R824" s="46"/>
      <c r="S824" s="46">
        <v>2</v>
      </c>
      <c r="T824" s="46"/>
      <c r="U824" s="46"/>
      <c r="V824" s="46"/>
      <c r="W824" s="46">
        <v>3</v>
      </c>
      <c r="X824" s="46"/>
      <c r="Y824" s="46"/>
      <c r="Z824" s="46"/>
      <c r="AA824" s="46"/>
      <c r="AB824" s="46"/>
      <c r="AC824" s="46"/>
      <c r="AD824" s="46"/>
      <c r="AE824" s="46"/>
      <c r="AF824" s="46"/>
      <c r="AG824" s="46">
        <v>2</v>
      </c>
      <c r="AH824" s="46"/>
      <c r="AI824" s="46">
        <v>2</v>
      </c>
      <c r="AJ824" s="46"/>
      <c r="AK824" s="46"/>
      <c r="AL824" s="46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</row>
    <row r="825" ht="16" customHeight="1" spans="1:51" x14ac:dyDescent="0.25">
      <c r="A825" s="45"/>
      <c r="B825" s="46" t="s">
        <v>867</v>
      </c>
      <c r="C825" s="46" t="s">
        <v>868</v>
      </c>
      <c r="D825" s="46" t="s">
        <v>29</v>
      </c>
      <c r="E825" s="46" t="s">
        <v>42</v>
      </c>
      <c r="F825" s="46" t="s">
        <v>37</v>
      </c>
      <c r="G825" s="46" t="s">
        <v>337</v>
      </c>
      <c r="H825" s="46" t="s">
        <v>42</v>
      </c>
      <c r="I825" s="46" t="s">
        <v>42</v>
      </c>
      <c r="J825" s="46" t="s">
        <v>42</v>
      </c>
      <c r="K825" s="46" t="s">
        <v>42</v>
      </c>
      <c r="L825" s="46" t="s">
        <v>337</v>
      </c>
      <c r="M825" s="46" t="s">
        <v>37</v>
      </c>
      <c r="N825" s="46" t="s">
        <v>42</v>
      </c>
      <c r="O825" s="46" t="s">
        <v>42</v>
      </c>
      <c r="P825" s="46" t="s">
        <v>42</v>
      </c>
      <c r="Q825" s="46" t="s">
        <v>42</v>
      </c>
      <c r="R825" s="46" t="s">
        <v>337</v>
      </c>
      <c r="S825" s="46" t="s">
        <v>37</v>
      </c>
      <c r="T825" s="46" t="s">
        <v>42</v>
      </c>
      <c r="U825" s="46" t="s">
        <v>42</v>
      </c>
      <c r="V825" s="46" t="s">
        <v>42</v>
      </c>
      <c r="W825" s="46" t="s">
        <v>42</v>
      </c>
      <c r="X825" s="46" t="s">
        <v>42</v>
      </c>
      <c r="Y825" s="46" t="s">
        <v>42</v>
      </c>
      <c r="Z825" s="46" t="s">
        <v>337</v>
      </c>
      <c r="AA825" s="46" t="s">
        <v>37</v>
      </c>
      <c r="AB825" s="46" t="s">
        <v>42</v>
      </c>
      <c r="AC825" s="46" t="s">
        <v>42</v>
      </c>
      <c r="AD825" s="46" t="s">
        <v>42</v>
      </c>
      <c r="AE825" s="46" t="s">
        <v>42</v>
      </c>
      <c r="AF825" s="46" t="s">
        <v>42</v>
      </c>
      <c r="AG825" s="46" t="s">
        <v>337</v>
      </c>
      <c r="AH825" s="46" t="s">
        <v>37</v>
      </c>
      <c r="AI825" s="46" t="s">
        <v>42</v>
      </c>
      <c r="AJ825" s="46">
        <f>=SUM(E826:AI826)</f>
      </c>
      <c r="AK825" s="46">
        <f>=+AY825</f>
      </c>
      <c r="AL825" s="46"/>
      <c r="AM825" s="1"/>
      <c r="AN825" s="1">
        <f>=COUNTIF(E825:AI825,"A")+COUNTIF(E825:AI825,"B")+COUNTIF(E825:AI825,"C")+COUNTIF(E825:AI825,"D")+COUNTIF(E825:AI825,"E")+COUNTIF(E825:AI825,"F")+COUNTIF(E825:AI825,"M")+COUNTIF(E825:AI825,"AB")+COUNTIF(E825:AI825,"UZ")+COUNTIF(E825:AI825,"G")+(COUNTIF(E825:AI825,"RT.")/2)+(COUNTIF(E825:AI825,"ÇRT.")/2)</f>
      </c>
      <c r="AO825" s="1">
        <f>=COUNTIF(E825:AI825,"O")</f>
      </c>
      <c r="AP825" s="1">
        <f>=COUNTIF(E825:AI825,"RT")+(COUNTIF(E825:AI825,"RT.")/2)</f>
      </c>
      <c r="AQ825" s="1">
        <f>=COUNTIF(E825:AI825,"ÇRT")+(COUNTIF(E825:AI825,"ÇRT.")/2)</f>
      </c>
      <c r="AR825" s="1">
        <f>=COUNTIF(E825:AI825,"ÇHT")</f>
      </c>
      <c r="AS825" s="1">
        <f>=COUNTIF(E825:AI825,"Ö")+COUNTIF(E825:AI825,"T")</f>
      </c>
      <c r="AT825" s="1">
        <f>=COUNTIF(E825:AI825,"Y")</f>
      </c>
      <c r="AU825" s="1">
        <f>=COUNTIF(E825:AI825,"R.")</f>
      </c>
      <c r="AV825" s="1">
        <f>=COUNTIF(E825:AI825,"Ü")</f>
      </c>
      <c r="AW825" s="1">
        <f>=COUNTIF(E825:AI825,"R")</f>
      </c>
      <c r="AX825" s="1">
        <f>=COUNTIF(E825:AI825,"DV")</f>
      </c>
      <c r="AY825" s="1">
        <f>=+AN825+AO825+AP825+AQ825+AR825+AS825+AT825+AU825</f>
      </c>
    </row>
    <row r="826" ht="16" customHeight="1" spans="1:51" x14ac:dyDescent="0.25">
      <c r="A826" s="45"/>
      <c r="B826" s="46"/>
      <c r="C826" s="46"/>
      <c r="D826" s="46" t="s">
        <v>33</v>
      </c>
      <c r="E826" s="46">
        <v>3</v>
      </c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>
        <v>3</v>
      </c>
      <c r="U826" s="46"/>
      <c r="V826" s="46"/>
      <c r="W826" s="46"/>
      <c r="X826" s="46"/>
      <c r="Y826" s="46"/>
      <c r="Z826" s="46"/>
      <c r="AA826" s="46"/>
      <c r="AB826" s="46"/>
      <c r="AC826" s="46"/>
      <c r="AD826" s="46"/>
      <c r="AE826" s="46"/>
      <c r="AF826" s="46"/>
      <c r="AG826" s="46"/>
      <c r="AH826" s="46"/>
      <c r="AI826" s="46"/>
      <c r="AJ826" s="46"/>
      <c r="AK826" s="46"/>
      <c r="AL826" s="46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</row>
    <row r="827" ht="16" customHeight="1" spans="1:51" x14ac:dyDescent="0.25">
      <c r="A827" s="45"/>
      <c r="B827" s="46" t="s">
        <v>869</v>
      </c>
      <c r="C827" s="46" t="s">
        <v>870</v>
      </c>
      <c r="D827" s="46" t="s">
        <v>29</v>
      </c>
      <c r="E827" s="46" t="s">
        <v>42</v>
      </c>
      <c r="F827" s="46" t="s">
        <v>37</v>
      </c>
      <c r="G827" s="46" t="s">
        <v>42</v>
      </c>
      <c r="H827" s="46" t="s">
        <v>42</v>
      </c>
      <c r="I827" s="46" t="s">
        <v>42</v>
      </c>
      <c r="J827" s="46" t="s">
        <v>42</v>
      </c>
      <c r="K827" s="46" t="s">
        <v>42</v>
      </c>
      <c r="L827" s="46" t="s">
        <v>42</v>
      </c>
      <c r="M827" s="46" t="s">
        <v>37</v>
      </c>
      <c r="N827" s="46" t="s">
        <v>42</v>
      </c>
      <c r="O827" s="46" t="s">
        <v>42</v>
      </c>
      <c r="P827" s="46" t="s">
        <v>42</v>
      </c>
      <c r="Q827" s="46" t="s">
        <v>42</v>
      </c>
      <c r="R827" s="46" t="s">
        <v>42</v>
      </c>
      <c r="S827" s="46" t="s">
        <v>42</v>
      </c>
      <c r="T827" s="46" t="s">
        <v>222</v>
      </c>
      <c r="U827" s="46" t="s">
        <v>42</v>
      </c>
      <c r="V827" s="46" t="s">
        <v>42</v>
      </c>
      <c r="W827" s="46" t="s">
        <v>42</v>
      </c>
      <c r="X827" s="46" t="s">
        <v>42</v>
      </c>
      <c r="Y827" s="46" t="s">
        <v>42</v>
      </c>
      <c r="Z827" s="46" t="s">
        <v>42</v>
      </c>
      <c r="AA827" s="46" t="s">
        <v>37</v>
      </c>
      <c r="AB827" s="46" t="s">
        <v>42</v>
      </c>
      <c r="AC827" s="46" t="s">
        <v>42</v>
      </c>
      <c r="AD827" s="46" t="s">
        <v>42</v>
      </c>
      <c r="AE827" s="46" t="s">
        <v>42</v>
      </c>
      <c r="AF827" s="46" t="s">
        <v>42</v>
      </c>
      <c r="AG827" s="46" t="s">
        <v>42</v>
      </c>
      <c r="AH827" s="46" t="s">
        <v>37</v>
      </c>
      <c r="AI827" s="46" t="s">
        <v>42</v>
      </c>
      <c r="AJ827" s="46">
        <f>=SUM(E828:AI828)</f>
      </c>
      <c r="AK827" s="46">
        <f>=+AY827</f>
      </c>
      <c r="AL827" s="46"/>
      <c r="AM827" s="1"/>
      <c r="AN827" s="1">
        <f>=COUNTIF(E827:AI827,"A")+COUNTIF(E827:AI827,"B")+COUNTIF(E827:AI827,"C")+COUNTIF(E827:AI827,"D")+COUNTIF(E827:AI827,"E")+COUNTIF(E827:AI827,"F")+COUNTIF(E827:AI827,"M")+COUNTIF(E827:AI827,"AB")+COUNTIF(E827:AI827,"UZ")+COUNTIF(E827:AI827,"G")+(COUNTIF(E827:AI827,"RT.")/2)+(COUNTIF(E827:AI827,"ÇRT.")/2)</f>
      </c>
      <c r="AO827" s="1">
        <f>=COUNTIF(E827:AI827,"O")</f>
      </c>
      <c r="AP827" s="1">
        <f>=COUNTIF(E827:AI827,"RT")+(COUNTIF(E827:AI827,"RT.")/2)</f>
      </c>
      <c r="AQ827" s="1">
        <f>=COUNTIF(E827:AI827,"ÇRT")+(COUNTIF(E827:AI827,"ÇRT.")/2)</f>
      </c>
      <c r="AR827" s="1">
        <f>=COUNTIF(E827:AI827,"ÇHT")</f>
      </c>
      <c r="AS827" s="1">
        <f>=COUNTIF(E827:AI827,"Ö")+COUNTIF(E827:AI827,"T")</f>
      </c>
      <c r="AT827" s="1">
        <f>=COUNTIF(E827:AI827,"Y")</f>
      </c>
      <c r="AU827" s="1">
        <f>=COUNTIF(E827:AI827,"R.")</f>
      </c>
      <c r="AV827" s="1">
        <f>=COUNTIF(E827:AI827,"Ü")</f>
      </c>
      <c r="AW827" s="1">
        <f>=COUNTIF(E827:AI827,"R")</f>
      </c>
      <c r="AX827" s="1">
        <f>=COUNTIF(E827:AI827,"DV")</f>
      </c>
      <c r="AY827" s="1">
        <f>=+AN827+AO827+AP827+AQ827+AR827+AS827+AT827+AU827</f>
      </c>
    </row>
    <row r="828" ht="16" customHeight="1" spans="1:51" x14ac:dyDescent="0.25">
      <c r="A828" s="45"/>
      <c r="B828" s="46"/>
      <c r="C828" s="46"/>
      <c r="D828" s="46" t="s">
        <v>33</v>
      </c>
      <c r="E828" s="46">
        <v>0</v>
      </c>
      <c r="F828" s="46"/>
      <c r="G828" s="46"/>
      <c r="H828" s="46">
        <v>2</v>
      </c>
      <c r="I828" s="46"/>
      <c r="J828" s="46"/>
      <c r="K828" s="46">
        <v>1</v>
      </c>
      <c r="L828" s="46"/>
      <c r="M828" s="46"/>
      <c r="N828" s="46"/>
      <c r="O828" s="46"/>
      <c r="P828" s="46"/>
      <c r="Q828" s="46"/>
      <c r="R828" s="46">
        <v>3</v>
      </c>
      <c r="S828" s="46"/>
      <c r="T828" s="46">
        <v>3</v>
      </c>
      <c r="U828" s="46"/>
      <c r="V828" s="46"/>
      <c r="W828" s="46"/>
      <c r="X828" s="46"/>
      <c r="Y828" s="46">
        <v>3</v>
      </c>
      <c r="Z828" s="46"/>
      <c r="AA828" s="46"/>
      <c r="AB828" s="46">
        <v>3</v>
      </c>
      <c r="AC828" s="46"/>
      <c r="AD828" s="46"/>
      <c r="AE828" s="46">
        <v>2</v>
      </c>
      <c r="AF828" s="46"/>
      <c r="AG828" s="46"/>
      <c r="AH828" s="46"/>
      <c r="AI828" s="46"/>
      <c r="AJ828" s="46"/>
      <c r="AK828" s="46"/>
      <c r="AL828" s="46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</row>
    <row r="829" ht="16" customHeight="1" spans="1:51" x14ac:dyDescent="0.25">
      <c r="A829" s="45"/>
      <c r="B829" s="46" t="s">
        <v>871</v>
      </c>
      <c r="C829" s="46" t="s">
        <v>872</v>
      </c>
      <c r="D829" s="46" t="s">
        <v>29</v>
      </c>
      <c r="E829" s="46" t="s">
        <v>36</v>
      </c>
      <c r="F829" s="46" t="s">
        <v>37</v>
      </c>
      <c r="G829" s="46" t="s">
        <v>36</v>
      </c>
      <c r="H829" s="46" t="s">
        <v>36</v>
      </c>
      <c r="I829" s="46" t="s">
        <v>36</v>
      </c>
      <c r="J829" s="46" t="s">
        <v>36</v>
      </c>
      <c r="K829" s="46" t="s">
        <v>36</v>
      </c>
      <c r="L829" s="46" t="s">
        <v>36</v>
      </c>
      <c r="M829" s="46" t="s">
        <v>37</v>
      </c>
      <c r="N829" s="46" t="s">
        <v>153</v>
      </c>
      <c r="O829" s="46" t="s">
        <v>36</v>
      </c>
      <c r="P829" s="46" t="s">
        <v>36</v>
      </c>
      <c r="Q829" s="46" t="s">
        <v>36</v>
      </c>
      <c r="R829" s="46" t="s">
        <v>36</v>
      </c>
      <c r="S829" s="46" t="s">
        <v>36</v>
      </c>
      <c r="T829" s="46" t="s">
        <v>222</v>
      </c>
      <c r="U829" s="46" t="s">
        <v>36</v>
      </c>
      <c r="V829" s="46" t="s">
        <v>36</v>
      </c>
      <c r="W829" s="46" t="s">
        <v>36</v>
      </c>
      <c r="X829" s="46" t="s">
        <v>36</v>
      </c>
      <c r="Y829" s="46" t="s">
        <v>36</v>
      </c>
      <c r="Z829" s="46" t="s">
        <v>36</v>
      </c>
      <c r="AA829" s="46" t="s">
        <v>37</v>
      </c>
      <c r="AB829" s="46" t="s">
        <v>36</v>
      </c>
      <c r="AC829" s="46" t="s">
        <v>36</v>
      </c>
      <c r="AD829" s="46" t="s">
        <v>36</v>
      </c>
      <c r="AE829" s="46" t="s">
        <v>36</v>
      </c>
      <c r="AF829" s="46" t="s">
        <v>36</v>
      </c>
      <c r="AG829" s="46" t="s">
        <v>36</v>
      </c>
      <c r="AH829" s="46" t="s">
        <v>222</v>
      </c>
      <c r="AI829" s="46" t="s">
        <v>36</v>
      </c>
      <c r="AJ829" s="46">
        <f>=SUM(E830:AI830)</f>
      </c>
      <c r="AK829" s="46">
        <f>=+AY829</f>
      </c>
      <c r="AL829" s="46"/>
      <c r="AM829" s="1"/>
      <c r="AN829" s="1">
        <f>=COUNTIF(E829:AI829,"A")+COUNTIF(E829:AI829,"B")+COUNTIF(E829:AI829,"C")+COUNTIF(E829:AI829,"D")+COUNTIF(E829:AI829,"E")+COUNTIF(E829:AI829,"F")+COUNTIF(E829:AI829,"M")+COUNTIF(E829:AI829,"AB")+COUNTIF(E829:AI829,"UZ")+COUNTIF(E829:AI829,"G")+(COUNTIF(E829:AI829,"RT.")/2)+(COUNTIF(E829:AI829,"ÇRT.")/2)</f>
      </c>
      <c r="AO829" s="1">
        <f>=COUNTIF(E829:AI829,"O")</f>
      </c>
      <c r="AP829" s="1">
        <f>=COUNTIF(E829:AI829,"RT")+(COUNTIF(E829:AI829,"RT.")/2)</f>
      </c>
      <c r="AQ829" s="1">
        <f>=COUNTIF(E829:AI829,"ÇRT")+(COUNTIF(E829:AI829,"ÇRT.")/2)</f>
      </c>
      <c r="AR829" s="1">
        <f>=COUNTIF(E829:AI829,"ÇHT")</f>
      </c>
      <c r="AS829" s="1">
        <f>=COUNTIF(E829:AI829,"Ö")+COUNTIF(E829:AI829,"T")</f>
      </c>
      <c r="AT829" s="1">
        <f>=COUNTIF(E829:AI829,"Y")</f>
      </c>
      <c r="AU829" s="1">
        <f>=COUNTIF(E829:AI829,"R.")</f>
      </c>
      <c r="AV829" s="1">
        <f>=COUNTIF(E829:AI829,"Ü")</f>
      </c>
      <c r="AW829" s="1">
        <f>=COUNTIF(E829:AI829,"R")</f>
      </c>
      <c r="AX829" s="1">
        <f>=COUNTIF(E829:AI829,"DV")</f>
      </c>
      <c r="AY829" s="1">
        <f>=+AN829+AO829+AP829+AQ829+AR829+AS829+AT829+AU829</f>
      </c>
    </row>
    <row r="830" ht="16" customHeight="1" spans="1:51" x14ac:dyDescent="0.25">
      <c r="A830" s="45"/>
      <c r="B830" s="46"/>
      <c r="C830" s="46"/>
      <c r="D830" s="46" t="s">
        <v>33</v>
      </c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>
        <v>2</v>
      </c>
      <c r="T830" s="46"/>
      <c r="U830" s="46"/>
      <c r="V830" s="46"/>
      <c r="W830" s="46">
        <v>3</v>
      </c>
      <c r="X830" s="46"/>
      <c r="Y830" s="46"/>
      <c r="Z830" s="46"/>
      <c r="AA830" s="46"/>
      <c r="AB830" s="46"/>
      <c r="AC830" s="46"/>
      <c r="AD830" s="46"/>
      <c r="AE830" s="46"/>
      <c r="AF830" s="46"/>
      <c r="AG830" s="46">
        <v>2</v>
      </c>
      <c r="AH830" s="46"/>
      <c r="AI830" s="46">
        <v>2</v>
      </c>
      <c r="AJ830" s="46"/>
      <c r="AK830" s="46"/>
      <c r="AL830" s="46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</row>
    <row r="831" ht="16" customHeight="1" spans="1:51" x14ac:dyDescent="0.25">
      <c r="A831" s="45"/>
      <c r="B831" s="46" t="s">
        <v>873</v>
      </c>
      <c r="C831" s="46" t="s">
        <v>874</v>
      </c>
      <c r="D831" s="46" t="s">
        <v>29</v>
      </c>
      <c r="E831" s="46" t="s">
        <v>42</v>
      </c>
      <c r="F831" s="46" t="s">
        <v>37</v>
      </c>
      <c r="G831" s="46" t="s">
        <v>42</v>
      </c>
      <c r="H831" s="46" t="s">
        <v>42</v>
      </c>
      <c r="I831" s="46" t="s">
        <v>42</v>
      </c>
      <c r="J831" s="46" t="s">
        <v>42</v>
      </c>
      <c r="K831" s="46" t="s">
        <v>42</v>
      </c>
      <c r="L831" s="46" t="s">
        <v>42</v>
      </c>
      <c r="M831" s="46" t="s">
        <v>37</v>
      </c>
      <c r="N831" s="46" t="s">
        <v>42</v>
      </c>
      <c r="O831" s="46" t="s">
        <v>42</v>
      </c>
      <c r="P831" s="46" t="s">
        <v>42</v>
      </c>
      <c r="Q831" s="46" t="s">
        <v>42</v>
      </c>
      <c r="R831" s="46" t="s">
        <v>42</v>
      </c>
      <c r="S831" s="46" t="s">
        <v>42</v>
      </c>
      <c r="T831" s="46" t="s">
        <v>37</v>
      </c>
      <c r="U831" s="46" t="s">
        <v>42</v>
      </c>
      <c r="V831" s="46" t="s">
        <v>42</v>
      </c>
      <c r="W831" s="46" t="s">
        <v>42</v>
      </c>
      <c r="X831" s="46" t="s">
        <v>42</v>
      </c>
      <c r="Y831" s="46" t="s">
        <v>42</v>
      </c>
      <c r="Z831" s="46" t="s">
        <v>42</v>
      </c>
      <c r="AA831" s="46" t="s">
        <v>37</v>
      </c>
      <c r="AB831" s="46" t="s">
        <v>42</v>
      </c>
      <c r="AC831" s="46" t="s">
        <v>42</v>
      </c>
      <c r="AD831" s="46" t="s">
        <v>42</v>
      </c>
      <c r="AE831" s="46" t="s">
        <v>42</v>
      </c>
      <c r="AF831" s="46" t="s">
        <v>42</v>
      </c>
      <c r="AG831" s="46" t="s">
        <v>37</v>
      </c>
      <c r="AH831" s="46" t="s">
        <v>43</v>
      </c>
      <c r="AI831" s="46" t="s">
        <v>42</v>
      </c>
      <c r="AJ831" s="46">
        <f>=SUM(E832:AI832)</f>
      </c>
      <c r="AK831" s="46">
        <f>=+AY831</f>
      </c>
      <c r="AL831" s="46"/>
      <c r="AM831" s="1"/>
      <c r="AN831" s="1">
        <f>=COUNTIF(E831:AI831,"A")+COUNTIF(E831:AI831,"B")+COUNTIF(E831:AI831,"C")+COUNTIF(E831:AI831,"D")+COUNTIF(E831:AI831,"E")+COUNTIF(E831:AI831,"F")+COUNTIF(E831:AI831,"M")+COUNTIF(E831:AI831,"AB")+COUNTIF(E831:AI831,"UZ")+COUNTIF(E831:AI831,"G")+(COUNTIF(E831:AI831,"RT.")/2)+(COUNTIF(E831:AI831,"ÇRT.")/2)</f>
      </c>
      <c r="AO831" s="1">
        <f>=COUNTIF(E831:AI831,"O")</f>
      </c>
      <c r="AP831" s="1">
        <f>=COUNTIF(E831:AI831,"RT")+(COUNTIF(E831:AI831,"RT.")/2)</f>
      </c>
      <c r="AQ831" s="1">
        <f>=COUNTIF(E831:AI831,"ÇRT")+(COUNTIF(E831:AI831,"ÇRT.")/2)</f>
      </c>
      <c r="AR831" s="1">
        <f>=COUNTIF(E831:AI831,"ÇHT")</f>
      </c>
      <c r="AS831" s="1">
        <f>=COUNTIF(E831:AI831,"Ö")+COUNTIF(E831:AI831,"T")</f>
      </c>
      <c r="AT831" s="1">
        <f>=COUNTIF(E831:AI831,"Y")</f>
      </c>
      <c r="AU831" s="1">
        <f>=COUNTIF(E831:AI831,"R.")</f>
      </c>
      <c r="AV831" s="1">
        <f>=COUNTIF(E831:AI831,"Ü")</f>
      </c>
      <c r="AW831" s="1">
        <f>=COUNTIF(E831:AI831,"R")</f>
      </c>
      <c r="AX831" s="1">
        <f>=COUNTIF(E831:AI831,"DV")</f>
      </c>
      <c r="AY831" s="1">
        <f>=+AN831+AO831+AP831+AQ831+AR831+AS831+AT831+AU831</f>
      </c>
    </row>
    <row r="832" ht="16" customHeight="1" spans="1:51" x14ac:dyDescent="0.25">
      <c r="A832" s="45"/>
      <c r="B832" s="46"/>
      <c r="C832" s="46"/>
      <c r="D832" s="46" t="s">
        <v>33</v>
      </c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  <c r="AB832" s="46"/>
      <c r="AC832" s="46"/>
      <c r="AD832" s="46"/>
      <c r="AE832" s="46"/>
      <c r="AF832" s="46"/>
      <c r="AG832" s="46"/>
      <c r="AH832" s="46"/>
      <c r="AI832" s="46"/>
      <c r="AJ832" s="46"/>
      <c r="AK832" s="46"/>
      <c r="AL832" s="46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</row>
    <row r="833" ht="16" customHeight="1" spans="1:51" x14ac:dyDescent="0.25">
      <c r="A833" s="45"/>
      <c r="B833" s="46" t="s">
        <v>875</v>
      </c>
      <c r="C833" s="46" t="s">
        <v>876</v>
      </c>
      <c r="D833" s="46" t="s">
        <v>29</v>
      </c>
      <c r="E833" s="46" t="s">
        <v>42</v>
      </c>
      <c r="F833" s="46" t="s">
        <v>37</v>
      </c>
      <c r="G833" s="46" t="s">
        <v>42</v>
      </c>
      <c r="H833" s="46" t="s">
        <v>42</v>
      </c>
      <c r="I833" s="46" t="s">
        <v>42</v>
      </c>
      <c r="J833" s="46" t="s">
        <v>42</v>
      </c>
      <c r="K833" s="46" t="s">
        <v>42</v>
      </c>
      <c r="L833" s="46" t="s">
        <v>42</v>
      </c>
      <c r="M833" s="46" t="s">
        <v>37</v>
      </c>
      <c r="N833" s="46" t="s">
        <v>42</v>
      </c>
      <c r="O833" s="46" t="s">
        <v>42</v>
      </c>
      <c r="P833" s="46" t="s">
        <v>42</v>
      </c>
      <c r="Q833" s="46" t="s">
        <v>42</v>
      </c>
      <c r="R833" s="46" t="s">
        <v>42</v>
      </c>
      <c r="S833" s="46" t="s">
        <v>37</v>
      </c>
      <c r="T833" s="46" t="s">
        <v>42</v>
      </c>
      <c r="U833" s="46" t="s">
        <v>42</v>
      </c>
      <c r="V833" s="46" t="s">
        <v>42</v>
      </c>
      <c r="W833" s="46" t="s">
        <v>42</v>
      </c>
      <c r="X833" s="46" t="s">
        <v>42</v>
      </c>
      <c r="Y833" s="46" t="s">
        <v>42</v>
      </c>
      <c r="Z833" s="46" t="s">
        <v>42</v>
      </c>
      <c r="AA833" s="46" t="s">
        <v>37</v>
      </c>
      <c r="AB833" s="46" t="s">
        <v>42</v>
      </c>
      <c r="AC833" s="46" t="s">
        <v>42</v>
      </c>
      <c r="AD833" s="46" t="s">
        <v>42</v>
      </c>
      <c r="AE833" s="46" t="s">
        <v>42</v>
      </c>
      <c r="AF833" s="46" t="s">
        <v>42</v>
      </c>
      <c r="AG833" s="46" t="s">
        <v>42</v>
      </c>
      <c r="AH833" s="46" t="s">
        <v>37</v>
      </c>
      <c r="AI833" s="46" t="s">
        <v>42</v>
      </c>
      <c r="AJ833" s="46">
        <f>=SUM(E834:AI834)</f>
      </c>
      <c r="AK833" s="46">
        <f>=+AY833</f>
      </c>
      <c r="AL833" s="46"/>
      <c r="AM833" s="1"/>
      <c r="AN833" s="1">
        <f>=COUNTIF(E833:AI833,"A")+COUNTIF(E833:AI833,"B")+COUNTIF(E833:AI833,"C")+COUNTIF(E833:AI833,"D")+COUNTIF(E833:AI833,"E")+COUNTIF(E833:AI833,"F")+COUNTIF(E833:AI833,"M")+COUNTIF(E833:AI833,"AB")+COUNTIF(E833:AI833,"UZ")+COUNTIF(E833:AI833,"G")+(COUNTIF(E833:AI833,"RT.")/2)+(COUNTIF(E833:AI833,"ÇRT.")/2)</f>
      </c>
      <c r="AO833" s="1">
        <f>=COUNTIF(E833:AI833,"O")</f>
      </c>
      <c r="AP833" s="1">
        <f>=COUNTIF(E833:AI833,"RT")+(COUNTIF(E833:AI833,"RT.")/2)</f>
      </c>
      <c r="AQ833" s="1">
        <f>=COUNTIF(E833:AI833,"ÇRT")+(COUNTIF(E833:AI833,"ÇRT.")/2)</f>
      </c>
      <c r="AR833" s="1">
        <f>=COUNTIF(E833:AI833,"ÇHT")</f>
      </c>
      <c r="AS833" s="1">
        <f>=COUNTIF(E833:AI833,"Ö")+COUNTIF(E833:AI833,"T")</f>
      </c>
      <c r="AT833" s="1">
        <f>=COUNTIF(E833:AI833,"Y")</f>
      </c>
      <c r="AU833" s="1">
        <f>=COUNTIF(E833:AI833,"R.")</f>
      </c>
      <c r="AV833" s="1">
        <f>=COUNTIF(E833:AI833,"Ü")</f>
      </c>
      <c r="AW833" s="1">
        <f>=COUNTIF(E833:AI833,"R")</f>
      </c>
      <c r="AX833" s="1">
        <f>=COUNTIF(E833:AI833,"DV")</f>
      </c>
      <c r="AY833" s="1">
        <f>=+AN833+AO833+AP833+AQ833+AR833+AS833+AT833+AU833</f>
      </c>
    </row>
    <row r="834" ht="16" customHeight="1" spans="1:51" x14ac:dyDescent="0.25">
      <c r="A834" s="45"/>
      <c r="B834" s="46"/>
      <c r="C834" s="46"/>
      <c r="D834" s="46" t="s">
        <v>33</v>
      </c>
      <c r="E834" s="46">
        <v>3</v>
      </c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>
        <v>3</v>
      </c>
      <c r="U834" s="46"/>
      <c r="V834" s="46"/>
      <c r="W834" s="46"/>
      <c r="X834" s="46"/>
      <c r="Y834" s="46"/>
      <c r="Z834" s="46"/>
      <c r="AA834" s="46"/>
      <c r="AB834" s="46"/>
      <c r="AC834" s="46"/>
      <c r="AD834" s="46"/>
      <c r="AE834" s="46"/>
      <c r="AF834" s="46"/>
      <c r="AG834" s="46"/>
      <c r="AH834" s="46"/>
      <c r="AI834" s="46"/>
      <c r="AJ834" s="46"/>
      <c r="AK834" s="46"/>
      <c r="AL834" s="46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</row>
    <row r="835" ht="16" customHeight="1" spans="1:51" x14ac:dyDescent="0.25">
      <c r="A835" s="45"/>
      <c r="B835" s="46" t="s">
        <v>877</v>
      </c>
      <c r="C835" s="46" t="s">
        <v>878</v>
      </c>
      <c r="D835" s="46" t="s">
        <v>29</v>
      </c>
      <c r="E835" s="46" t="s">
        <v>42</v>
      </c>
      <c r="F835" s="46" t="s">
        <v>37</v>
      </c>
      <c r="G835" s="46" t="s">
        <v>42</v>
      </c>
      <c r="H835" s="46" t="s">
        <v>42</v>
      </c>
      <c r="I835" s="46" t="s">
        <v>42</v>
      </c>
      <c r="J835" s="46" t="s">
        <v>42</v>
      </c>
      <c r="K835" s="46" t="s">
        <v>42</v>
      </c>
      <c r="L835" s="46" t="s">
        <v>153</v>
      </c>
      <c r="M835" s="46" t="s">
        <v>37</v>
      </c>
      <c r="N835" s="46" t="s">
        <v>42</v>
      </c>
      <c r="O835" s="46" t="s">
        <v>42</v>
      </c>
      <c r="P835" s="46" t="s">
        <v>42</v>
      </c>
      <c r="Q835" s="46" t="s">
        <v>42</v>
      </c>
      <c r="R835" s="46" t="s">
        <v>42</v>
      </c>
      <c r="S835" s="46" t="s">
        <v>42</v>
      </c>
      <c r="T835" s="46" t="s">
        <v>37</v>
      </c>
      <c r="U835" s="46" t="s">
        <v>42</v>
      </c>
      <c r="V835" s="46" t="s">
        <v>42</v>
      </c>
      <c r="W835" s="46" t="s">
        <v>42</v>
      </c>
      <c r="X835" s="46" t="s">
        <v>42</v>
      </c>
      <c r="Y835" s="46" t="s">
        <v>42</v>
      </c>
      <c r="Z835" s="46" t="s">
        <v>42</v>
      </c>
      <c r="AA835" s="46" t="s">
        <v>37</v>
      </c>
      <c r="AB835" s="46" t="s">
        <v>153</v>
      </c>
      <c r="AC835" s="46" t="s">
        <v>42</v>
      </c>
      <c r="AD835" s="46" t="s">
        <v>42</v>
      </c>
      <c r="AE835" s="46" t="s">
        <v>42</v>
      </c>
      <c r="AF835" s="46" t="s">
        <v>42</v>
      </c>
      <c r="AG835" s="46" t="s">
        <v>42</v>
      </c>
      <c r="AH835" s="46" t="s">
        <v>37</v>
      </c>
      <c r="AI835" s="46" t="s">
        <v>42</v>
      </c>
      <c r="AJ835" s="46">
        <f>=SUM(E836:AI836)</f>
      </c>
      <c r="AK835" s="46">
        <f>=+AY835</f>
      </c>
      <c r="AL835" s="46"/>
      <c r="AM835" s="1"/>
      <c r="AN835" s="1">
        <f>=COUNTIF(E835:AI835,"A")+COUNTIF(E835:AI835,"B")+COUNTIF(E835:AI835,"C")+COUNTIF(E835:AI835,"D")+COUNTIF(E835:AI835,"E")+COUNTIF(E835:AI835,"F")+COUNTIF(E835:AI835,"M")+COUNTIF(E835:AI835,"AB")+COUNTIF(E835:AI835,"UZ")+COUNTIF(E835:AI835,"G")+(COUNTIF(E835:AI835,"RT.")/2)+(COUNTIF(E835:AI835,"ÇRT.")/2)</f>
      </c>
      <c r="AO835" s="1">
        <f>=COUNTIF(E835:AI835,"O")</f>
      </c>
      <c r="AP835" s="1">
        <f>=COUNTIF(E835:AI835,"RT")+(COUNTIF(E835:AI835,"RT.")/2)</f>
      </c>
      <c r="AQ835" s="1">
        <f>=COUNTIF(E835:AI835,"ÇRT")+(COUNTIF(E835:AI835,"ÇRT.")/2)</f>
      </c>
      <c r="AR835" s="1">
        <f>=COUNTIF(E835:AI835,"ÇHT")</f>
      </c>
      <c r="AS835" s="1">
        <f>=COUNTIF(E835:AI835,"Ö")+COUNTIF(E835:AI835,"T")</f>
      </c>
      <c r="AT835" s="1">
        <f>=COUNTIF(E835:AI835,"Y")</f>
      </c>
      <c r="AU835" s="1">
        <f>=COUNTIF(E835:AI835,"R.")</f>
      </c>
      <c r="AV835" s="1">
        <f>=COUNTIF(E835:AI835,"Ü")</f>
      </c>
      <c r="AW835" s="1">
        <f>=COUNTIF(E835:AI835,"R")</f>
      </c>
      <c r="AX835" s="1">
        <f>=COUNTIF(E835:AI835,"DV")</f>
      </c>
      <c r="AY835" s="1">
        <f>=+AN835+AO835+AP835+AQ835+AR835+AS835+AT835+AU835</f>
      </c>
    </row>
    <row r="836" ht="16" customHeight="1" spans="1:51" x14ac:dyDescent="0.25">
      <c r="A836" s="45"/>
      <c r="B836" s="46"/>
      <c r="C836" s="46"/>
      <c r="D836" s="46" t="s">
        <v>33</v>
      </c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  <c r="AB836" s="46"/>
      <c r="AC836" s="46"/>
      <c r="AD836" s="46"/>
      <c r="AE836" s="46"/>
      <c r="AF836" s="46"/>
      <c r="AG836" s="46"/>
      <c r="AH836" s="46"/>
      <c r="AI836" s="46"/>
      <c r="AJ836" s="46"/>
      <c r="AK836" s="46"/>
      <c r="AL836" s="46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</row>
    <row r="837" ht="16" customHeight="1" spans="1:51" x14ac:dyDescent="0.25">
      <c r="A837" s="45"/>
      <c r="B837" s="46" t="s">
        <v>879</v>
      </c>
      <c r="C837" s="46" t="s">
        <v>880</v>
      </c>
      <c r="D837" s="46" t="s">
        <v>29</v>
      </c>
      <c r="E837" s="46" t="s">
        <v>42</v>
      </c>
      <c r="F837" s="46" t="s">
        <v>37</v>
      </c>
      <c r="G837" s="46" t="s">
        <v>42</v>
      </c>
      <c r="H837" s="46" t="s">
        <v>42</v>
      </c>
      <c r="I837" s="46" t="s">
        <v>42</v>
      </c>
      <c r="J837" s="46" t="s">
        <v>42</v>
      </c>
      <c r="K837" s="46" t="s">
        <v>42</v>
      </c>
      <c r="L837" s="46" t="s">
        <v>153</v>
      </c>
      <c r="M837" s="46" t="s">
        <v>37</v>
      </c>
      <c r="N837" s="46" t="s">
        <v>42</v>
      </c>
      <c r="O837" s="46" t="s">
        <v>42</v>
      </c>
      <c r="P837" s="46" t="s">
        <v>42</v>
      </c>
      <c r="Q837" s="46" t="s">
        <v>42</v>
      </c>
      <c r="R837" s="46" t="s">
        <v>42</v>
      </c>
      <c r="S837" s="46" t="s">
        <v>153</v>
      </c>
      <c r="T837" s="46" t="s">
        <v>37</v>
      </c>
      <c r="U837" s="46" t="s">
        <v>42</v>
      </c>
      <c r="V837" s="46" t="s">
        <v>42</v>
      </c>
      <c r="W837" s="46" t="s">
        <v>42</v>
      </c>
      <c r="X837" s="46" t="s">
        <v>42</v>
      </c>
      <c r="Y837" s="46" t="s">
        <v>42</v>
      </c>
      <c r="Z837" s="46" t="s">
        <v>42</v>
      </c>
      <c r="AA837" s="46" t="s">
        <v>37</v>
      </c>
      <c r="AB837" s="46" t="s">
        <v>42</v>
      </c>
      <c r="AC837" s="46" t="s">
        <v>42</v>
      </c>
      <c r="AD837" s="46" t="s">
        <v>42</v>
      </c>
      <c r="AE837" s="46" t="s">
        <v>42</v>
      </c>
      <c r="AF837" s="46" t="s">
        <v>42</v>
      </c>
      <c r="AG837" s="46" t="s">
        <v>42</v>
      </c>
      <c r="AH837" s="46" t="s">
        <v>37</v>
      </c>
      <c r="AI837" s="46" t="s">
        <v>42</v>
      </c>
      <c r="AJ837" s="46">
        <f>=SUM(E838:AI838)</f>
      </c>
      <c r="AK837" s="46">
        <f>=+AY837</f>
      </c>
      <c r="AL837" s="46"/>
      <c r="AM837" s="1"/>
      <c r="AN837" s="1">
        <f>=COUNTIF(E837:AI837,"A")+COUNTIF(E837:AI837,"B")+COUNTIF(E837:AI837,"C")+COUNTIF(E837:AI837,"D")+COUNTIF(E837:AI837,"E")+COUNTIF(E837:AI837,"F")+COUNTIF(E837:AI837,"M")+COUNTIF(E837:AI837,"AB")+COUNTIF(E837:AI837,"UZ")+COUNTIF(E837:AI837,"G")+(COUNTIF(E837:AI837,"RT.")/2)+(COUNTIF(E837:AI837,"ÇRT.")/2)</f>
      </c>
      <c r="AO837" s="1">
        <f>=COUNTIF(E837:AI837,"O")</f>
      </c>
      <c r="AP837" s="1">
        <f>=COUNTIF(E837:AI837,"RT")+(COUNTIF(E837:AI837,"RT.")/2)</f>
      </c>
      <c r="AQ837" s="1">
        <f>=COUNTIF(E837:AI837,"ÇRT")+(COUNTIF(E837:AI837,"ÇRT.")/2)</f>
      </c>
      <c r="AR837" s="1">
        <f>=COUNTIF(E837:AI837,"ÇHT")</f>
      </c>
      <c r="AS837" s="1">
        <f>=COUNTIF(E837:AI837,"Ö")+COUNTIF(E837:AI837,"T")</f>
      </c>
      <c r="AT837" s="1">
        <f>=COUNTIF(E837:AI837,"Y")</f>
      </c>
      <c r="AU837" s="1">
        <f>=COUNTIF(E837:AI837,"R.")</f>
      </c>
      <c r="AV837" s="1">
        <f>=COUNTIF(E837:AI837,"Ü")</f>
      </c>
      <c r="AW837" s="1">
        <f>=COUNTIF(E837:AI837,"R")</f>
      </c>
      <c r="AX837" s="1">
        <f>=COUNTIF(E837:AI837,"DV")</f>
      </c>
      <c r="AY837" s="1">
        <f>=+AN837+AO837+AP837+AQ837+AR837+AS837+AT837+AU837</f>
      </c>
    </row>
    <row r="838" ht="16" customHeight="1" spans="1:51" x14ac:dyDescent="0.25">
      <c r="A838" s="45"/>
      <c r="B838" s="46"/>
      <c r="C838" s="46"/>
      <c r="D838" s="46" t="s">
        <v>33</v>
      </c>
      <c r="E838" s="46"/>
      <c r="F838" s="46"/>
      <c r="G838" s="46"/>
      <c r="H838" s="46"/>
      <c r="I838" s="46"/>
      <c r="J838" s="46"/>
      <c r="K838" s="46">
        <v>0</v>
      </c>
      <c r="L838" s="46"/>
      <c r="M838" s="46"/>
      <c r="N838" s="46"/>
      <c r="O838" s="46"/>
      <c r="P838" s="46"/>
      <c r="Q838" s="46"/>
      <c r="R838" s="46"/>
      <c r="S838" s="46"/>
      <c r="T838" s="46">
        <v>0</v>
      </c>
      <c r="U838" s="46"/>
      <c r="V838" s="46"/>
      <c r="W838" s="46"/>
      <c r="X838" s="46"/>
      <c r="Y838" s="46"/>
      <c r="Z838" s="46"/>
      <c r="AA838" s="46"/>
      <c r="AB838" s="46"/>
      <c r="AC838" s="46"/>
      <c r="AD838" s="46"/>
      <c r="AE838" s="46"/>
      <c r="AF838" s="46"/>
      <c r="AG838" s="46"/>
      <c r="AH838" s="46"/>
      <c r="AI838" s="46"/>
      <c r="AJ838" s="46"/>
      <c r="AK838" s="46"/>
      <c r="AL838" s="46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</row>
    <row r="839" ht="16" customHeight="1" spans="1:51" x14ac:dyDescent="0.25">
      <c r="A839" s="45"/>
      <c r="B839" s="46" t="s">
        <v>881</v>
      </c>
      <c r="C839" s="46" t="s">
        <v>882</v>
      </c>
      <c r="D839" s="46" t="s">
        <v>29</v>
      </c>
      <c r="E839" s="46" t="s">
        <v>42</v>
      </c>
      <c r="F839" s="46" t="s">
        <v>37</v>
      </c>
      <c r="G839" s="46" t="s">
        <v>42</v>
      </c>
      <c r="H839" s="46" t="s">
        <v>42</v>
      </c>
      <c r="I839" s="46" t="s">
        <v>42</v>
      </c>
      <c r="J839" s="46" t="s">
        <v>42</v>
      </c>
      <c r="K839" s="46" t="s">
        <v>42</v>
      </c>
      <c r="L839" s="46" t="s">
        <v>42</v>
      </c>
      <c r="M839" s="46" t="s">
        <v>37</v>
      </c>
      <c r="N839" s="46" t="s">
        <v>42</v>
      </c>
      <c r="O839" s="46" t="s">
        <v>42</v>
      </c>
      <c r="P839" s="46" t="s">
        <v>42</v>
      </c>
      <c r="Q839" s="46" t="s">
        <v>42</v>
      </c>
      <c r="R839" s="46" t="s">
        <v>42</v>
      </c>
      <c r="S839" s="46" t="s">
        <v>153</v>
      </c>
      <c r="T839" s="46" t="s">
        <v>37</v>
      </c>
      <c r="U839" s="46" t="s">
        <v>42</v>
      </c>
      <c r="V839" s="46" t="s">
        <v>42</v>
      </c>
      <c r="W839" s="46" t="s">
        <v>42</v>
      </c>
      <c r="X839" s="46" t="s">
        <v>42</v>
      </c>
      <c r="Y839" s="46" t="s">
        <v>42</v>
      </c>
      <c r="Z839" s="46" t="s">
        <v>337</v>
      </c>
      <c r="AA839" s="46" t="s">
        <v>37</v>
      </c>
      <c r="AB839" s="46" t="s">
        <v>42</v>
      </c>
      <c r="AC839" s="46" t="s">
        <v>42</v>
      </c>
      <c r="AD839" s="46" t="s">
        <v>42</v>
      </c>
      <c r="AE839" s="46" t="s">
        <v>42</v>
      </c>
      <c r="AF839" s="46" t="s">
        <v>42</v>
      </c>
      <c r="AG839" s="46" t="s">
        <v>42</v>
      </c>
      <c r="AH839" s="46" t="s">
        <v>37</v>
      </c>
      <c r="AI839" s="46" t="s">
        <v>42</v>
      </c>
      <c r="AJ839" s="46">
        <f>=SUM(E840:AI840)</f>
      </c>
      <c r="AK839" s="46">
        <f>=+AY839</f>
      </c>
      <c r="AL839" s="46"/>
      <c r="AM839" s="1"/>
      <c r="AN839" s="1">
        <f>=COUNTIF(E839:AI839,"A")+COUNTIF(E839:AI839,"B")+COUNTIF(E839:AI839,"C")+COUNTIF(E839:AI839,"D")+COUNTIF(E839:AI839,"E")+COUNTIF(E839:AI839,"F")+COUNTIF(E839:AI839,"M")+COUNTIF(E839:AI839,"AB")+COUNTIF(E839:AI839,"UZ")+COUNTIF(E839:AI839,"G")+(COUNTIF(E839:AI839,"RT.")/2)+(COUNTIF(E839:AI839,"ÇRT.")/2)</f>
      </c>
      <c r="AO839" s="1">
        <f>=COUNTIF(E839:AI839,"O")</f>
      </c>
      <c r="AP839" s="1">
        <f>=COUNTIF(E839:AI839,"RT")+(COUNTIF(E839:AI839,"RT.")/2)</f>
      </c>
      <c r="AQ839" s="1">
        <f>=COUNTIF(E839:AI839,"ÇRT")+(COUNTIF(E839:AI839,"ÇRT.")/2)</f>
      </c>
      <c r="AR839" s="1">
        <f>=COUNTIF(E839:AI839,"ÇHT")</f>
      </c>
      <c r="AS839" s="1">
        <f>=COUNTIF(E839:AI839,"Ö")+COUNTIF(E839:AI839,"T")</f>
      </c>
      <c r="AT839" s="1">
        <f>=COUNTIF(E839:AI839,"Y")</f>
      </c>
      <c r="AU839" s="1">
        <f>=COUNTIF(E839:AI839,"R.")</f>
      </c>
      <c r="AV839" s="1">
        <f>=COUNTIF(E839:AI839,"Ü")</f>
      </c>
      <c r="AW839" s="1">
        <f>=COUNTIF(E839:AI839,"R")</f>
      </c>
      <c r="AX839" s="1">
        <f>=COUNTIF(E839:AI839,"DV")</f>
      </c>
      <c r="AY839" s="1">
        <f>=+AN839+AO839+AP839+AQ839+AR839+AS839+AT839+AU839</f>
      </c>
    </row>
    <row r="840" ht="16" customHeight="1" spans="1:51" x14ac:dyDescent="0.25">
      <c r="A840" s="45"/>
      <c r="B840" s="46"/>
      <c r="C840" s="46"/>
      <c r="D840" s="46" t="s">
        <v>33</v>
      </c>
      <c r="E840" s="46"/>
      <c r="F840" s="46"/>
      <c r="G840" s="46"/>
      <c r="H840" s="46">
        <v>2</v>
      </c>
      <c r="I840" s="46"/>
      <c r="J840" s="46"/>
      <c r="K840" s="46">
        <v>1</v>
      </c>
      <c r="L840" s="46"/>
      <c r="M840" s="46"/>
      <c r="N840" s="46"/>
      <c r="O840" s="46"/>
      <c r="P840" s="46"/>
      <c r="Q840" s="46"/>
      <c r="R840" s="46">
        <v>3</v>
      </c>
      <c r="S840" s="46"/>
      <c r="T840" s="46"/>
      <c r="U840" s="46"/>
      <c r="V840" s="46"/>
      <c r="W840" s="46"/>
      <c r="X840" s="46"/>
      <c r="Y840" s="46">
        <v>3</v>
      </c>
      <c r="Z840" s="46"/>
      <c r="AA840" s="46"/>
      <c r="AB840" s="46">
        <v>3</v>
      </c>
      <c r="AC840" s="46"/>
      <c r="AD840" s="46"/>
      <c r="AE840" s="46"/>
      <c r="AF840" s="46"/>
      <c r="AG840" s="46"/>
      <c r="AH840" s="46"/>
      <c r="AI840" s="46"/>
      <c r="AJ840" s="46"/>
      <c r="AK840" s="46"/>
      <c r="AL840" s="46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</row>
    <row r="841" ht="16" customHeight="1" spans="1:51" x14ac:dyDescent="0.25">
      <c r="A841" s="45"/>
      <c r="B841" s="46" t="s">
        <v>883</v>
      </c>
      <c r="C841" s="46" t="s">
        <v>884</v>
      </c>
      <c r="D841" s="46" t="s">
        <v>29</v>
      </c>
      <c r="E841" s="46" t="s">
        <v>42</v>
      </c>
      <c r="F841" s="46" t="s">
        <v>37</v>
      </c>
      <c r="G841" s="46" t="s">
        <v>42</v>
      </c>
      <c r="H841" s="46" t="s">
        <v>42</v>
      </c>
      <c r="I841" s="46" t="s">
        <v>42</v>
      </c>
      <c r="J841" s="46" t="s">
        <v>42</v>
      </c>
      <c r="K841" s="46" t="s">
        <v>42</v>
      </c>
      <c r="L841" s="46" t="s">
        <v>42</v>
      </c>
      <c r="M841" s="46" t="s">
        <v>37</v>
      </c>
      <c r="N841" s="46" t="s">
        <v>42</v>
      </c>
      <c r="O841" s="46" t="s">
        <v>42</v>
      </c>
      <c r="P841" s="46" t="s">
        <v>153</v>
      </c>
      <c r="Q841" s="46" t="s">
        <v>42</v>
      </c>
      <c r="R841" s="46" t="s">
        <v>42</v>
      </c>
      <c r="S841" s="46" t="s">
        <v>42</v>
      </c>
      <c r="T841" s="46" t="s">
        <v>222</v>
      </c>
      <c r="U841" s="46" t="s">
        <v>42</v>
      </c>
      <c r="V841" s="46" t="s">
        <v>42</v>
      </c>
      <c r="W841" s="46" t="s">
        <v>42</v>
      </c>
      <c r="X841" s="46" t="s">
        <v>42</v>
      </c>
      <c r="Y841" s="46" t="s">
        <v>42</v>
      </c>
      <c r="Z841" s="46" t="s">
        <v>42</v>
      </c>
      <c r="AA841" s="46" t="s">
        <v>37</v>
      </c>
      <c r="AB841" s="46" t="s">
        <v>42</v>
      </c>
      <c r="AC841" s="46" t="s">
        <v>42</v>
      </c>
      <c r="AD841" s="46" t="s">
        <v>42</v>
      </c>
      <c r="AE841" s="46" t="s">
        <v>42</v>
      </c>
      <c r="AF841" s="46" t="s">
        <v>42</v>
      </c>
      <c r="AG841" s="46" t="s">
        <v>42</v>
      </c>
      <c r="AH841" s="46" t="s">
        <v>222</v>
      </c>
      <c r="AI841" s="46" t="s">
        <v>42</v>
      </c>
      <c r="AJ841" s="46">
        <f>=SUM(E842:AI842)</f>
      </c>
      <c r="AK841" s="46">
        <f>=+AY841</f>
      </c>
      <c r="AL841" s="46"/>
      <c r="AM841" s="1"/>
      <c r="AN841" s="1">
        <f>=COUNTIF(E841:AI841,"A")+COUNTIF(E841:AI841,"B")+COUNTIF(E841:AI841,"C")+COUNTIF(E841:AI841,"D")+COUNTIF(E841:AI841,"E")+COUNTIF(E841:AI841,"F")+COUNTIF(E841:AI841,"M")+COUNTIF(E841:AI841,"AB")+COUNTIF(E841:AI841,"UZ")+COUNTIF(E841:AI841,"G")+(COUNTIF(E841:AI841,"RT.")/2)+(COUNTIF(E841:AI841,"ÇRT.")/2)</f>
      </c>
      <c r="AO841" s="1">
        <f>=COUNTIF(E841:AI841,"O")</f>
      </c>
      <c r="AP841" s="1">
        <f>=COUNTIF(E841:AI841,"RT")+(COUNTIF(E841:AI841,"RT.")/2)</f>
      </c>
      <c r="AQ841" s="1">
        <f>=COUNTIF(E841:AI841,"ÇRT")+(COUNTIF(E841:AI841,"ÇRT.")/2)</f>
      </c>
      <c r="AR841" s="1">
        <f>=COUNTIF(E841:AI841,"ÇHT")</f>
      </c>
      <c r="AS841" s="1">
        <f>=COUNTIF(E841:AI841,"Ö")+COUNTIF(E841:AI841,"T")</f>
      </c>
      <c r="AT841" s="1">
        <f>=COUNTIF(E841:AI841,"Y")</f>
      </c>
      <c r="AU841" s="1">
        <f>=COUNTIF(E841:AI841,"R.")</f>
      </c>
      <c r="AV841" s="1">
        <f>=COUNTIF(E841:AI841,"Ü")</f>
      </c>
      <c r="AW841" s="1">
        <f>=COUNTIF(E841:AI841,"R")</f>
      </c>
      <c r="AX841" s="1">
        <f>=COUNTIF(E841:AI841,"DV")</f>
      </c>
      <c r="AY841" s="1">
        <f>=+AN841+AO841+AP841+AQ841+AR841+AS841+AT841+AU841</f>
      </c>
    </row>
    <row r="842" ht="16" customHeight="1" spans="1:51" x14ac:dyDescent="0.25">
      <c r="A842" s="45"/>
      <c r="B842" s="46"/>
      <c r="C842" s="46"/>
      <c r="D842" s="46" t="s">
        <v>33</v>
      </c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>
        <v>1</v>
      </c>
      <c r="T842" s="46"/>
      <c r="U842" s="46"/>
      <c r="V842" s="46"/>
      <c r="W842" s="46">
        <v>3</v>
      </c>
      <c r="X842" s="46"/>
      <c r="Y842" s="46"/>
      <c r="Z842" s="46"/>
      <c r="AA842" s="46"/>
      <c r="AB842" s="46"/>
      <c r="AC842" s="46"/>
      <c r="AD842" s="46"/>
      <c r="AE842" s="46"/>
      <c r="AF842" s="46"/>
      <c r="AG842" s="46">
        <v>1</v>
      </c>
      <c r="AH842" s="46"/>
      <c r="AI842" s="46">
        <v>2</v>
      </c>
      <c r="AJ842" s="46"/>
      <c r="AK842" s="46"/>
      <c r="AL842" s="46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</row>
    <row r="843" ht="16" customHeight="1" spans="1:51" x14ac:dyDescent="0.25">
      <c r="A843" s="45"/>
      <c r="B843" s="46" t="s">
        <v>885</v>
      </c>
      <c r="C843" s="46" t="s">
        <v>886</v>
      </c>
      <c r="D843" s="46" t="s">
        <v>29</v>
      </c>
      <c r="E843" s="46" t="s">
        <v>42</v>
      </c>
      <c r="F843" s="46" t="s">
        <v>37</v>
      </c>
      <c r="G843" s="46" t="s">
        <v>42</v>
      </c>
      <c r="H843" s="46" t="s">
        <v>42</v>
      </c>
      <c r="I843" s="46" t="s">
        <v>42</v>
      </c>
      <c r="J843" s="46" t="s">
        <v>42</v>
      </c>
      <c r="K843" s="46" t="s">
        <v>42</v>
      </c>
      <c r="L843" s="46" t="s">
        <v>42</v>
      </c>
      <c r="M843" s="46" t="s">
        <v>37</v>
      </c>
      <c r="N843" s="46" t="s">
        <v>42</v>
      </c>
      <c r="O843" s="46" t="s">
        <v>42</v>
      </c>
      <c r="P843" s="46" t="s">
        <v>42</v>
      </c>
      <c r="Q843" s="46" t="s">
        <v>42</v>
      </c>
      <c r="R843" s="46" t="s">
        <v>42</v>
      </c>
      <c r="S843" s="46" t="s">
        <v>42</v>
      </c>
      <c r="T843" s="46" t="s">
        <v>37</v>
      </c>
      <c r="U843" s="46" t="s">
        <v>42</v>
      </c>
      <c r="V843" s="46" t="s">
        <v>42</v>
      </c>
      <c r="W843" s="46" t="s">
        <v>42</v>
      </c>
      <c r="X843" s="46" t="s">
        <v>42</v>
      </c>
      <c r="Y843" s="46" t="s">
        <v>42</v>
      </c>
      <c r="Z843" s="46" t="s">
        <v>153</v>
      </c>
      <c r="AA843" s="46" t="s">
        <v>37</v>
      </c>
      <c r="AB843" s="46" t="s">
        <v>31</v>
      </c>
      <c r="AC843" s="46" t="s">
        <v>31</v>
      </c>
      <c r="AD843" s="46" t="s">
        <v>42</v>
      </c>
      <c r="AE843" s="46" t="s">
        <v>42</v>
      </c>
      <c r="AF843" s="46" t="s">
        <v>42</v>
      </c>
      <c r="AG843" s="46" t="s">
        <v>337</v>
      </c>
      <c r="AH843" s="46" t="s">
        <v>37</v>
      </c>
      <c r="AI843" s="46" t="s">
        <v>42</v>
      </c>
      <c r="AJ843" s="46">
        <f>=SUM(E844:AI844)</f>
      </c>
      <c r="AK843" s="46">
        <f>=+AY843</f>
      </c>
      <c r="AL843" s="46"/>
      <c r="AM843" s="1"/>
      <c r="AN843" s="1">
        <f>=COUNTIF(E843:AI843,"A")+COUNTIF(E843:AI843,"B")+COUNTIF(E843:AI843,"C")+COUNTIF(E843:AI843,"D")+COUNTIF(E843:AI843,"E")+COUNTIF(E843:AI843,"F")+COUNTIF(E843:AI843,"M")+COUNTIF(E843:AI843,"AB")+COUNTIF(E843:AI843,"UZ")+COUNTIF(E843:AI843,"G")+(COUNTIF(E843:AI843,"RT.")/2)+(COUNTIF(E843:AI843,"ÇRT.")/2)</f>
      </c>
      <c r="AO843" s="1">
        <f>=COUNTIF(E843:AI843,"O")</f>
      </c>
      <c r="AP843" s="1">
        <f>=COUNTIF(E843:AI843,"RT")+(COUNTIF(E843:AI843,"RT.")/2)</f>
      </c>
      <c r="AQ843" s="1">
        <f>=COUNTIF(E843:AI843,"ÇRT")+(COUNTIF(E843:AI843,"ÇRT.")/2)</f>
      </c>
      <c r="AR843" s="1">
        <f>=COUNTIF(E843:AI843,"ÇHT")</f>
      </c>
      <c r="AS843" s="1">
        <f>=COUNTIF(E843:AI843,"Ö")+COUNTIF(E843:AI843,"T")</f>
      </c>
      <c r="AT843" s="1">
        <f>=COUNTIF(E843:AI843,"Y")</f>
      </c>
      <c r="AU843" s="1">
        <f>=COUNTIF(E843:AI843,"R.")</f>
      </c>
      <c r="AV843" s="1">
        <f>=COUNTIF(E843:AI843,"Ü")</f>
      </c>
      <c r="AW843" s="1">
        <f>=COUNTIF(E843:AI843,"R")</f>
      </c>
      <c r="AX843" s="1">
        <f>=COUNTIF(E843:AI843,"DV")</f>
      </c>
      <c r="AY843" s="1">
        <f>=+AN843+AO843+AP843+AQ843+AR843+AS843+AT843+AU843</f>
      </c>
    </row>
    <row r="844" ht="16" customHeight="1" spans="1:51" x14ac:dyDescent="0.25">
      <c r="A844" s="45"/>
      <c r="B844" s="46"/>
      <c r="C844" s="46"/>
      <c r="D844" s="46" t="s">
        <v>33</v>
      </c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  <c r="AB844" s="46"/>
      <c r="AC844" s="46"/>
      <c r="AD844" s="46"/>
      <c r="AE844" s="46"/>
      <c r="AF844" s="46"/>
      <c r="AG844" s="46"/>
      <c r="AH844" s="46"/>
      <c r="AI844" s="46"/>
      <c r="AJ844" s="46"/>
      <c r="AK844" s="46"/>
      <c r="AL844" s="46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</row>
    <row r="845" ht="16" customHeight="1" spans="1:51" x14ac:dyDescent="0.25">
      <c r="A845" s="45"/>
      <c r="B845" s="46" t="s">
        <v>887</v>
      </c>
      <c r="C845" s="46" t="s">
        <v>888</v>
      </c>
      <c r="D845" s="46" t="s">
        <v>29</v>
      </c>
      <c r="E845" s="46" t="s">
        <v>42</v>
      </c>
      <c r="F845" s="46" t="s">
        <v>37</v>
      </c>
      <c r="G845" s="46" t="s">
        <v>42</v>
      </c>
      <c r="H845" s="46" t="s">
        <v>42</v>
      </c>
      <c r="I845" s="46" t="s">
        <v>42</v>
      </c>
      <c r="J845" s="46" t="s">
        <v>42</v>
      </c>
      <c r="K845" s="46" t="s">
        <v>42</v>
      </c>
      <c r="L845" s="46" t="s">
        <v>42</v>
      </c>
      <c r="M845" s="46" t="s">
        <v>37</v>
      </c>
      <c r="N845" s="46" t="s">
        <v>42</v>
      </c>
      <c r="O845" s="46" t="s">
        <v>42</v>
      </c>
      <c r="P845" s="46" t="s">
        <v>42</v>
      </c>
      <c r="Q845" s="46" t="s">
        <v>42</v>
      </c>
      <c r="R845" s="46" t="s">
        <v>42</v>
      </c>
      <c r="S845" s="46" t="s">
        <v>42</v>
      </c>
      <c r="T845" s="46" t="s">
        <v>37</v>
      </c>
      <c r="U845" s="46" t="s">
        <v>42</v>
      </c>
      <c r="V845" s="46" t="s">
        <v>42</v>
      </c>
      <c r="W845" s="46" t="s">
        <v>42</v>
      </c>
      <c r="X845" s="46" t="s">
        <v>42</v>
      </c>
      <c r="Y845" s="46" t="s">
        <v>42</v>
      </c>
      <c r="Z845" s="46" t="s">
        <v>42</v>
      </c>
      <c r="AA845" s="46" t="s">
        <v>37</v>
      </c>
      <c r="AB845" s="46" t="s">
        <v>42</v>
      </c>
      <c r="AC845" s="46" t="s">
        <v>42</v>
      </c>
      <c r="AD845" s="46" t="s">
        <v>42</v>
      </c>
      <c r="AE845" s="46" t="s">
        <v>42</v>
      </c>
      <c r="AF845" s="46" t="s">
        <v>153</v>
      </c>
      <c r="AG845" s="46" t="s">
        <v>42</v>
      </c>
      <c r="AH845" s="46" t="s">
        <v>37</v>
      </c>
      <c r="AI845" s="46" t="s">
        <v>42</v>
      </c>
      <c r="AJ845" s="46">
        <f>=SUM(E846:AI846)</f>
      </c>
      <c r="AK845" s="46">
        <f>=+AY845</f>
      </c>
      <c r="AL845" s="46"/>
      <c r="AM845" s="1"/>
      <c r="AN845" s="1">
        <f>=COUNTIF(E845:AI845,"A")+COUNTIF(E845:AI845,"B")+COUNTIF(E845:AI845,"C")+COUNTIF(E845:AI845,"D")+COUNTIF(E845:AI845,"E")+COUNTIF(E845:AI845,"F")+COUNTIF(E845:AI845,"M")+COUNTIF(E845:AI845,"AB")+COUNTIF(E845:AI845,"UZ")+COUNTIF(E845:AI845,"G")+(COUNTIF(E845:AI845,"RT.")/2)+(COUNTIF(E845:AI845,"ÇRT.")/2)</f>
      </c>
      <c r="AO845" s="1">
        <f>=COUNTIF(E845:AI845,"O")</f>
      </c>
      <c r="AP845" s="1">
        <f>=COUNTIF(E845:AI845,"RT")+(COUNTIF(E845:AI845,"RT.")/2)</f>
      </c>
      <c r="AQ845" s="1">
        <f>=COUNTIF(E845:AI845,"ÇRT")+(COUNTIF(E845:AI845,"ÇRT.")/2)</f>
      </c>
      <c r="AR845" s="1">
        <f>=COUNTIF(E845:AI845,"ÇHT")</f>
      </c>
      <c r="AS845" s="1">
        <f>=COUNTIF(E845:AI845,"Ö")+COUNTIF(E845:AI845,"T")</f>
      </c>
      <c r="AT845" s="1">
        <f>=COUNTIF(E845:AI845,"Y")</f>
      </c>
      <c r="AU845" s="1">
        <f>=COUNTIF(E845:AI845,"R.")</f>
      </c>
      <c r="AV845" s="1">
        <f>=COUNTIF(E845:AI845,"Ü")</f>
      </c>
      <c r="AW845" s="1">
        <f>=COUNTIF(E845:AI845,"R")</f>
      </c>
      <c r="AX845" s="1">
        <f>=COUNTIF(E845:AI845,"DV")</f>
      </c>
      <c r="AY845" s="1">
        <f>=+AN845+AO845+AP845+AQ845+AR845+AS845+AT845+AU845</f>
      </c>
    </row>
    <row r="846" ht="16" customHeight="1" spans="1:51" x14ac:dyDescent="0.25">
      <c r="A846" s="45"/>
      <c r="B846" s="46"/>
      <c r="C846" s="46"/>
      <c r="D846" s="46" t="s">
        <v>33</v>
      </c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  <c r="AB846" s="46"/>
      <c r="AC846" s="46"/>
      <c r="AD846" s="46"/>
      <c r="AE846" s="46"/>
      <c r="AF846" s="46"/>
      <c r="AG846" s="46"/>
      <c r="AH846" s="46"/>
      <c r="AI846" s="46"/>
      <c r="AJ846" s="46"/>
      <c r="AK846" s="46"/>
      <c r="AL846" s="46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</row>
    <row r="847" ht="16" customHeight="1" spans="1:51" x14ac:dyDescent="0.25">
      <c r="A847" s="45"/>
      <c r="B847" s="46" t="s">
        <v>889</v>
      </c>
      <c r="C847" s="46" t="s">
        <v>890</v>
      </c>
      <c r="D847" s="46" t="s">
        <v>29</v>
      </c>
      <c r="E847" s="46" t="s">
        <v>36</v>
      </c>
      <c r="F847" s="46" t="s">
        <v>37</v>
      </c>
      <c r="G847" s="46" t="s">
        <v>36</v>
      </c>
      <c r="H847" s="46" t="s">
        <v>36</v>
      </c>
      <c r="I847" s="46" t="s">
        <v>36</v>
      </c>
      <c r="J847" s="46" t="s">
        <v>36</v>
      </c>
      <c r="K847" s="46" t="s">
        <v>36</v>
      </c>
      <c r="L847" s="46" t="s">
        <v>36</v>
      </c>
      <c r="M847" s="46" t="s">
        <v>37</v>
      </c>
      <c r="N847" s="46" t="s">
        <v>36</v>
      </c>
      <c r="O847" s="46" t="s">
        <v>36</v>
      </c>
      <c r="P847" s="46" t="s">
        <v>36</v>
      </c>
      <c r="Q847" s="46" t="s">
        <v>36</v>
      </c>
      <c r="R847" s="46" t="s">
        <v>36</v>
      </c>
      <c r="S847" s="46" t="s">
        <v>36</v>
      </c>
      <c r="T847" s="46" t="s">
        <v>36</v>
      </c>
      <c r="U847" s="46" t="s">
        <v>37</v>
      </c>
      <c r="V847" s="46" t="s">
        <v>36</v>
      </c>
      <c r="W847" s="46" t="s">
        <v>36</v>
      </c>
      <c r="X847" s="46" t="s">
        <v>36</v>
      </c>
      <c r="Y847" s="46" t="s">
        <v>36</v>
      </c>
      <c r="Z847" s="46" t="s">
        <v>36</v>
      </c>
      <c r="AA847" s="46" t="s">
        <v>37</v>
      </c>
      <c r="AB847" s="46" t="s">
        <v>36</v>
      </c>
      <c r="AC847" s="46" t="s">
        <v>36</v>
      </c>
      <c r="AD847" s="46" t="s">
        <v>36</v>
      </c>
      <c r="AE847" s="46" t="s">
        <v>36</v>
      </c>
      <c r="AF847" s="46" t="s">
        <v>36</v>
      </c>
      <c r="AG847" s="46" t="s">
        <v>36</v>
      </c>
      <c r="AH847" s="46" t="s">
        <v>43</v>
      </c>
      <c r="AI847" s="46" t="s">
        <v>37</v>
      </c>
      <c r="AJ847" s="46">
        <f>=SUM(E848:AI848)</f>
      </c>
      <c r="AK847" s="46">
        <f>=+AY847</f>
      </c>
      <c r="AL847" s="46"/>
      <c r="AM847" s="1"/>
      <c r="AN847" s="1">
        <f>=COUNTIF(E847:AI847,"A")+COUNTIF(E847:AI847,"B")+COUNTIF(E847:AI847,"C")+COUNTIF(E847:AI847,"D")+COUNTIF(E847:AI847,"E")+COUNTIF(E847:AI847,"F")+COUNTIF(E847:AI847,"M")+COUNTIF(E847:AI847,"AB")+COUNTIF(E847:AI847,"UZ")+COUNTIF(E847:AI847,"G")+(COUNTIF(E847:AI847,"RT.")/2)+(COUNTIF(E847:AI847,"ÇRT.")/2)</f>
      </c>
      <c r="AO847" s="1">
        <f>=COUNTIF(E847:AI847,"O")</f>
      </c>
      <c r="AP847" s="1">
        <f>=COUNTIF(E847:AI847,"RT")+(COUNTIF(E847:AI847,"RT.")/2)</f>
      </c>
      <c r="AQ847" s="1">
        <f>=COUNTIF(E847:AI847,"ÇRT")+(COUNTIF(E847:AI847,"ÇRT.")/2)</f>
      </c>
      <c r="AR847" s="1">
        <f>=COUNTIF(E847:AI847,"ÇHT")</f>
      </c>
      <c r="AS847" s="1">
        <f>=COUNTIF(E847:AI847,"Ö")+COUNTIF(E847:AI847,"T")</f>
      </c>
      <c r="AT847" s="1">
        <f>=COUNTIF(E847:AI847,"Y")</f>
      </c>
      <c r="AU847" s="1">
        <f>=COUNTIF(E847:AI847,"R.")</f>
      </c>
      <c r="AV847" s="1">
        <f>=COUNTIF(E847:AI847,"Ü")</f>
      </c>
      <c r="AW847" s="1">
        <f>=COUNTIF(E847:AI847,"R")</f>
      </c>
      <c r="AX847" s="1">
        <f>=COUNTIF(E847:AI847,"DV")</f>
      </c>
      <c r="AY847" s="1">
        <f>=+AN847+AO847+AP847+AQ847+AR847+AS847+AT847+AU847</f>
      </c>
    </row>
    <row r="848" ht="16" customHeight="1" spans="1:51" x14ac:dyDescent="0.25">
      <c r="A848" s="45"/>
      <c r="B848" s="46"/>
      <c r="C848" s="46"/>
      <c r="D848" s="46" t="s">
        <v>33</v>
      </c>
      <c r="E848" s="46"/>
      <c r="F848" s="46"/>
      <c r="G848" s="46"/>
      <c r="H848" s="46">
        <v>1</v>
      </c>
      <c r="I848" s="46"/>
      <c r="J848" s="46"/>
      <c r="K848" s="46">
        <v>2</v>
      </c>
      <c r="L848" s="46"/>
      <c r="M848" s="46"/>
      <c r="N848" s="46"/>
      <c r="O848" s="46"/>
      <c r="P848" s="46"/>
      <c r="Q848" s="46"/>
      <c r="R848" s="46"/>
      <c r="S848" s="46">
        <v>2</v>
      </c>
      <c r="T848" s="46"/>
      <c r="U848" s="46"/>
      <c r="V848" s="46"/>
      <c r="W848" s="46">
        <v>3</v>
      </c>
      <c r="X848" s="46"/>
      <c r="Y848" s="46"/>
      <c r="Z848" s="46">
        <v>0</v>
      </c>
      <c r="AA848" s="46"/>
      <c r="AB848" s="46"/>
      <c r="AC848" s="46"/>
      <c r="AD848" s="46"/>
      <c r="AE848" s="46"/>
      <c r="AF848" s="46"/>
      <c r="AG848" s="46">
        <v>2</v>
      </c>
      <c r="AH848" s="46"/>
      <c r="AI848" s="46"/>
      <c r="AJ848" s="46"/>
      <c r="AK848" s="46"/>
      <c r="AL848" s="46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</row>
    <row r="849" ht="16" customHeight="1" spans="1:51" x14ac:dyDescent="0.25">
      <c r="A849" s="45"/>
      <c r="B849" s="46" t="s">
        <v>891</v>
      </c>
      <c r="C849" s="46" t="s">
        <v>892</v>
      </c>
      <c r="D849" s="46" t="s">
        <v>29</v>
      </c>
      <c r="E849" s="46" t="s">
        <v>42</v>
      </c>
      <c r="F849" s="46" t="s">
        <v>37</v>
      </c>
      <c r="G849" s="46" t="s">
        <v>42</v>
      </c>
      <c r="H849" s="46" t="s">
        <v>42</v>
      </c>
      <c r="I849" s="46" t="s">
        <v>42</v>
      </c>
      <c r="J849" s="46" t="s">
        <v>42</v>
      </c>
      <c r="K849" s="46" t="s">
        <v>42</v>
      </c>
      <c r="L849" s="46" t="s">
        <v>42</v>
      </c>
      <c r="M849" s="46" t="s">
        <v>37</v>
      </c>
      <c r="N849" s="46" t="s">
        <v>42</v>
      </c>
      <c r="O849" s="46" t="s">
        <v>42</v>
      </c>
      <c r="P849" s="46" t="s">
        <v>42</v>
      </c>
      <c r="Q849" s="46" t="s">
        <v>42</v>
      </c>
      <c r="R849" s="46" t="s">
        <v>42</v>
      </c>
      <c r="S849" s="46" t="s">
        <v>42</v>
      </c>
      <c r="T849" s="46" t="s">
        <v>222</v>
      </c>
      <c r="U849" s="46" t="s">
        <v>42</v>
      </c>
      <c r="V849" s="46" t="s">
        <v>42</v>
      </c>
      <c r="W849" s="46" t="s">
        <v>42</v>
      </c>
      <c r="X849" s="46" t="s">
        <v>42</v>
      </c>
      <c r="Y849" s="46" t="s">
        <v>42</v>
      </c>
      <c r="Z849" s="46" t="s">
        <v>337</v>
      </c>
      <c r="AA849" s="46" t="s">
        <v>37</v>
      </c>
      <c r="AB849" s="46" t="s">
        <v>153</v>
      </c>
      <c r="AC849" s="46" t="s">
        <v>42</v>
      </c>
      <c r="AD849" s="46" t="s">
        <v>42</v>
      </c>
      <c r="AE849" s="46" t="s">
        <v>42</v>
      </c>
      <c r="AF849" s="46" t="s">
        <v>42</v>
      </c>
      <c r="AG849" s="46" t="s">
        <v>42</v>
      </c>
      <c r="AH849" s="46" t="s">
        <v>222</v>
      </c>
      <c r="AI849" s="46" t="s">
        <v>42</v>
      </c>
      <c r="AJ849" s="46">
        <f>=SUM(E850:AI850)</f>
      </c>
      <c r="AK849" s="46">
        <f>=+AY849</f>
      </c>
      <c r="AL849" s="46"/>
      <c r="AM849" s="1"/>
      <c r="AN849" s="1">
        <f>=COUNTIF(E849:AI849,"A")+COUNTIF(E849:AI849,"B")+COUNTIF(E849:AI849,"C")+COUNTIF(E849:AI849,"D")+COUNTIF(E849:AI849,"E")+COUNTIF(E849:AI849,"F")+COUNTIF(E849:AI849,"M")+COUNTIF(E849:AI849,"AB")+COUNTIF(E849:AI849,"UZ")+COUNTIF(E849:AI849,"G")+(COUNTIF(E849:AI849,"RT.")/2)+(COUNTIF(E849:AI849,"ÇRT.")/2)</f>
      </c>
      <c r="AO849" s="1">
        <f>=COUNTIF(E849:AI849,"O")</f>
      </c>
      <c r="AP849" s="1">
        <f>=COUNTIF(E849:AI849,"RT")+(COUNTIF(E849:AI849,"RT.")/2)</f>
      </c>
      <c r="AQ849" s="1">
        <f>=COUNTIF(E849:AI849,"ÇRT")+(COUNTIF(E849:AI849,"ÇRT.")/2)</f>
      </c>
      <c r="AR849" s="1">
        <f>=COUNTIF(E849:AI849,"ÇHT")</f>
      </c>
      <c r="AS849" s="1">
        <f>=COUNTIF(E849:AI849,"Ö")+COUNTIF(E849:AI849,"T")</f>
      </c>
      <c r="AT849" s="1">
        <f>=COUNTIF(E849:AI849,"Y")</f>
      </c>
      <c r="AU849" s="1">
        <f>=COUNTIF(E849:AI849,"R.")</f>
      </c>
      <c r="AV849" s="1">
        <f>=COUNTIF(E849:AI849,"Ü")</f>
      </c>
      <c r="AW849" s="1">
        <f>=COUNTIF(E849:AI849,"R")</f>
      </c>
      <c r="AX849" s="1">
        <f>=COUNTIF(E849:AI849,"DV")</f>
      </c>
      <c r="AY849" s="1">
        <f>=+AN849+AO849+AP849+AQ849+AR849+AS849+AT849+AU849</f>
      </c>
    </row>
    <row r="850" ht="16" customHeight="1" spans="1:51" x14ac:dyDescent="0.25">
      <c r="A850" s="45"/>
      <c r="B850" s="46"/>
      <c r="C850" s="46"/>
      <c r="D850" s="46" t="s">
        <v>33</v>
      </c>
      <c r="E850" s="46"/>
      <c r="F850" s="46"/>
      <c r="G850" s="46"/>
      <c r="H850" s="46">
        <v>3</v>
      </c>
      <c r="I850" s="46"/>
      <c r="J850" s="46"/>
      <c r="K850" s="46"/>
      <c r="L850" s="46">
        <v>0</v>
      </c>
      <c r="M850" s="46"/>
      <c r="N850" s="46"/>
      <c r="O850" s="46"/>
      <c r="P850" s="46"/>
      <c r="Q850" s="46"/>
      <c r="R850" s="46"/>
      <c r="S850" s="46">
        <v>1</v>
      </c>
      <c r="T850" s="46">
        <v>1</v>
      </c>
      <c r="U850" s="46"/>
      <c r="V850" s="46"/>
      <c r="W850" s="46">
        <v>3</v>
      </c>
      <c r="X850" s="46"/>
      <c r="Y850" s="46"/>
      <c r="Z850" s="46"/>
      <c r="AA850" s="46"/>
      <c r="AB850" s="46"/>
      <c r="AC850" s="46"/>
      <c r="AD850" s="46"/>
      <c r="AE850" s="46"/>
      <c r="AF850" s="46"/>
      <c r="AG850" s="46">
        <v>1</v>
      </c>
      <c r="AH850" s="46"/>
      <c r="AI850" s="46">
        <v>1</v>
      </c>
      <c r="AJ850" s="46"/>
      <c r="AK850" s="46"/>
      <c r="AL850" s="46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</row>
    <row r="851" ht="16" customHeight="1" spans="1:51" x14ac:dyDescent="0.25">
      <c r="A851" s="45" t="s">
        <v>893</v>
      </c>
      <c r="B851" s="46" t="s">
        <v>894</v>
      </c>
      <c r="C851" s="46" t="s">
        <v>895</v>
      </c>
      <c r="D851" s="46" t="s">
        <v>29</v>
      </c>
      <c r="E851" s="46" t="s">
        <v>299</v>
      </c>
      <c r="F851" s="46" t="s">
        <v>299</v>
      </c>
      <c r="G851" s="46" t="s">
        <v>299</v>
      </c>
      <c r="H851" s="46" t="s">
        <v>299</v>
      </c>
      <c r="I851" s="46" t="s">
        <v>37</v>
      </c>
      <c r="J851" s="46" t="s">
        <v>299</v>
      </c>
      <c r="K851" s="46" t="s">
        <v>299</v>
      </c>
      <c r="L851" s="46" t="s">
        <v>299</v>
      </c>
      <c r="M851" s="46" t="s">
        <v>299</v>
      </c>
      <c r="N851" s="46" t="s">
        <v>299</v>
      </c>
      <c r="O851" s="46" t="s">
        <v>299</v>
      </c>
      <c r="P851" s="46" t="s">
        <v>37</v>
      </c>
      <c r="Q851" s="46" t="s">
        <v>299</v>
      </c>
      <c r="R851" s="46" t="s">
        <v>299</v>
      </c>
      <c r="S851" s="46" t="s">
        <v>299</v>
      </c>
      <c r="T851" s="46" t="s">
        <v>299</v>
      </c>
      <c r="U851" s="46" t="s">
        <v>299</v>
      </c>
      <c r="V851" s="46" t="s">
        <v>299</v>
      </c>
      <c r="W851" s="46" t="s">
        <v>37</v>
      </c>
      <c r="X851" s="46" t="s">
        <v>299</v>
      </c>
      <c r="Y851" s="46" t="s">
        <v>299</v>
      </c>
      <c r="Z851" s="46" t="s">
        <v>299</v>
      </c>
      <c r="AA851" s="46" t="s">
        <v>299</v>
      </c>
      <c r="AB851" s="46" t="s">
        <v>299</v>
      </c>
      <c r="AC851" s="46" t="s">
        <v>299</v>
      </c>
      <c r="AD851" s="46" t="s">
        <v>37</v>
      </c>
      <c r="AE851" s="46" t="s">
        <v>299</v>
      </c>
      <c r="AF851" s="46" t="s">
        <v>299</v>
      </c>
      <c r="AG851" s="46" t="s">
        <v>299</v>
      </c>
      <c r="AH851" s="46" t="s">
        <v>43</v>
      </c>
      <c r="AI851" s="46" t="s">
        <v>299</v>
      </c>
      <c r="AJ851" s="46">
        <f>=SUM(E852:AI852)</f>
      </c>
      <c r="AK851" s="46">
        <f>=+AY851</f>
      </c>
      <c r="AL851" s="46"/>
      <c r="AM851" s="1"/>
      <c r="AN851" s="1">
        <f>=COUNTIF(E851:AI851,"A")+COUNTIF(E851:AI851,"B")+COUNTIF(E851:AI851,"C")+COUNTIF(E851:AI851,"D")+COUNTIF(E851:AI851,"E")+COUNTIF(E851:AI851,"F")+COUNTIF(E851:AI851,"M")+COUNTIF(E851:AI851,"AB")+COUNTIF(E851:AI851,"UZ")+COUNTIF(E851:AI851,"G")+(COUNTIF(E851:AI851,"RT.")/2)+(COUNTIF(E851:AI851,"ÇRT.")/2)</f>
      </c>
      <c r="AO851" s="1">
        <f>=COUNTIF(E851:AI851,"O")</f>
      </c>
      <c r="AP851" s="1">
        <f>=COUNTIF(E851:AI851,"RT")+(COUNTIF(E851:AI851,"RT.")/2)</f>
      </c>
      <c r="AQ851" s="1">
        <f>=COUNTIF(E851:AI851,"ÇRT")+(COUNTIF(E851:AI851,"ÇRT.")/2)</f>
      </c>
      <c r="AR851" s="1">
        <f>=COUNTIF(E851:AI851,"ÇHT")</f>
      </c>
      <c r="AS851" s="1">
        <f>=COUNTIF(E851:AI851,"Ö")+COUNTIF(E851:AI851,"T")</f>
      </c>
      <c r="AT851" s="1">
        <f>=COUNTIF(E851:AI851,"Y")</f>
      </c>
      <c r="AU851" s="1">
        <f>=COUNTIF(E851:AI851,"R.")</f>
      </c>
      <c r="AV851" s="1">
        <f>=COUNTIF(E851:AI851,"Ü")</f>
      </c>
      <c r="AW851" s="1">
        <f>=COUNTIF(E851:AI851,"R")</f>
      </c>
      <c r="AX851" s="1">
        <f>=COUNTIF(E851:AI851,"DV")</f>
      </c>
      <c r="AY851" s="1">
        <f>=+AN851+AO851+AP851+AQ851+AR851+AS851+AT851+AU851</f>
      </c>
    </row>
    <row r="852" ht="16" customHeight="1" spans="1:51" x14ac:dyDescent="0.25">
      <c r="A852" s="45"/>
      <c r="B852" s="46"/>
      <c r="C852" s="46"/>
      <c r="D852" s="46" t="s">
        <v>33</v>
      </c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  <c r="AC852" s="46"/>
      <c r="AD852" s="46"/>
      <c r="AE852" s="46"/>
      <c r="AF852" s="46"/>
      <c r="AG852" s="46"/>
      <c r="AH852" s="46"/>
      <c r="AI852" s="46"/>
      <c r="AJ852" s="46"/>
      <c r="AK852" s="46"/>
      <c r="AL852" s="46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</row>
    <row r="853" ht="16" customHeight="1" spans="1:51" x14ac:dyDescent="0.25">
      <c r="A853" s="45"/>
      <c r="B853" s="46" t="s">
        <v>896</v>
      </c>
      <c r="C853" s="46" t="s">
        <v>897</v>
      </c>
      <c r="D853" s="46" t="s">
        <v>29</v>
      </c>
      <c r="E853" s="46" t="s">
        <v>153</v>
      </c>
      <c r="F853" s="46" t="s">
        <v>153</v>
      </c>
      <c r="G853" s="46" t="s">
        <v>153</v>
      </c>
      <c r="H853" s="46" t="s">
        <v>153</v>
      </c>
      <c r="I853" s="46" t="s">
        <v>153</v>
      </c>
      <c r="J853" s="46" t="s">
        <v>153</v>
      </c>
      <c r="K853" s="46" t="s">
        <v>153</v>
      </c>
      <c r="L853" s="46" t="s">
        <v>153</v>
      </c>
      <c r="M853" s="46" t="s">
        <v>153</v>
      </c>
      <c r="N853" s="46" t="s">
        <v>153</v>
      </c>
      <c r="O853" s="46" t="s">
        <v>153</v>
      </c>
      <c r="P853" s="46" t="s">
        <v>153</v>
      </c>
      <c r="Q853" s="46" t="s">
        <v>153</v>
      </c>
      <c r="R853" s="46" t="s">
        <v>299</v>
      </c>
      <c r="S853" s="46" t="s">
        <v>299</v>
      </c>
      <c r="T853" s="46" t="s">
        <v>299</v>
      </c>
      <c r="U853" s="46" t="s">
        <v>37</v>
      </c>
      <c r="V853" s="46" t="s">
        <v>299</v>
      </c>
      <c r="W853" s="46" t="s">
        <v>299</v>
      </c>
      <c r="X853" s="46" t="s">
        <v>299</v>
      </c>
      <c r="Y853" s="46" t="s">
        <v>299</v>
      </c>
      <c r="Z853" s="46" t="s">
        <v>299</v>
      </c>
      <c r="AA853" s="46" t="s">
        <v>299</v>
      </c>
      <c r="AB853" s="46" t="s">
        <v>37</v>
      </c>
      <c r="AC853" s="46" t="s">
        <v>299</v>
      </c>
      <c r="AD853" s="46" t="s">
        <v>299</v>
      </c>
      <c r="AE853" s="46" t="s">
        <v>299</v>
      </c>
      <c r="AF853" s="46" t="s">
        <v>299</v>
      </c>
      <c r="AG853" s="46" t="s">
        <v>299</v>
      </c>
      <c r="AH853" s="46" t="s">
        <v>43</v>
      </c>
      <c r="AI853" s="46" t="s">
        <v>37</v>
      </c>
      <c r="AJ853" s="46">
        <f>=SUM(E854:AI854)</f>
      </c>
      <c r="AK853" s="46">
        <f>=+AY853</f>
      </c>
      <c r="AL853" s="46"/>
      <c r="AM853" s="1"/>
      <c r="AN853" s="1">
        <f>=COUNTIF(E853:AI853,"A")+COUNTIF(E853:AI853,"B")+COUNTIF(E853:AI853,"C")+COUNTIF(E853:AI853,"D")+COUNTIF(E853:AI853,"E")+COUNTIF(E853:AI853,"F")+COUNTIF(E853:AI853,"M")+COUNTIF(E853:AI853,"AB")+COUNTIF(E853:AI853,"UZ")+COUNTIF(E853:AI853,"G")+(COUNTIF(E853:AI853,"RT.")/2)+(COUNTIF(E853:AI853,"ÇRT.")/2)</f>
      </c>
      <c r="AO853" s="1">
        <f>=COUNTIF(E853:AI853,"O")</f>
      </c>
      <c r="AP853" s="1">
        <f>=COUNTIF(E853:AI853,"RT")+(COUNTIF(E853:AI853,"RT.")/2)</f>
      </c>
      <c r="AQ853" s="1">
        <f>=COUNTIF(E853:AI853,"ÇRT")+(COUNTIF(E853:AI853,"ÇRT.")/2)</f>
      </c>
      <c r="AR853" s="1">
        <f>=COUNTIF(E853:AI853,"ÇHT")</f>
      </c>
      <c r="AS853" s="1">
        <f>=COUNTIF(E853:AI853,"Ö")+COUNTIF(E853:AI853,"T")</f>
      </c>
      <c r="AT853" s="1">
        <f>=COUNTIF(E853:AI853,"Y")</f>
      </c>
      <c r="AU853" s="1">
        <f>=COUNTIF(E853:AI853,"R.")</f>
      </c>
      <c r="AV853" s="1">
        <f>=COUNTIF(E853:AI853,"Ü")</f>
      </c>
      <c r="AW853" s="1">
        <f>=COUNTIF(E853:AI853,"R")</f>
      </c>
      <c r="AX853" s="1">
        <f>=COUNTIF(E853:AI853,"DV")</f>
      </c>
      <c r="AY853" s="1">
        <f>=+AN853+AO853+AP853+AQ853+AR853+AS853+AT853+AU853</f>
      </c>
    </row>
    <row r="854" ht="16" customHeight="1" spans="1:51" x14ac:dyDescent="0.25">
      <c r="A854" s="45"/>
      <c r="B854" s="46"/>
      <c r="C854" s="46"/>
      <c r="D854" s="46" t="s">
        <v>33</v>
      </c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  <c r="AB854" s="46"/>
      <c r="AC854" s="46"/>
      <c r="AD854" s="46"/>
      <c r="AE854" s="46"/>
      <c r="AF854" s="46"/>
      <c r="AG854" s="46"/>
      <c r="AH854" s="46"/>
      <c r="AI854" s="46"/>
      <c r="AJ854" s="46"/>
      <c r="AK854" s="46"/>
      <c r="AL854" s="46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</row>
    <row r="855" ht="16" customHeight="1" spans="1:51" x14ac:dyDescent="0.25">
      <c r="A855" s="45"/>
      <c r="B855" s="46" t="s">
        <v>898</v>
      </c>
      <c r="C855" s="46" t="s">
        <v>899</v>
      </c>
      <c r="D855" s="46" t="s">
        <v>29</v>
      </c>
      <c r="E855" s="46" t="s">
        <v>37</v>
      </c>
      <c r="F855" s="46" t="s">
        <v>36</v>
      </c>
      <c r="G855" s="46" t="s">
        <v>41</v>
      </c>
      <c r="H855" s="46" t="s">
        <v>41</v>
      </c>
      <c r="I855" s="46" t="s">
        <v>41</v>
      </c>
      <c r="J855" s="46" t="s">
        <v>41</v>
      </c>
      <c r="K855" s="46" t="s">
        <v>41</v>
      </c>
      <c r="L855" s="46" t="s">
        <v>37</v>
      </c>
      <c r="M855" s="46" t="s">
        <v>41</v>
      </c>
      <c r="N855" s="46" t="s">
        <v>36</v>
      </c>
      <c r="O855" s="46" t="s">
        <v>36</v>
      </c>
      <c r="P855" s="46" t="s">
        <v>36</v>
      </c>
      <c r="Q855" s="46" t="s">
        <v>36</v>
      </c>
      <c r="R855" s="46" t="s">
        <v>36</v>
      </c>
      <c r="S855" s="46" t="s">
        <v>37</v>
      </c>
      <c r="T855" s="46" t="s">
        <v>36</v>
      </c>
      <c r="U855" s="46" t="s">
        <v>36</v>
      </c>
      <c r="V855" s="46" t="s">
        <v>41</v>
      </c>
      <c r="W855" s="46" t="s">
        <v>41</v>
      </c>
      <c r="X855" s="46" t="s">
        <v>41</v>
      </c>
      <c r="Y855" s="46" t="s">
        <v>41</v>
      </c>
      <c r="Z855" s="46" t="s">
        <v>37</v>
      </c>
      <c r="AA855" s="46" t="s">
        <v>41</v>
      </c>
      <c r="AB855" s="46" t="s">
        <v>36</v>
      </c>
      <c r="AC855" s="46" t="s">
        <v>36</v>
      </c>
      <c r="AD855" s="46" t="s">
        <v>36</v>
      </c>
      <c r="AE855" s="46" t="s">
        <v>36</v>
      </c>
      <c r="AF855" s="46" t="s">
        <v>36</v>
      </c>
      <c r="AG855" s="46" t="s">
        <v>37</v>
      </c>
      <c r="AH855" s="46" t="s">
        <v>43</v>
      </c>
      <c r="AI855" s="46" t="s">
        <v>36</v>
      </c>
      <c r="AJ855" s="46">
        <f>=SUM(E856:AI856)</f>
      </c>
      <c r="AK855" s="46">
        <f>=+AY855</f>
      </c>
      <c r="AL855" s="46"/>
      <c r="AM855" s="1"/>
      <c r="AN855" s="1">
        <f>=COUNTIF(E855:AI855,"A")+COUNTIF(E855:AI855,"B")+COUNTIF(E855:AI855,"C")+COUNTIF(E855:AI855,"D")+COUNTIF(E855:AI855,"E")+COUNTIF(E855:AI855,"F")+COUNTIF(E855:AI855,"M")+COUNTIF(E855:AI855,"AB")+COUNTIF(E855:AI855,"UZ")+COUNTIF(E855:AI855,"G")+(COUNTIF(E855:AI855,"RT.")/2)+(COUNTIF(E855:AI855,"ÇRT.")/2)</f>
      </c>
      <c r="AO855" s="1">
        <f>=COUNTIF(E855:AI855,"O")</f>
      </c>
      <c r="AP855" s="1">
        <f>=COUNTIF(E855:AI855,"RT")+(COUNTIF(E855:AI855,"RT.")/2)</f>
      </c>
      <c r="AQ855" s="1">
        <f>=COUNTIF(E855:AI855,"ÇRT")+(COUNTIF(E855:AI855,"ÇRT.")/2)</f>
      </c>
      <c r="AR855" s="1">
        <f>=COUNTIF(E855:AI855,"ÇHT")</f>
      </c>
      <c r="AS855" s="1">
        <f>=COUNTIF(E855:AI855,"Ö")+COUNTIF(E855:AI855,"T")</f>
      </c>
      <c r="AT855" s="1">
        <f>=COUNTIF(E855:AI855,"Y")</f>
      </c>
      <c r="AU855" s="1">
        <f>=COUNTIF(E855:AI855,"R.")</f>
      </c>
      <c r="AV855" s="1">
        <f>=COUNTIF(E855:AI855,"Ü")</f>
      </c>
      <c r="AW855" s="1">
        <f>=COUNTIF(E855:AI855,"R")</f>
      </c>
      <c r="AX855" s="1">
        <f>=COUNTIF(E855:AI855,"DV")</f>
      </c>
      <c r="AY855" s="1">
        <f>=+AN855+AO855+AP855+AQ855+AR855+AS855+AT855+AU855</f>
      </c>
    </row>
    <row r="856" ht="16" customHeight="1" spans="1:51" x14ac:dyDescent="0.25">
      <c r="A856" s="45"/>
      <c r="B856" s="46"/>
      <c r="C856" s="46"/>
      <c r="D856" s="46" t="s">
        <v>33</v>
      </c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  <c r="AB856" s="46"/>
      <c r="AC856" s="46"/>
      <c r="AD856" s="46"/>
      <c r="AE856" s="46"/>
      <c r="AF856" s="46"/>
      <c r="AG856" s="46"/>
      <c r="AH856" s="46"/>
      <c r="AI856" s="46"/>
      <c r="AJ856" s="46"/>
      <c r="AK856" s="46"/>
      <c r="AL856" s="46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</row>
    <row r="857" ht="16" customHeight="1" spans="1:51" x14ac:dyDescent="0.25">
      <c r="A857" s="45"/>
      <c r="B857" s="46" t="s">
        <v>900</v>
      </c>
      <c r="C857" s="46" t="s">
        <v>901</v>
      </c>
      <c r="D857" s="46" t="s">
        <v>29</v>
      </c>
      <c r="E857" s="46" t="s">
        <v>299</v>
      </c>
      <c r="F857" s="46" t="s">
        <v>299</v>
      </c>
      <c r="G857" s="46" t="s">
        <v>299</v>
      </c>
      <c r="H857" s="46" t="s">
        <v>37</v>
      </c>
      <c r="I857" s="46" t="s">
        <v>299</v>
      </c>
      <c r="J857" s="46" t="s">
        <v>299</v>
      </c>
      <c r="K857" s="46" t="s">
        <v>299</v>
      </c>
      <c r="L857" s="46" t="s">
        <v>299</v>
      </c>
      <c r="M857" s="46" t="s">
        <v>299</v>
      </c>
      <c r="N857" s="46" t="s">
        <v>299</v>
      </c>
      <c r="O857" s="46" t="s">
        <v>37</v>
      </c>
      <c r="P857" s="46" t="s">
        <v>299</v>
      </c>
      <c r="Q857" s="46" t="s">
        <v>299</v>
      </c>
      <c r="R857" s="46" t="s">
        <v>299</v>
      </c>
      <c r="S857" s="46" t="s">
        <v>299</v>
      </c>
      <c r="T857" s="46" t="s">
        <v>299</v>
      </c>
      <c r="U857" s="46" t="s">
        <v>299</v>
      </c>
      <c r="V857" s="46" t="s">
        <v>37</v>
      </c>
      <c r="W857" s="46" t="s">
        <v>299</v>
      </c>
      <c r="X857" s="46" t="s">
        <v>299</v>
      </c>
      <c r="Y857" s="46" t="s">
        <v>299</v>
      </c>
      <c r="Z857" s="46" t="s">
        <v>299</v>
      </c>
      <c r="AA857" s="46" t="s">
        <v>299</v>
      </c>
      <c r="AB857" s="46" t="s">
        <v>299</v>
      </c>
      <c r="AC857" s="46" t="s">
        <v>37</v>
      </c>
      <c r="AD857" s="46" t="s">
        <v>299</v>
      </c>
      <c r="AE857" s="46" t="s">
        <v>299</v>
      </c>
      <c r="AF857" s="46" t="s">
        <v>299</v>
      </c>
      <c r="AG857" s="46" t="s">
        <v>299</v>
      </c>
      <c r="AH857" s="46" t="s">
        <v>43</v>
      </c>
      <c r="AI857" s="46" t="s">
        <v>299</v>
      </c>
      <c r="AJ857" s="46">
        <f>=SUM(E858:AI858)</f>
      </c>
      <c r="AK857" s="46">
        <f>=+AY857</f>
      </c>
      <c r="AL857" s="46"/>
      <c r="AM857" s="1"/>
      <c r="AN857" s="1">
        <f>=COUNTIF(E857:AI857,"A")+COUNTIF(E857:AI857,"B")+COUNTIF(E857:AI857,"C")+COUNTIF(E857:AI857,"D")+COUNTIF(E857:AI857,"E")+COUNTIF(E857:AI857,"F")+COUNTIF(E857:AI857,"M")+COUNTIF(E857:AI857,"AB")+COUNTIF(E857:AI857,"UZ")+COUNTIF(E857:AI857,"G")+(COUNTIF(E857:AI857,"RT.")/2)+(COUNTIF(E857:AI857,"ÇRT.")/2)</f>
      </c>
      <c r="AO857" s="1">
        <f>=COUNTIF(E857:AI857,"O")</f>
      </c>
      <c r="AP857" s="1">
        <f>=COUNTIF(E857:AI857,"RT")+(COUNTIF(E857:AI857,"RT.")/2)</f>
      </c>
      <c r="AQ857" s="1">
        <f>=COUNTIF(E857:AI857,"ÇRT")+(COUNTIF(E857:AI857,"ÇRT.")/2)</f>
      </c>
      <c r="AR857" s="1">
        <f>=COUNTIF(E857:AI857,"ÇHT")</f>
      </c>
      <c r="AS857" s="1">
        <f>=COUNTIF(E857:AI857,"Ö")+COUNTIF(E857:AI857,"T")</f>
      </c>
      <c r="AT857" s="1">
        <f>=COUNTIF(E857:AI857,"Y")</f>
      </c>
      <c r="AU857" s="1">
        <f>=COUNTIF(E857:AI857,"R.")</f>
      </c>
      <c r="AV857" s="1">
        <f>=COUNTIF(E857:AI857,"Ü")</f>
      </c>
      <c r="AW857" s="1">
        <f>=COUNTIF(E857:AI857,"R")</f>
      </c>
      <c r="AX857" s="1">
        <f>=COUNTIF(E857:AI857,"DV")</f>
      </c>
      <c r="AY857" s="1">
        <f>=+AN857+AO857+AP857+AQ857+AR857+AS857+AT857+AU857</f>
      </c>
    </row>
    <row r="858" ht="16" customHeight="1" spans="1:51" x14ac:dyDescent="0.25">
      <c r="A858" s="45"/>
      <c r="B858" s="46"/>
      <c r="C858" s="46"/>
      <c r="D858" s="46" t="s">
        <v>33</v>
      </c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  <c r="AB858" s="46"/>
      <c r="AC858" s="46"/>
      <c r="AD858" s="46"/>
      <c r="AE858" s="46"/>
      <c r="AF858" s="46"/>
      <c r="AG858" s="46"/>
      <c r="AH858" s="46"/>
      <c r="AI858" s="46"/>
      <c r="AJ858" s="46"/>
      <c r="AK858" s="46"/>
      <c r="AL858" s="46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</row>
    <row r="859" ht="16" customHeight="1" spans="1:51" x14ac:dyDescent="0.25">
      <c r="A859" s="45"/>
      <c r="B859" s="46" t="s">
        <v>902</v>
      </c>
      <c r="C859" s="46" t="s">
        <v>903</v>
      </c>
      <c r="D859" s="46" t="s">
        <v>29</v>
      </c>
      <c r="E859" s="46" t="s">
        <v>37</v>
      </c>
      <c r="F859" s="46" t="s">
        <v>299</v>
      </c>
      <c r="G859" s="46" t="s">
        <v>299</v>
      </c>
      <c r="H859" s="46" t="s">
        <v>299</v>
      </c>
      <c r="I859" s="46" t="s">
        <v>299</v>
      </c>
      <c r="J859" s="46" t="s">
        <v>299</v>
      </c>
      <c r="K859" s="46" t="s">
        <v>299</v>
      </c>
      <c r="L859" s="46" t="s">
        <v>37</v>
      </c>
      <c r="M859" s="46" t="s">
        <v>299</v>
      </c>
      <c r="N859" s="46" t="s">
        <v>299</v>
      </c>
      <c r="O859" s="46" t="s">
        <v>299</v>
      </c>
      <c r="P859" s="46" t="s">
        <v>299</v>
      </c>
      <c r="Q859" s="46" t="s">
        <v>299</v>
      </c>
      <c r="R859" s="46" t="s">
        <v>299</v>
      </c>
      <c r="S859" s="46" t="s">
        <v>37</v>
      </c>
      <c r="T859" s="46" t="s">
        <v>299</v>
      </c>
      <c r="U859" s="46" t="s">
        <v>299</v>
      </c>
      <c r="V859" s="46" t="s">
        <v>299</v>
      </c>
      <c r="W859" s="46" t="s">
        <v>299</v>
      </c>
      <c r="X859" s="46" t="s">
        <v>299</v>
      </c>
      <c r="Y859" s="46" t="s">
        <v>299</v>
      </c>
      <c r="Z859" s="46" t="s">
        <v>37</v>
      </c>
      <c r="AA859" s="46" t="s">
        <v>299</v>
      </c>
      <c r="AB859" s="46" t="s">
        <v>299</v>
      </c>
      <c r="AC859" s="46" t="s">
        <v>299</v>
      </c>
      <c r="AD859" s="46" t="s">
        <v>299</v>
      </c>
      <c r="AE859" s="46" t="s">
        <v>299</v>
      </c>
      <c r="AF859" s="46" t="s">
        <v>299</v>
      </c>
      <c r="AG859" s="46" t="s">
        <v>37</v>
      </c>
      <c r="AH859" s="46" t="s">
        <v>31</v>
      </c>
      <c r="AI859" s="46" t="s">
        <v>299</v>
      </c>
      <c r="AJ859" s="46">
        <f>=SUM(E860:AI860)</f>
      </c>
      <c r="AK859" s="46">
        <f>=+AY859</f>
      </c>
      <c r="AL859" s="46"/>
      <c r="AM859" s="1"/>
      <c r="AN859" s="1">
        <f>=COUNTIF(E859:AI859,"A")+COUNTIF(E859:AI859,"B")+COUNTIF(E859:AI859,"C")+COUNTIF(E859:AI859,"D")+COUNTIF(E859:AI859,"E")+COUNTIF(E859:AI859,"F")+COUNTIF(E859:AI859,"M")+COUNTIF(E859:AI859,"AB")+COUNTIF(E859:AI859,"UZ")+COUNTIF(E859:AI859,"G")+(COUNTIF(E859:AI859,"RT.")/2)+(COUNTIF(E859:AI859,"ÇRT.")/2)</f>
      </c>
      <c r="AO859" s="1">
        <f>=COUNTIF(E859:AI859,"O")</f>
      </c>
      <c r="AP859" s="1">
        <f>=COUNTIF(E859:AI859,"RT")+(COUNTIF(E859:AI859,"RT.")/2)</f>
      </c>
      <c r="AQ859" s="1">
        <f>=COUNTIF(E859:AI859,"ÇRT")+(COUNTIF(E859:AI859,"ÇRT.")/2)</f>
      </c>
      <c r="AR859" s="1">
        <f>=COUNTIF(E859:AI859,"ÇHT")</f>
      </c>
      <c r="AS859" s="1">
        <f>=COUNTIF(E859:AI859,"Ö")+COUNTIF(E859:AI859,"T")</f>
      </c>
      <c r="AT859" s="1">
        <f>=COUNTIF(E859:AI859,"Y")</f>
      </c>
      <c r="AU859" s="1">
        <f>=COUNTIF(E859:AI859,"R.")</f>
      </c>
      <c r="AV859" s="1">
        <f>=COUNTIF(E859:AI859,"Ü")</f>
      </c>
      <c r="AW859" s="1">
        <f>=COUNTIF(E859:AI859,"R")</f>
      </c>
      <c r="AX859" s="1">
        <f>=COUNTIF(E859:AI859,"DV")</f>
      </c>
      <c r="AY859" s="1">
        <f>=+AN859+AO859+AP859+AQ859+AR859+AS859+AT859+AU859</f>
      </c>
    </row>
    <row r="860" ht="16" customHeight="1" spans="1:51" x14ac:dyDescent="0.25">
      <c r="A860" s="45"/>
      <c r="B860" s="46"/>
      <c r="C860" s="46"/>
      <c r="D860" s="46" t="s">
        <v>33</v>
      </c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  <c r="AB860" s="46"/>
      <c r="AC860" s="46"/>
      <c r="AD860" s="46"/>
      <c r="AE860" s="46"/>
      <c r="AF860" s="46"/>
      <c r="AG860" s="46"/>
      <c r="AH860" s="46"/>
      <c r="AI860" s="46"/>
      <c r="AJ860" s="46"/>
      <c r="AK860" s="46"/>
      <c r="AL860" s="46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</row>
    <row r="861" ht="16" customHeight="1" spans="1:51" x14ac:dyDescent="0.25">
      <c r="A861" s="45"/>
      <c r="B861" s="46" t="s">
        <v>904</v>
      </c>
      <c r="C861" s="46" t="s">
        <v>905</v>
      </c>
      <c r="D861" s="46" t="s">
        <v>29</v>
      </c>
      <c r="E861" s="46"/>
      <c r="F861" s="46"/>
      <c r="G861" s="46"/>
      <c r="H861" s="46" t="s">
        <v>299</v>
      </c>
      <c r="I861" s="46" t="s">
        <v>299</v>
      </c>
      <c r="J861" s="46" t="s">
        <v>299</v>
      </c>
      <c r="K861" s="46" t="s">
        <v>299</v>
      </c>
      <c r="L861" s="46" t="s">
        <v>299</v>
      </c>
      <c r="M861" s="46" t="s">
        <v>299</v>
      </c>
      <c r="N861" s="46" t="s">
        <v>299</v>
      </c>
      <c r="O861" s="46" t="s">
        <v>37</v>
      </c>
      <c r="P861" s="46" t="s">
        <v>299</v>
      </c>
      <c r="Q861" s="46" t="s">
        <v>299</v>
      </c>
      <c r="R861" s="46" t="s">
        <v>299</v>
      </c>
      <c r="S861" s="46" t="s">
        <v>299</v>
      </c>
      <c r="T861" s="46" t="s">
        <v>299</v>
      </c>
      <c r="U861" s="46" t="s">
        <v>299</v>
      </c>
      <c r="V861" s="46" t="s">
        <v>37</v>
      </c>
      <c r="W861" s="46" t="s">
        <v>299</v>
      </c>
      <c r="X861" s="46" t="s">
        <v>299</v>
      </c>
      <c r="Y861" s="46" t="s">
        <v>299</v>
      </c>
      <c r="Z861" s="46" t="s">
        <v>299</v>
      </c>
      <c r="AA861" s="46" t="s">
        <v>299</v>
      </c>
      <c r="AB861" s="46" t="s">
        <v>299</v>
      </c>
      <c r="AC861" s="46" t="s">
        <v>37</v>
      </c>
      <c r="AD861" s="46" t="s">
        <v>299</v>
      </c>
      <c r="AE861" s="46" t="s">
        <v>299</v>
      </c>
      <c r="AF861" s="46" t="s">
        <v>299</v>
      </c>
      <c r="AG861" s="46" t="s">
        <v>299</v>
      </c>
      <c r="AH861" s="46" t="s">
        <v>43</v>
      </c>
      <c r="AI861" s="46" t="s">
        <v>299</v>
      </c>
      <c r="AJ861" s="46">
        <f>=SUM(E862:AI862)</f>
      </c>
      <c r="AK861" s="46">
        <f>=+AY861</f>
      </c>
      <c r="AL861" s="46"/>
      <c r="AM861" s="1"/>
      <c r="AN861" s="1">
        <f>=COUNTIF(E861:AI861,"A")+COUNTIF(E861:AI861,"B")+COUNTIF(E861:AI861,"C")+COUNTIF(E861:AI861,"D")+COUNTIF(E861:AI861,"E")+COUNTIF(E861:AI861,"F")+COUNTIF(E861:AI861,"M")+COUNTIF(E861:AI861,"AB")+COUNTIF(E861:AI861,"UZ")+COUNTIF(E861:AI861,"G")+(COUNTIF(E861:AI861,"RT.")/2)+(COUNTIF(E861:AI861,"ÇRT.")/2)</f>
      </c>
      <c r="AO861" s="1">
        <f>=COUNTIF(E861:AI861,"O")</f>
      </c>
      <c r="AP861" s="1">
        <f>=COUNTIF(E861:AI861,"RT")+(COUNTIF(E861:AI861,"RT.")/2)</f>
      </c>
      <c r="AQ861" s="1">
        <f>=COUNTIF(E861:AI861,"ÇRT")+(COUNTIF(E861:AI861,"ÇRT.")/2)</f>
      </c>
      <c r="AR861" s="1">
        <f>=COUNTIF(E861:AI861,"ÇHT")</f>
      </c>
      <c r="AS861" s="1">
        <f>=COUNTIF(E861:AI861,"Ö")+COUNTIF(E861:AI861,"T")</f>
      </c>
      <c r="AT861" s="1">
        <f>=COUNTIF(E861:AI861,"Y")</f>
      </c>
      <c r="AU861" s="1">
        <f>=COUNTIF(E861:AI861,"R.")</f>
      </c>
      <c r="AV861" s="1">
        <f>=COUNTIF(E861:AI861,"Ü")</f>
      </c>
      <c r="AW861" s="1">
        <f>=COUNTIF(E861:AI861,"R")</f>
      </c>
      <c r="AX861" s="1">
        <f>=COUNTIF(E861:AI861,"DV")</f>
      </c>
      <c r="AY861" s="1">
        <f>=+AN861+AO861+AP861+AQ861+AR861+AS861+AT861+AU861</f>
      </c>
    </row>
    <row r="862" ht="16" customHeight="1" spans="1:51" x14ac:dyDescent="0.25">
      <c r="A862" s="45"/>
      <c r="B862" s="46"/>
      <c r="C862" s="46"/>
      <c r="D862" s="46" t="s">
        <v>33</v>
      </c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  <c r="AB862" s="46"/>
      <c r="AC862" s="46"/>
      <c r="AD862" s="46"/>
      <c r="AE862" s="46"/>
      <c r="AF862" s="46"/>
      <c r="AG862" s="46"/>
      <c r="AH862" s="46"/>
      <c r="AI862" s="46"/>
      <c r="AJ862" s="46"/>
      <c r="AK862" s="46"/>
      <c r="AL862" s="46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</row>
    <row r="863" ht="16" customHeight="1" spans="1:51" x14ac:dyDescent="0.25">
      <c r="A863" s="45"/>
      <c r="B863" s="46" t="s">
        <v>906</v>
      </c>
      <c r="C863" s="46" t="s">
        <v>907</v>
      </c>
      <c r="D863" s="46" t="s">
        <v>29</v>
      </c>
      <c r="E863" s="46" t="s">
        <v>299</v>
      </c>
      <c r="F863" s="46" t="s">
        <v>37</v>
      </c>
      <c r="G863" s="46" t="s">
        <v>299</v>
      </c>
      <c r="H863" s="46" t="s">
        <v>299</v>
      </c>
      <c r="I863" s="46" t="s">
        <v>299</v>
      </c>
      <c r="J863" s="46" t="s">
        <v>299</v>
      </c>
      <c r="K863" s="46" t="s">
        <v>299</v>
      </c>
      <c r="L863" s="46" t="s">
        <v>299</v>
      </c>
      <c r="M863" s="46" t="s">
        <v>37</v>
      </c>
      <c r="N863" s="46" t="s">
        <v>299</v>
      </c>
      <c r="O863" s="46" t="s">
        <v>299</v>
      </c>
      <c r="P863" s="46" t="s">
        <v>37</v>
      </c>
      <c r="Q863" s="46" t="s">
        <v>299</v>
      </c>
      <c r="R863" s="46" t="s">
        <v>299</v>
      </c>
      <c r="S863" s="46" t="s">
        <v>299</v>
      </c>
      <c r="T863" s="46" t="s">
        <v>299</v>
      </c>
      <c r="U863" s="46" t="s">
        <v>299</v>
      </c>
      <c r="V863" s="46" t="s">
        <v>299</v>
      </c>
      <c r="W863" s="46" t="s">
        <v>299</v>
      </c>
      <c r="X863" s="46" t="s">
        <v>299</v>
      </c>
      <c r="Y863" s="46" t="s">
        <v>299</v>
      </c>
      <c r="Z863" s="46" t="s">
        <v>37</v>
      </c>
      <c r="AA863" s="46" t="s">
        <v>299</v>
      </c>
      <c r="AB863" s="46" t="s">
        <v>299</v>
      </c>
      <c r="AC863" s="46" t="s">
        <v>299</v>
      </c>
      <c r="AD863" s="46" t="s">
        <v>299</v>
      </c>
      <c r="AE863" s="46" t="s">
        <v>299</v>
      </c>
      <c r="AF863" s="46" t="s">
        <v>37</v>
      </c>
      <c r="AG863" s="46" t="s">
        <v>299</v>
      </c>
      <c r="AH863" s="46" t="s">
        <v>43</v>
      </c>
      <c r="AI863" s="46" t="s">
        <v>299</v>
      </c>
      <c r="AJ863" s="46">
        <f>=SUM(E864:AI864)</f>
      </c>
      <c r="AK863" s="46">
        <f>=+AY863</f>
      </c>
      <c r="AL863" s="46"/>
      <c r="AM863" s="1"/>
      <c r="AN863" s="1">
        <f>=COUNTIF(E863:AI863,"A")+COUNTIF(E863:AI863,"B")+COUNTIF(E863:AI863,"C")+COUNTIF(E863:AI863,"D")+COUNTIF(E863:AI863,"E")+COUNTIF(E863:AI863,"F")+COUNTIF(E863:AI863,"M")+COUNTIF(E863:AI863,"AB")+COUNTIF(E863:AI863,"UZ")+COUNTIF(E863:AI863,"G")+(COUNTIF(E863:AI863,"RT.")/2)+(COUNTIF(E863:AI863,"ÇRT.")/2)</f>
      </c>
      <c r="AO863" s="1">
        <f>=COUNTIF(E863:AI863,"O")</f>
      </c>
      <c r="AP863" s="1">
        <f>=COUNTIF(E863:AI863,"RT")+(COUNTIF(E863:AI863,"RT.")/2)</f>
      </c>
      <c r="AQ863" s="1">
        <f>=COUNTIF(E863:AI863,"ÇRT")+(COUNTIF(E863:AI863,"ÇRT.")/2)</f>
      </c>
      <c r="AR863" s="1">
        <f>=COUNTIF(E863:AI863,"ÇHT")</f>
      </c>
      <c r="AS863" s="1">
        <f>=COUNTIF(E863:AI863,"Ö")+COUNTIF(E863:AI863,"T")</f>
      </c>
      <c r="AT863" s="1">
        <f>=COUNTIF(E863:AI863,"Y")</f>
      </c>
      <c r="AU863" s="1">
        <f>=COUNTIF(E863:AI863,"R.")</f>
      </c>
      <c r="AV863" s="1">
        <f>=COUNTIF(E863:AI863,"Ü")</f>
      </c>
      <c r="AW863" s="1">
        <f>=COUNTIF(E863:AI863,"R")</f>
      </c>
      <c r="AX863" s="1">
        <f>=COUNTIF(E863:AI863,"DV")</f>
      </c>
      <c r="AY863" s="1">
        <f>=+AN863+AO863+AP863+AQ863+AR863+AS863+AT863+AU863</f>
      </c>
    </row>
    <row r="864" ht="16" customHeight="1" spans="1:51" x14ac:dyDescent="0.25">
      <c r="A864" s="45"/>
      <c r="B864" s="46"/>
      <c r="C864" s="46"/>
      <c r="D864" s="46" t="s">
        <v>33</v>
      </c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  <c r="AC864" s="46"/>
      <c r="AD864" s="46"/>
      <c r="AE864" s="46"/>
      <c r="AF864" s="46"/>
      <c r="AG864" s="46"/>
      <c r="AH864" s="46"/>
      <c r="AI864" s="46"/>
      <c r="AJ864" s="46"/>
      <c r="AK864" s="46"/>
      <c r="AL864" s="46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</row>
    <row r="865" ht="16" customHeight="1" spans="1:51" x14ac:dyDescent="0.25">
      <c r="A865" s="45"/>
      <c r="B865" s="46" t="s">
        <v>908</v>
      </c>
      <c r="C865" s="46" t="s">
        <v>909</v>
      </c>
      <c r="D865" s="46" t="s">
        <v>29</v>
      </c>
      <c r="E865" s="46" t="s">
        <v>299</v>
      </c>
      <c r="F865" s="46" t="s">
        <v>299</v>
      </c>
      <c r="G865" s="46" t="s">
        <v>299</v>
      </c>
      <c r="H865" s="46" t="s">
        <v>299</v>
      </c>
      <c r="I865" s="46" t="s">
        <v>299</v>
      </c>
      <c r="J865" s="46" t="s">
        <v>299</v>
      </c>
      <c r="K865" s="46" t="s">
        <v>299</v>
      </c>
      <c r="L865" s="46" t="s">
        <v>37</v>
      </c>
      <c r="M865" s="46" t="s">
        <v>299</v>
      </c>
      <c r="N865" s="46" t="s">
        <v>299</v>
      </c>
      <c r="O865" s="46" t="s">
        <v>299</v>
      </c>
      <c r="P865" s="46" t="s">
        <v>299</v>
      </c>
      <c r="Q865" s="46" t="s">
        <v>299</v>
      </c>
      <c r="R865" s="46" t="s">
        <v>37</v>
      </c>
      <c r="S865" s="46" t="s">
        <v>299</v>
      </c>
      <c r="T865" s="46" t="s">
        <v>299</v>
      </c>
      <c r="U865" s="46" t="s">
        <v>299</v>
      </c>
      <c r="V865" s="46" t="s">
        <v>299</v>
      </c>
      <c r="W865" s="46" t="s">
        <v>299</v>
      </c>
      <c r="X865" s="46" t="s">
        <v>299</v>
      </c>
      <c r="Y865" s="46" t="s">
        <v>37</v>
      </c>
      <c r="Z865" s="46" t="s">
        <v>299</v>
      </c>
      <c r="AA865" s="46" t="s">
        <v>299</v>
      </c>
      <c r="AB865" s="46" t="s">
        <v>299</v>
      </c>
      <c r="AC865" s="46" t="s">
        <v>299</v>
      </c>
      <c r="AD865" s="46" t="s">
        <v>299</v>
      </c>
      <c r="AE865" s="46" t="s">
        <v>299</v>
      </c>
      <c r="AF865" s="46" t="s">
        <v>299</v>
      </c>
      <c r="AG865" s="46" t="s">
        <v>37</v>
      </c>
      <c r="AH865" s="46" t="s">
        <v>43</v>
      </c>
      <c r="AI865" s="46" t="s">
        <v>299</v>
      </c>
      <c r="AJ865" s="46">
        <f>=SUM(E866:AI866)</f>
      </c>
      <c r="AK865" s="46">
        <f>=+AY865</f>
      </c>
      <c r="AL865" s="46"/>
      <c r="AM865" s="1"/>
      <c r="AN865" s="1">
        <f>=COUNTIF(E865:AI865,"A")+COUNTIF(E865:AI865,"B")+COUNTIF(E865:AI865,"C")+COUNTIF(E865:AI865,"D")+COUNTIF(E865:AI865,"E")+COUNTIF(E865:AI865,"F")+COUNTIF(E865:AI865,"M")+COUNTIF(E865:AI865,"AB")+COUNTIF(E865:AI865,"UZ")+COUNTIF(E865:AI865,"G")+(COUNTIF(E865:AI865,"RT.")/2)+(COUNTIF(E865:AI865,"ÇRT.")/2)</f>
      </c>
      <c r="AO865" s="1">
        <f>=COUNTIF(E865:AI865,"O")</f>
      </c>
      <c r="AP865" s="1">
        <f>=COUNTIF(E865:AI865,"RT")+(COUNTIF(E865:AI865,"RT.")/2)</f>
      </c>
      <c r="AQ865" s="1">
        <f>=COUNTIF(E865:AI865,"ÇRT")+(COUNTIF(E865:AI865,"ÇRT.")/2)</f>
      </c>
      <c r="AR865" s="1">
        <f>=COUNTIF(E865:AI865,"ÇHT")</f>
      </c>
      <c r="AS865" s="1">
        <f>=COUNTIF(E865:AI865,"Ö")+COUNTIF(E865:AI865,"T")</f>
      </c>
      <c r="AT865" s="1">
        <f>=COUNTIF(E865:AI865,"Y")</f>
      </c>
      <c r="AU865" s="1">
        <f>=COUNTIF(E865:AI865,"R.")</f>
      </c>
      <c r="AV865" s="1">
        <f>=COUNTIF(E865:AI865,"Ü")</f>
      </c>
      <c r="AW865" s="1">
        <f>=COUNTIF(E865:AI865,"R")</f>
      </c>
      <c r="AX865" s="1">
        <f>=COUNTIF(E865:AI865,"DV")</f>
      </c>
      <c r="AY865" s="1">
        <f>=+AN865+AO865+AP865+AQ865+AR865+AS865+AT865+AU865</f>
      </c>
    </row>
    <row r="866" ht="16" customHeight="1" spans="1:51" x14ac:dyDescent="0.25">
      <c r="A866" s="45"/>
      <c r="B866" s="46"/>
      <c r="C866" s="46"/>
      <c r="D866" s="46" t="s">
        <v>33</v>
      </c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  <c r="AB866" s="46"/>
      <c r="AC866" s="46"/>
      <c r="AD866" s="46"/>
      <c r="AE866" s="46"/>
      <c r="AF866" s="46"/>
      <c r="AG866" s="46"/>
      <c r="AH866" s="46"/>
      <c r="AI866" s="46"/>
      <c r="AJ866" s="46"/>
      <c r="AK866" s="46"/>
      <c r="AL866" s="46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</row>
    <row r="867" ht="16" customHeight="1" spans="1:51" x14ac:dyDescent="0.25">
      <c r="A867" s="45"/>
      <c r="B867" s="46" t="s">
        <v>910</v>
      </c>
      <c r="C867" s="46" t="s">
        <v>911</v>
      </c>
      <c r="D867" s="46" t="s">
        <v>29</v>
      </c>
      <c r="E867" s="46" t="s">
        <v>173</v>
      </c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  <c r="AC867" s="46"/>
      <c r="AD867" s="46"/>
      <c r="AE867" s="46"/>
      <c r="AF867" s="46"/>
      <c r="AG867" s="46"/>
      <c r="AH867" s="46"/>
      <c r="AI867" s="46"/>
      <c r="AJ867" s="46">
        <f>=SUM(E868:AI868)</f>
      </c>
      <c r="AK867" s="46">
        <f>=+AY867</f>
      </c>
      <c r="AL867" s="46"/>
      <c r="AM867" s="1"/>
      <c r="AN867" s="1">
        <f>=COUNTIF(E867:AI867,"A")+COUNTIF(E867:AI867,"B")+COUNTIF(E867:AI867,"C")+COUNTIF(E867:AI867,"D")+COUNTIF(E867:AI867,"E")+COUNTIF(E867:AI867,"F")+COUNTIF(E867:AI867,"M")+COUNTIF(E867:AI867,"AB")+COUNTIF(E867:AI867,"UZ")+COUNTIF(E867:AI867,"G")+(COUNTIF(E867:AI867,"RT.")/2)+(COUNTIF(E867:AI867,"ÇRT.")/2)</f>
      </c>
      <c r="AO867" s="1">
        <f>=COUNTIF(E867:AI867,"O")</f>
      </c>
      <c r="AP867" s="1">
        <f>=COUNTIF(E867:AI867,"RT")+(COUNTIF(E867:AI867,"RT.")/2)</f>
      </c>
      <c r="AQ867" s="1">
        <f>=COUNTIF(E867:AI867,"ÇRT")+(COUNTIF(E867:AI867,"ÇRT.")/2)</f>
      </c>
      <c r="AR867" s="1">
        <f>=COUNTIF(E867:AI867,"ÇHT")</f>
      </c>
      <c r="AS867" s="1">
        <f>=COUNTIF(E867:AI867,"Ö")+COUNTIF(E867:AI867,"T")</f>
      </c>
      <c r="AT867" s="1">
        <f>=COUNTIF(E867:AI867,"Y")</f>
      </c>
      <c r="AU867" s="1">
        <f>=COUNTIF(E867:AI867,"R.")</f>
      </c>
      <c r="AV867" s="1">
        <f>=COUNTIF(E867:AI867,"Ü")</f>
      </c>
      <c r="AW867" s="1">
        <f>=COUNTIF(E867:AI867,"R")</f>
      </c>
      <c r="AX867" s="1">
        <f>=COUNTIF(E867:AI867,"DV")</f>
      </c>
      <c r="AY867" s="1">
        <f>=+AN867+AO867+AP867+AQ867+AR867+AS867+AT867+AU867</f>
      </c>
    </row>
    <row r="868" ht="16" customHeight="1" spans="1:51" x14ac:dyDescent="0.25">
      <c r="A868" s="45"/>
      <c r="B868" s="46"/>
      <c r="C868" s="46"/>
      <c r="D868" s="46" t="s">
        <v>33</v>
      </c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  <c r="AB868" s="46"/>
      <c r="AC868" s="46"/>
      <c r="AD868" s="46"/>
      <c r="AE868" s="46"/>
      <c r="AF868" s="46"/>
      <c r="AG868" s="46"/>
      <c r="AH868" s="46"/>
      <c r="AI868" s="46"/>
      <c r="AJ868" s="46"/>
      <c r="AK868" s="46"/>
      <c r="AL868" s="46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</row>
    <row r="869" ht="16" customHeight="1" spans="1:51" x14ac:dyDescent="0.25">
      <c r="A869" s="45"/>
      <c r="B869" s="46" t="s">
        <v>912</v>
      </c>
      <c r="C869" s="46" t="s">
        <v>913</v>
      </c>
      <c r="D869" s="46" t="s">
        <v>29</v>
      </c>
      <c r="E869" s="46" t="s">
        <v>37</v>
      </c>
      <c r="F869" s="46" t="s">
        <v>299</v>
      </c>
      <c r="G869" s="46" t="s">
        <v>299</v>
      </c>
      <c r="H869" s="46" t="s">
        <v>299</v>
      </c>
      <c r="I869" s="46" t="s">
        <v>31</v>
      </c>
      <c r="J869" s="46" t="s">
        <v>31</v>
      </c>
      <c r="K869" s="46" t="s">
        <v>32</v>
      </c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  <c r="AB869" s="46"/>
      <c r="AC869" s="46"/>
      <c r="AD869" s="46"/>
      <c r="AE869" s="46"/>
      <c r="AF869" s="46"/>
      <c r="AG869" s="46"/>
      <c r="AH869" s="46"/>
      <c r="AI869" s="46"/>
      <c r="AJ869" s="46">
        <f>=SUM(E870:AI870)</f>
      </c>
      <c r="AK869" s="46">
        <f>=+AY869</f>
      </c>
      <c r="AL869" s="46"/>
      <c r="AM869" s="1"/>
      <c r="AN869" s="1">
        <f>=COUNTIF(E869:AI869,"A")+COUNTIF(E869:AI869,"B")+COUNTIF(E869:AI869,"C")+COUNTIF(E869:AI869,"D")+COUNTIF(E869:AI869,"E")+COUNTIF(E869:AI869,"F")+COUNTIF(E869:AI869,"M")+COUNTIF(E869:AI869,"AB")+COUNTIF(E869:AI869,"UZ")+COUNTIF(E869:AI869,"G")+(COUNTIF(E869:AI869,"RT.")/2)+(COUNTIF(E869:AI869,"ÇRT.")/2)</f>
      </c>
      <c r="AO869" s="1">
        <f>=COUNTIF(E869:AI869,"O")</f>
      </c>
      <c r="AP869" s="1">
        <f>=COUNTIF(E869:AI869,"RT")+(COUNTIF(E869:AI869,"RT.")/2)</f>
      </c>
      <c r="AQ869" s="1">
        <f>=COUNTIF(E869:AI869,"ÇRT")+(COUNTIF(E869:AI869,"ÇRT.")/2)</f>
      </c>
      <c r="AR869" s="1">
        <f>=COUNTIF(E869:AI869,"ÇHT")</f>
      </c>
      <c r="AS869" s="1">
        <f>=COUNTIF(E869:AI869,"Ö")+COUNTIF(E869:AI869,"T")</f>
      </c>
      <c r="AT869" s="1">
        <f>=COUNTIF(E869:AI869,"Y")</f>
      </c>
      <c r="AU869" s="1">
        <f>=COUNTIF(E869:AI869,"R.")</f>
      </c>
      <c r="AV869" s="1">
        <f>=COUNTIF(E869:AI869,"Ü")</f>
      </c>
      <c r="AW869" s="1">
        <f>=COUNTIF(E869:AI869,"R")</f>
      </c>
      <c r="AX869" s="1">
        <f>=COUNTIF(E869:AI869,"DV")</f>
      </c>
      <c r="AY869" s="1">
        <f>=+AN869+AO869+AP869+AQ869+AR869+AS869+AT869+AU869</f>
      </c>
    </row>
    <row r="870" ht="16" customHeight="1" spans="1:51" x14ac:dyDescent="0.25">
      <c r="A870" s="45"/>
      <c r="B870" s="46"/>
      <c r="C870" s="46"/>
      <c r="D870" s="46" t="s">
        <v>33</v>
      </c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  <c r="AB870" s="46"/>
      <c r="AC870" s="46"/>
      <c r="AD870" s="46"/>
      <c r="AE870" s="46"/>
      <c r="AF870" s="46"/>
      <c r="AG870" s="46"/>
      <c r="AH870" s="46"/>
      <c r="AI870" s="46"/>
      <c r="AJ870" s="46"/>
      <c r="AK870" s="46"/>
      <c r="AL870" s="46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</row>
    <row r="871" ht="16" customHeight="1" spans="1:51" x14ac:dyDescent="0.25">
      <c r="A871" s="45"/>
      <c r="B871" s="46" t="s">
        <v>914</v>
      </c>
      <c r="C871" s="46" t="s">
        <v>915</v>
      </c>
      <c r="D871" s="46" t="s">
        <v>29</v>
      </c>
      <c r="E871" s="46" t="s">
        <v>36</v>
      </c>
      <c r="F871" s="46" t="s">
        <v>41</v>
      </c>
      <c r="G871" s="46" t="s">
        <v>37</v>
      </c>
      <c r="H871" s="46" t="s">
        <v>36</v>
      </c>
      <c r="I871" s="46" t="s">
        <v>36</v>
      </c>
      <c r="J871" s="46" t="s">
        <v>36</v>
      </c>
      <c r="K871" s="46" t="s">
        <v>36</v>
      </c>
      <c r="L871" s="46" t="s">
        <v>36</v>
      </c>
      <c r="M871" s="46" t="s">
        <v>36</v>
      </c>
      <c r="N871" s="46" t="s">
        <v>37</v>
      </c>
      <c r="O871" s="46" t="s">
        <v>41</v>
      </c>
      <c r="P871" s="46" t="s">
        <v>41</v>
      </c>
      <c r="Q871" s="46" t="s">
        <v>41</v>
      </c>
      <c r="R871" s="46" t="s">
        <v>41</v>
      </c>
      <c r="S871" s="46" t="s">
        <v>36</v>
      </c>
      <c r="T871" s="46" t="s">
        <v>41</v>
      </c>
      <c r="U871" s="46" t="s">
        <v>37</v>
      </c>
      <c r="V871" s="46" t="s">
        <v>36</v>
      </c>
      <c r="W871" s="46" t="s">
        <v>36</v>
      </c>
      <c r="X871" s="46" t="s">
        <v>36</v>
      </c>
      <c r="Y871" s="46" t="s">
        <v>36</v>
      </c>
      <c r="Z871" s="46" t="s">
        <v>36</v>
      </c>
      <c r="AA871" s="46" t="s">
        <v>36</v>
      </c>
      <c r="AB871" s="46" t="s">
        <v>37</v>
      </c>
      <c r="AC871" s="46" t="s">
        <v>41</v>
      </c>
      <c r="AD871" s="46" t="s">
        <v>41</v>
      </c>
      <c r="AE871" s="46" t="s">
        <v>41</v>
      </c>
      <c r="AF871" s="46" t="s">
        <v>41</v>
      </c>
      <c r="AG871" s="46" t="s">
        <v>36</v>
      </c>
      <c r="AH871" s="46" t="s">
        <v>43</v>
      </c>
      <c r="AI871" s="46" t="s">
        <v>37</v>
      </c>
      <c r="AJ871" s="46">
        <f>=SUM(E872:AI872)</f>
      </c>
      <c r="AK871" s="46">
        <f>=+AY871</f>
      </c>
      <c r="AL871" s="46"/>
      <c r="AM871" s="1"/>
      <c r="AN871" s="1">
        <f>=COUNTIF(E871:AI871,"A")+COUNTIF(E871:AI871,"B")+COUNTIF(E871:AI871,"C")+COUNTIF(E871:AI871,"D")+COUNTIF(E871:AI871,"E")+COUNTIF(E871:AI871,"F")+COUNTIF(E871:AI871,"M")+COUNTIF(E871:AI871,"AB")+COUNTIF(E871:AI871,"UZ")+COUNTIF(E871:AI871,"G")+(COUNTIF(E871:AI871,"RT.")/2)+(COUNTIF(E871:AI871,"ÇRT.")/2)</f>
      </c>
      <c r="AO871" s="1">
        <f>=COUNTIF(E871:AI871,"O")</f>
      </c>
      <c r="AP871" s="1">
        <f>=COUNTIF(E871:AI871,"RT")+(COUNTIF(E871:AI871,"RT.")/2)</f>
      </c>
      <c r="AQ871" s="1">
        <f>=COUNTIF(E871:AI871,"ÇRT")+(COUNTIF(E871:AI871,"ÇRT.")/2)</f>
      </c>
      <c r="AR871" s="1">
        <f>=COUNTIF(E871:AI871,"ÇHT")</f>
      </c>
      <c r="AS871" s="1">
        <f>=COUNTIF(E871:AI871,"Ö")+COUNTIF(E871:AI871,"T")</f>
      </c>
      <c r="AT871" s="1">
        <f>=COUNTIF(E871:AI871,"Y")</f>
      </c>
      <c r="AU871" s="1">
        <f>=COUNTIF(E871:AI871,"R.")</f>
      </c>
      <c r="AV871" s="1">
        <f>=COUNTIF(E871:AI871,"Ü")</f>
      </c>
      <c r="AW871" s="1">
        <f>=COUNTIF(E871:AI871,"R")</f>
      </c>
      <c r="AX871" s="1">
        <f>=COUNTIF(E871:AI871,"DV")</f>
      </c>
      <c r="AY871" s="1">
        <f>=+AN871+AO871+AP871+AQ871+AR871+AS871+AT871+AU871</f>
      </c>
    </row>
    <row r="872" ht="16" customHeight="1" spans="1:51" x14ac:dyDescent="0.25">
      <c r="A872" s="45"/>
      <c r="B872" s="46"/>
      <c r="C872" s="46"/>
      <c r="D872" s="46" t="s">
        <v>33</v>
      </c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  <c r="AB872" s="46"/>
      <c r="AC872" s="46"/>
      <c r="AD872" s="46"/>
      <c r="AE872" s="46"/>
      <c r="AF872" s="46"/>
      <c r="AG872" s="46"/>
      <c r="AH872" s="46"/>
      <c r="AI872" s="46"/>
      <c r="AJ872" s="46"/>
      <c r="AK872" s="46"/>
      <c r="AL872" s="46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</row>
    <row r="873" ht="16" customHeight="1" spans="1:51" x14ac:dyDescent="0.25">
      <c r="A873" s="45"/>
      <c r="B873" s="46" t="s">
        <v>916</v>
      </c>
      <c r="C873" s="46" t="s">
        <v>917</v>
      </c>
      <c r="D873" s="46" t="s">
        <v>29</v>
      </c>
      <c r="E873" s="46" t="s">
        <v>42</v>
      </c>
      <c r="F873" s="46" t="s">
        <v>37</v>
      </c>
      <c r="G873" s="46" t="s">
        <v>42</v>
      </c>
      <c r="H873" s="46" t="s">
        <v>42</v>
      </c>
      <c r="I873" s="46" t="s">
        <v>299</v>
      </c>
      <c r="J873" s="46" t="s">
        <v>299</v>
      </c>
      <c r="K873" s="46" t="s">
        <v>42</v>
      </c>
      <c r="L873" s="46" t="s">
        <v>42</v>
      </c>
      <c r="M873" s="46" t="s">
        <v>37</v>
      </c>
      <c r="N873" s="46" t="s">
        <v>42</v>
      </c>
      <c r="O873" s="46" t="s">
        <v>42</v>
      </c>
      <c r="P873" s="46" t="s">
        <v>299</v>
      </c>
      <c r="Q873" s="46" t="s">
        <v>299</v>
      </c>
      <c r="R873" s="46" t="s">
        <v>42</v>
      </c>
      <c r="S873" s="46" t="s">
        <v>42</v>
      </c>
      <c r="T873" s="46" t="s">
        <v>37</v>
      </c>
      <c r="U873" s="46" t="s">
        <v>42</v>
      </c>
      <c r="V873" s="46" t="s">
        <v>42</v>
      </c>
      <c r="W873" s="46" t="s">
        <v>42</v>
      </c>
      <c r="X873" s="46" t="s">
        <v>42</v>
      </c>
      <c r="Y873" s="46" t="s">
        <v>42</v>
      </c>
      <c r="Z873" s="46" t="s">
        <v>337</v>
      </c>
      <c r="AA873" s="46" t="s">
        <v>37</v>
      </c>
      <c r="AB873" s="46" t="s">
        <v>42</v>
      </c>
      <c r="AC873" s="46" t="s">
        <v>42</v>
      </c>
      <c r="AD873" s="46" t="s">
        <v>299</v>
      </c>
      <c r="AE873" s="46" t="s">
        <v>299</v>
      </c>
      <c r="AF873" s="46" t="s">
        <v>42</v>
      </c>
      <c r="AG873" s="46" t="s">
        <v>37</v>
      </c>
      <c r="AH873" s="46" t="s">
        <v>43</v>
      </c>
      <c r="AI873" s="46" t="s">
        <v>42</v>
      </c>
      <c r="AJ873" s="46">
        <f>=SUM(E874:AI874)</f>
      </c>
      <c r="AK873" s="46">
        <f>=+AY873</f>
      </c>
      <c r="AL873" s="46"/>
      <c r="AM873" s="1"/>
      <c r="AN873" s="1">
        <f>=COUNTIF(E873:AI873,"A")+COUNTIF(E873:AI873,"B")+COUNTIF(E873:AI873,"C")+COUNTIF(E873:AI873,"D")+COUNTIF(E873:AI873,"E")+COUNTIF(E873:AI873,"F")+COUNTIF(E873:AI873,"M")+COUNTIF(E873:AI873,"AB")+COUNTIF(E873:AI873,"UZ")+COUNTIF(E873:AI873,"G")+(COUNTIF(E873:AI873,"RT.")/2)+(COUNTIF(E873:AI873,"ÇRT.")/2)</f>
      </c>
      <c r="AO873" s="1">
        <f>=COUNTIF(E873:AI873,"O")</f>
      </c>
      <c r="AP873" s="1">
        <f>=COUNTIF(E873:AI873,"RT")+(COUNTIF(E873:AI873,"RT.")/2)</f>
      </c>
      <c r="AQ873" s="1">
        <f>=COUNTIF(E873:AI873,"ÇRT")+(COUNTIF(E873:AI873,"ÇRT.")/2)</f>
      </c>
      <c r="AR873" s="1">
        <f>=COUNTIF(E873:AI873,"ÇHT")</f>
      </c>
      <c r="AS873" s="1">
        <f>=COUNTIF(E873:AI873,"Ö")+COUNTIF(E873:AI873,"T")</f>
      </c>
      <c r="AT873" s="1">
        <f>=COUNTIF(E873:AI873,"Y")</f>
      </c>
      <c r="AU873" s="1">
        <f>=COUNTIF(E873:AI873,"R.")</f>
      </c>
      <c r="AV873" s="1">
        <f>=COUNTIF(E873:AI873,"Ü")</f>
      </c>
      <c r="AW873" s="1">
        <f>=COUNTIF(E873:AI873,"R")</f>
      </c>
      <c r="AX873" s="1">
        <f>=COUNTIF(E873:AI873,"DV")</f>
      </c>
      <c r="AY873" s="1">
        <f>=+AN873+AO873+AP873+AQ873+AR873+AS873+AT873+AU873</f>
      </c>
    </row>
    <row r="874" ht="16" customHeight="1" spans="1:51" x14ac:dyDescent="0.25">
      <c r="A874" s="45"/>
      <c r="B874" s="46"/>
      <c r="C874" s="46"/>
      <c r="D874" s="46" t="s">
        <v>33</v>
      </c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  <c r="AB874" s="46"/>
      <c r="AC874" s="46"/>
      <c r="AD874" s="46"/>
      <c r="AE874" s="46"/>
      <c r="AF874" s="46"/>
      <c r="AG874" s="46"/>
      <c r="AH874" s="46"/>
      <c r="AI874" s="46"/>
      <c r="AJ874" s="46"/>
      <c r="AK874" s="46"/>
      <c r="AL874" s="46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</row>
    <row r="875" ht="16" customHeight="1" spans="1:51" x14ac:dyDescent="0.25">
      <c r="A875" s="45"/>
      <c r="B875" s="46" t="s">
        <v>918</v>
      </c>
      <c r="C875" s="46" t="s">
        <v>919</v>
      </c>
      <c r="D875" s="46" t="s">
        <v>29</v>
      </c>
      <c r="E875" s="46" t="s">
        <v>299</v>
      </c>
      <c r="F875" s="46" t="s">
        <v>37</v>
      </c>
      <c r="G875" s="46" t="s">
        <v>299</v>
      </c>
      <c r="H875" s="46" t="s">
        <v>299</v>
      </c>
      <c r="I875" s="46" t="s">
        <v>299</v>
      </c>
      <c r="J875" s="46" t="s">
        <v>299</v>
      </c>
      <c r="K875" s="46" t="s">
        <v>299</v>
      </c>
      <c r="L875" s="46" t="s">
        <v>299</v>
      </c>
      <c r="M875" s="46" t="s">
        <v>37</v>
      </c>
      <c r="N875" s="46" t="s">
        <v>299</v>
      </c>
      <c r="O875" s="46" t="s">
        <v>299</v>
      </c>
      <c r="P875" s="46" t="s">
        <v>299</v>
      </c>
      <c r="Q875" s="46" t="s">
        <v>299</v>
      </c>
      <c r="R875" s="46" t="s">
        <v>299</v>
      </c>
      <c r="S875" s="46" t="s">
        <v>299</v>
      </c>
      <c r="T875" s="46" t="s">
        <v>37</v>
      </c>
      <c r="U875" s="46" t="s">
        <v>299</v>
      </c>
      <c r="V875" s="46" t="s">
        <v>299</v>
      </c>
      <c r="W875" s="46" t="s">
        <v>299</v>
      </c>
      <c r="X875" s="46" t="s">
        <v>299</v>
      </c>
      <c r="Y875" s="46" t="s">
        <v>299</v>
      </c>
      <c r="Z875" s="46" t="s">
        <v>299</v>
      </c>
      <c r="AA875" s="46" t="s">
        <v>37</v>
      </c>
      <c r="AB875" s="46" t="s">
        <v>299</v>
      </c>
      <c r="AC875" s="46" t="s">
        <v>299</v>
      </c>
      <c r="AD875" s="46" t="s">
        <v>299</v>
      </c>
      <c r="AE875" s="46" t="s">
        <v>299</v>
      </c>
      <c r="AF875" s="46" t="s">
        <v>299</v>
      </c>
      <c r="AG875" s="46" t="s">
        <v>299</v>
      </c>
      <c r="AH875" s="46" t="s">
        <v>37</v>
      </c>
      <c r="AI875" s="46" t="s">
        <v>299</v>
      </c>
      <c r="AJ875" s="46">
        <f>=SUM(E876:AI876)</f>
      </c>
      <c r="AK875" s="46">
        <f>=+AY875</f>
      </c>
      <c r="AL875" s="46"/>
      <c r="AM875" s="1"/>
      <c r="AN875" s="1">
        <f>=COUNTIF(E875:AI875,"A")+COUNTIF(E875:AI875,"B")+COUNTIF(E875:AI875,"C")+COUNTIF(E875:AI875,"D")+COUNTIF(E875:AI875,"E")+COUNTIF(E875:AI875,"F")+COUNTIF(E875:AI875,"M")+COUNTIF(E875:AI875,"AB")+COUNTIF(E875:AI875,"UZ")+COUNTIF(E875:AI875,"G")+(COUNTIF(E875:AI875,"RT.")/2)+(COUNTIF(E875:AI875,"ÇRT.")/2)</f>
      </c>
      <c r="AO875" s="1">
        <f>=COUNTIF(E875:AI875,"O")</f>
      </c>
      <c r="AP875" s="1">
        <f>=COUNTIF(E875:AI875,"RT")+(COUNTIF(E875:AI875,"RT.")/2)</f>
      </c>
      <c r="AQ875" s="1">
        <f>=COUNTIF(E875:AI875,"ÇRT")+(COUNTIF(E875:AI875,"ÇRT.")/2)</f>
      </c>
      <c r="AR875" s="1">
        <f>=COUNTIF(E875:AI875,"ÇHT")</f>
      </c>
      <c r="AS875" s="1">
        <f>=COUNTIF(E875:AI875,"Ö")+COUNTIF(E875:AI875,"T")</f>
      </c>
      <c r="AT875" s="1">
        <f>=COUNTIF(E875:AI875,"Y")</f>
      </c>
      <c r="AU875" s="1">
        <f>=COUNTIF(E875:AI875,"R.")</f>
      </c>
      <c r="AV875" s="1">
        <f>=COUNTIF(E875:AI875,"Ü")</f>
      </c>
      <c r="AW875" s="1">
        <f>=COUNTIF(E875:AI875,"R")</f>
      </c>
      <c r="AX875" s="1">
        <f>=COUNTIF(E875:AI875,"DV")</f>
      </c>
      <c r="AY875" s="1">
        <f>=+AN875+AO875+AP875+AQ875+AR875+AS875+AT875+AU875</f>
      </c>
    </row>
    <row r="876" ht="16" customHeight="1" spans="1:51" x14ac:dyDescent="0.25">
      <c r="A876" s="45"/>
      <c r="B876" s="46"/>
      <c r="C876" s="46"/>
      <c r="D876" s="46" t="s">
        <v>33</v>
      </c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  <c r="AB876" s="46"/>
      <c r="AC876" s="46"/>
      <c r="AD876" s="46"/>
      <c r="AE876" s="46"/>
      <c r="AF876" s="46"/>
      <c r="AG876" s="46"/>
      <c r="AH876" s="46">
        <v>0</v>
      </c>
      <c r="AI876" s="46"/>
      <c r="AJ876" s="46"/>
      <c r="AK876" s="46"/>
      <c r="AL876" s="46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</row>
    <row r="877" ht="16" customHeight="1" spans="1:51" x14ac:dyDescent="0.25">
      <c r="A877" s="45"/>
      <c r="B877" s="46" t="s">
        <v>920</v>
      </c>
      <c r="C877" s="46" t="s">
        <v>921</v>
      </c>
      <c r="D877" s="46" t="s">
        <v>29</v>
      </c>
      <c r="E877" s="46" t="s">
        <v>299</v>
      </c>
      <c r="F877" s="46" t="s">
        <v>299</v>
      </c>
      <c r="G877" s="46" t="s">
        <v>299</v>
      </c>
      <c r="H877" s="46" t="s">
        <v>299</v>
      </c>
      <c r="I877" s="46" t="s">
        <v>299</v>
      </c>
      <c r="J877" s="46" t="s">
        <v>299</v>
      </c>
      <c r="K877" s="46" t="s">
        <v>37</v>
      </c>
      <c r="L877" s="46" t="s">
        <v>299</v>
      </c>
      <c r="M877" s="46" t="s">
        <v>299</v>
      </c>
      <c r="N877" s="46" t="s">
        <v>299</v>
      </c>
      <c r="O877" s="46" t="s">
        <v>299</v>
      </c>
      <c r="P877" s="46" t="s">
        <v>299</v>
      </c>
      <c r="Q877" s="46" t="s">
        <v>299</v>
      </c>
      <c r="R877" s="46" t="s">
        <v>299</v>
      </c>
      <c r="S877" s="46" t="s">
        <v>37</v>
      </c>
      <c r="T877" s="46" t="s">
        <v>299</v>
      </c>
      <c r="U877" s="46" t="s">
        <v>299</v>
      </c>
      <c r="V877" s="46" t="s">
        <v>299</v>
      </c>
      <c r="W877" s="46" t="s">
        <v>299</v>
      </c>
      <c r="X877" s="46" t="s">
        <v>299</v>
      </c>
      <c r="Y877" s="46" t="s">
        <v>37</v>
      </c>
      <c r="Z877" s="46" t="s">
        <v>299</v>
      </c>
      <c r="AA877" s="46" t="s">
        <v>299</v>
      </c>
      <c r="AB877" s="46" t="s">
        <v>299</v>
      </c>
      <c r="AC877" s="46" t="s">
        <v>299</v>
      </c>
      <c r="AD877" s="46" t="s">
        <v>299</v>
      </c>
      <c r="AE877" s="46" t="s">
        <v>299</v>
      </c>
      <c r="AF877" s="46" t="s">
        <v>37</v>
      </c>
      <c r="AG877" s="46" t="s">
        <v>299</v>
      </c>
      <c r="AH877" s="46" t="s">
        <v>43</v>
      </c>
      <c r="AI877" s="46" t="s">
        <v>299</v>
      </c>
      <c r="AJ877" s="46">
        <f>=SUM(E878:AI878)</f>
      </c>
      <c r="AK877" s="46">
        <f>=+AY877</f>
      </c>
      <c r="AL877" s="46"/>
      <c r="AM877" s="1"/>
      <c r="AN877" s="1">
        <f>=COUNTIF(E877:AI877,"A")+COUNTIF(E877:AI877,"B")+COUNTIF(E877:AI877,"C")+COUNTIF(E877:AI877,"D")+COUNTIF(E877:AI877,"E")+COUNTIF(E877:AI877,"F")+COUNTIF(E877:AI877,"M")+COUNTIF(E877:AI877,"AB")+COUNTIF(E877:AI877,"UZ")+COUNTIF(E877:AI877,"G")+(COUNTIF(E877:AI877,"RT.")/2)+(COUNTIF(E877:AI877,"ÇRT.")/2)</f>
      </c>
      <c r="AO877" s="1">
        <f>=COUNTIF(E877:AI877,"O")</f>
      </c>
      <c r="AP877" s="1">
        <f>=COUNTIF(E877:AI877,"RT")+(COUNTIF(E877:AI877,"RT.")/2)</f>
      </c>
      <c r="AQ877" s="1">
        <f>=COUNTIF(E877:AI877,"ÇRT")+(COUNTIF(E877:AI877,"ÇRT.")/2)</f>
      </c>
      <c r="AR877" s="1">
        <f>=COUNTIF(E877:AI877,"ÇHT")</f>
      </c>
      <c r="AS877" s="1">
        <f>=COUNTIF(E877:AI877,"Ö")+COUNTIF(E877:AI877,"T")</f>
      </c>
      <c r="AT877" s="1">
        <f>=COUNTIF(E877:AI877,"Y")</f>
      </c>
      <c r="AU877" s="1">
        <f>=COUNTIF(E877:AI877,"R.")</f>
      </c>
      <c r="AV877" s="1">
        <f>=COUNTIF(E877:AI877,"Ü")</f>
      </c>
      <c r="AW877" s="1">
        <f>=COUNTIF(E877:AI877,"R")</f>
      </c>
      <c r="AX877" s="1">
        <f>=COUNTIF(E877:AI877,"DV")</f>
      </c>
      <c r="AY877" s="1">
        <f>=+AN877+AO877+AP877+AQ877+AR877+AS877+AT877+AU877</f>
      </c>
    </row>
    <row r="878" ht="16" customHeight="1" spans="1:51" x14ac:dyDescent="0.25">
      <c r="A878" s="45"/>
      <c r="B878" s="46"/>
      <c r="C878" s="46"/>
      <c r="D878" s="46" t="s">
        <v>33</v>
      </c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  <c r="AB878" s="46"/>
      <c r="AC878" s="46"/>
      <c r="AD878" s="46"/>
      <c r="AE878" s="46"/>
      <c r="AF878" s="46"/>
      <c r="AG878" s="46"/>
      <c r="AH878" s="46"/>
      <c r="AI878" s="46"/>
      <c r="AJ878" s="46"/>
      <c r="AK878" s="46"/>
      <c r="AL878" s="46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</row>
    <row r="879" ht="16" customHeight="1" spans="1:51" x14ac:dyDescent="0.25">
      <c r="A879" s="45"/>
      <c r="B879" s="46" t="s">
        <v>922</v>
      </c>
      <c r="C879" s="46" t="s">
        <v>923</v>
      </c>
      <c r="D879" s="46" t="s">
        <v>29</v>
      </c>
      <c r="E879" s="46" t="s">
        <v>36</v>
      </c>
      <c r="F879" s="46" t="s">
        <v>36</v>
      </c>
      <c r="G879" s="46" t="s">
        <v>299</v>
      </c>
      <c r="H879" s="46" t="s">
        <v>299</v>
      </c>
      <c r="I879" s="46" t="s">
        <v>37</v>
      </c>
      <c r="J879" s="46" t="s">
        <v>299</v>
      </c>
      <c r="K879" s="46" t="s">
        <v>299</v>
      </c>
      <c r="L879" s="46" t="s">
        <v>299</v>
      </c>
      <c r="M879" s="46" t="s">
        <v>299</v>
      </c>
      <c r="N879" s="46" t="s">
        <v>299</v>
      </c>
      <c r="O879" s="46" t="s">
        <v>299</v>
      </c>
      <c r="P879" s="46" t="s">
        <v>37</v>
      </c>
      <c r="Q879" s="46" t="s">
        <v>299</v>
      </c>
      <c r="R879" s="46" t="s">
        <v>299</v>
      </c>
      <c r="S879" s="46" t="s">
        <v>299</v>
      </c>
      <c r="T879" s="46" t="s">
        <v>299</v>
      </c>
      <c r="U879" s="46" t="s">
        <v>299</v>
      </c>
      <c r="V879" s="46" t="s">
        <v>299</v>
      </c>
      <c r="W879" s="46" t="s">
        <v>37</v>
      </c>
      <c r="X879" s="46" t="s">
        <v>299</v>
      </c>
      <c r="Y879" s="46" t="s">
        <v>299</v>
      </c>
      <c r="Z879" s="46" t="s">
        <v>299</v>
      </c>
      <c r="AA879" s="46" t="s">
        <v>299</v>
      </c>
      <c r="AB879" s="46" t="s">
        <v>299</v>
      </c>
      <c r="AC879" s="46" t="s">
        <v>299</v>
      </c>
      <c r="AD879" s="46" t="s">
        <v>37</v>
      </c>
      <c r="AE879" s="46" t="s">
        <v>299</v>
      </c>
      <c r="AF879" s="46" t="s">
        <v>299</v>
      </c>
      <c r="AG879" s="46" t="s">
        <v>299</v>
      </c>
      <c r="AH879" s="46" t="s">
        <v>43</v>
      </c>
      <c r="AI879" s="46" t="s">
        <v>299</v>
      </c>
      <c r="AJ879" s="46">
        <f>=SUM(E880:AI880)</f>
      </c>
      <c r="AK879" s="46">
        <f>=+AY879</f>
      </c>
      <c r="AL879" s="46"/>
      <c r="AM879" s="1"/>
      <c r="AN879" s="1">
        <f>=COUNTIF(E879:AI879,"A")+COUNTIF(E879:AI879,"B")+COUNTIF(E879:AI879,"C")+COUNTIF(E879:AI879,"D")+COUNTIF(E879:AI879,"E")+COUNTIF(E879:AI879,"F")+COUNTIF(E879:AI879,"M")+COUNTIF(E879:AI879,"AB")+COUNTIF(E879:AI879,"UZ")+COUNTIF(E879:AI879,"G")+(COUNTIF(E879:AI879,"RT.")/2)+(COUNTIF(E879:AI879,"ÇRT.")/2)</f>
      </c>
      <c r="AO879" s="1">
        <f>=COUNTIF(E879:AI879,"O")</f>
      </c>
      <c r="AP879" s="1">
        <f>=COUNTIF(E879:AI879,"RT")+(COUNTIF(E879:AI879,"RT.")/2)</f>
      </c>
      <c r="AQ879" s="1">
        <f>=COUNTIF(E879:AI879,"ÇRT")+(COUNTIF(E879:AI879,"ÇRT.")/2)</f>
      </c>
      <c r="AR879" s="1">
        <f>=COUNTIF(E879:AI879,"ÇHT")</f>
      </c>
      <c r="AS879" s="1">
        <f>=COUNTIF(E879:AI879,"Ö")+COUNTIF(E879:AI879,"T")</f>
      </c>
      <c r="AT879" s="1">
        <f>=COUNTIF(E879:AI879,"Y")</f>
      </c>
      <c r="AU879" s="1">
        <f>=COUNTIF(E879:AI879,"R.")</f>
      </c>
      <c r="AV879" s="1">
        <f>=COUNTIF(E879:AI879,"Ü")</f>
      </c>
      <c r="AW879" s="1">
        <f>=COUNTIF(E879:AI879,"R")</f>
      </c>
      <c r="AX879" s="1">
        <f>=COUNTIF(E879:AI879,"DV")</f>
      </c>
      <c r="AY879" s="1">
        <f>=+AN879+AO879+AP879+AQ879+AR879+AS879+AT879+AU879</f>
      </c>
    </row>
    <row r="880" ht="16" customHeight="1" spans="1:51" x14ac:dyDescent="0.25">
      <c r="A880" s="45"/>
      <c r="B880" s="46"/>
      <c r="C880" s="46"/>
      <c r="D880" s="46" t="s">
        <v>33</v>
      </c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  <c r="AB880" s="46"/>
      <c r="AC880" s="46"/>
      <c r="AD880" s="46"/>
      <c r="AE880" s="46"/>
      <c r="AF880" s="46"/>
      <c r="AG880" s="46"/>
      <c r="AH880" s="46"/>
      <c r="AI880" s="46"/>
      <c r="AJ880" s="46"/>
      <c r="AK880" s="46"/>
      <c r="AL880" s="46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</row>
    <row r="881" ht="16" customHeight="1" spans="1:51" x14ac:dyDescent="0.25">
      <c r="A881" s="45" t="s">
        <v>924</v>
      </c>
      <c r="B881" s="46" t="s">
        <v>925</v>
      </c>
      <c r="C881" s="46" t="s">
        <v>926</v>
      </c>
      <c r="D881" s="46" t="s">
        <v>29</v>
      </c>
      <c r="E881" s="46" t="s">
        <v>46</v>
      </c>
      <c r="F881" s="46" t="s">
        <v>37</v>
      </c>
      <c r="G881" s="46" t="s">
        <v>42</v>
      </c>
      <c r="H881" s="46" t="s">
        <v>42</v>
      </c>
      <c r="I881" s="46" t="s">
        <v>42</v>
      </c>
      <c r="J881" s="46" t="s">
        <v>46</v>
      </c>
      <c r="K881" s="46" t="s">
        <v>46</v>
      </c>
      <c r="L881" s="46" t="s">
        <v>46</v>
      </c>
      <c r="M881" s="46" t="s">
        <v>37</v>
      </c>
      <c r="N881" s="46" t="s">
        <v>42</v>
      </c>
      <c r="O881" s="46" t="s">
        <v>42</v>
      </c>
      <c r="P881" s="46" t="s">
        <v>42</v>
      </c>
      <c r="Q881" s="46" t="s">
        <v>46</v>
      </c>
      <c r="R881" s="46" t="s">
        <v>46</v>
      </c>
      <c r="S881" s="46" t="s">
        <v>46</v>
      </c>
      <c r="T881" s="46" t="s">
        <v>37</v>
      </c>
      <c r="U881" s="46" t="s">
        <v>42</v>
      </c>
      <c r="V881" s="46" t="s">
        <v>42</v>
      </c>
      <c r="W881" s="46" t="s">
        <v>46</v>
      </c>
      <c r="X881" s="46" t="s">
        <v>46</v>
      </c>
      <c r="Y881" s="46" t="s">
        <v>46</v>
      </c>
      <c r="Z881" s="46" t="s">
        <v>42</v>
      </c>
      <c r="AA881" s="46" t="s">
        <v>37</v>
      </c>
      <c r="AB881" s="46" t="s">
        <v>46</v>
      </c>
      <c r="AC881" s="46" t="s">
        <v>42</v>
      </c>
      <c r="AD881" s="46" t="s">
        <v>46</v>
      </c>
      <c r="AE881" s="46" t="s">
        <v>46</v>
      </c>
      <c r="AF881" s="46" t="s">
        <v>46</v>
      </c>
      <c r="AG881" s="46" t="s">
        <v>42</v>
      </c>
      <c r="AH881" s="46" t="s">
        <v>37</v>
      </c>
      <c r="AI881" s="46" t="s">
        <v>42</v>
      </c>
      <c r="AJ881" s="46">
        <f>=SUM(E882:AI882)</f>
      </c>
      <c r="AK881" s="46">
        <f>=+AY881</f>
      </c>
      <c r="AL881" s="46"/>
      <c r="AM881" s="1"/>
      <c r="AN881" s="1">
        <f>=COUNTIF(E881:AI881,"A")+COUNTIF(E881:AI881,"B")+COUNTIF(E881:AI881,"C")+COUNTIF(E881:AI881,"D")+COUNTIF(E881:AI881,"E")+COUNTIF(E881:AI881,"F")+COUNTIF(E881:AI881,"M")+COUNTIF(E881:AI881,"AB")+COUNTIF(E881:AI881,"UZ")+COUNTIF(E881:AI881,"G")+(COUNTIF(E881:AI881,"RT.")/2)+(COUNTIF(E881:AI881,"ÇRT.")/2)</f>
      </c>
      <c r="AO881" s="1">
        <f>=COUNTIF(E881:AI881,"O")</f>
      </c>
      <c r="AP881" s="1">
        <f>=COUNTIF(E881:AI881,"RT")+(COUNTIF(E881:AI881,"RT.")/2)</f>
      </c>
      <c r="AQ881" s="1">
        <f>=COUNTIF(E881:AI881,"ÇRT")+(COUNTIF(E881:AI881,"ÇRT.")/2)</f>
      </c>
      <c r="AR881" s="1">
        <f>=COUNTIF(E881:AI881,"ÇHT")</f>
      </c>
      <c r="AS881" s="1">
        <f>=COUNTIF(E881:AI881,"Ö")+COUNTIF(E881:AI881,"T")</f>
      </c>
      <c r="AT881" s="1">
        <f>=COUNTIF(E881:AI881,"Y")</f>
      </c>
      <c r="AU881" s="1">
        <f>=COUNTIF(E881:AI881,"R.")</f>
      </c>
      <c r="AV881" s="1">
        <f>=COUNTIF(E881:AI881,"Ü")</f>
      </c>
      <c r="AW881" s="1">
        <f>=COUNTIF(E881:AI881,"R")</f>
      </c>
      <c r="AX881" s="1">
        <f>=COUNTIF(E881:AI881,"DV")</f>
      </c>
      <c r="AY881" s="1">
        <f>=+AN881+AO881+AP881+AQ881+AR881+AS881+AT881+AU881</f>
      </c>
    </row>
    <row r="882" ht="16" customHeight="1" spans="1:51" x14ac:dyDescent="0.25">
      <c r="A882" s="45"/>
      <c r="B882" s="46"/>
      <c r="C882" s="46"/>
      <c r="D882" s="46" t="s">
        <v>33</v>
      </c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  <c r="AB882" s="46"/>
      <c r="AC882" s="46"/>
      <c r="AD882" s="46"/>
      <c r="AE882" s="46"/>
      <c r="AF882" s="46"/>
      <c r="AG882" s="46"/>
      <c r="AH882" s="46"/>
      <c r="AI882" s="46"/>
      <c r="AJ882" s="46"/>
      <c r="AK882" s="46"/>
      <c r="AL882" s="46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</row>
    <row r="883" ht="16" customHeight="1" spans="1:51" x14ac:dyDescent="0.25">
      <c r="A883" s="45"/>
      <c r="B883" s="46" t="s">
        <v>927</v>
      </c>
      <c r="C883" s="46" t="s">
        <v>928</v>
      </c>
      <c r="D883" s="46" t="s">
        <v>29</v>
      </c>
      <c r="E883" s="46" t="s">
        <v>337</v>
      </c>
      <c r="F883" s="46" t="s">
        <v>337</v>
      </c>
      <c r="G883" s="46" t="s">
        <v>59</v>
      </c>
      <c r="H883" s="46" t="s">
        <v>59</v>
      </c>
      <c r="I883" s="46" t="s">
        <v>59</v>
      </c>
      <c r="J883" s="46" t="s">
        <v>37</v>
      </c>
      <c r="K883" s="46" t="s">
        <v>36</v>
      </c>
      <c r="L883" s="46" t="s">
        <v>36</v>
      </c>
      <c r="M883" s="46" t="s">
        <v>36</v>
      </c>
      <c r="N883" s="46" t="s">
        <v>36</v>
      </c>
      <c r="O883" s="46" t="s">
        <v>59</v>
      </c>
      <c r="P883" s="46" t="s">
        <v>59</v>
      </c>
      <c r="Q883" s="46" t="s">
        <v>37</v>
      </c>
      <c r="R883" s="46" t="s">
        <v>59</v>
      </c>
      <c r="S883" s="46" t="s">
        <v>59</v>
      </c>
      <c r="T883" s="46" t="s">
        <v>59</v>
      </c>
      <c r="U883" s="46" t="s">
        <v>46</v>
      </c>
      <c r="V883" s="46" t="s">
        <v>36</v>
      </c>
      <c r="W883" s="46" t="s">
        <v>59</v>
      </c>
      <c r="X883" s="46" t="s">
        <v>37</v>
      </c>
      <c r="Y883" s="46" t="s">
        <v>36</v>
      </c>
      <c r="Z883" s="46" t="s">
        <v>36</v>
      </c>
      <c r="AA883" s="46" t="s">
        <v>36</v>
      </c>
      <c r="AB883" s="46" t="s">
        <v>36</v>
      </c>
      <c r="AC883" s="46" t="s">
        <v>36</v>
      </c>
      <c r="AD883" s="46" t="s">
        <v>36</v>
      </c>
      <c r="AE883" s="46" t="s">
        <v>37</v>
      </c>
      <c r="AF883" s="46" t="s">
        <v>59</v>
      </c>
      <c r="AG883" s="46" t="s">
        <v>59</v>
      </c>
      <c r="AH883" s="46" t="s">
        <v>43</v>
      </c>
      <c r="AI883" s="46" t="s">
        <v>59</v>
      </c>
      <c r="AJ883" s="46">
        <f>=SUM(E884:AI884)</f>
      </c>
      <c r="AK883" s="46">
        <f>=+AY883</f>
      </c>
      <c r="AL883" s="46"/>
      <c r="AM883" s="1"/>
      <c r="AN883" s="1">
        <f>=COUNTIF(E883:AI883,"A")+COUNTIF(E883:AI883,"B")+COUNTIF(E883:AI883,"C")+COUNTIF(E883:AI883,"D")+COUNTIF(E883:AI883,"E")+COUNTIF(E883:AI883,"F")+COUNTIF(E883:AI883,"M")+COUNTIF(E883:AI883,"AB")+COUNTIF(E883:AI883,"UZ")+COUNTIF(E883:AI883,"G")+(COUNTIF(E883:AI883,"RT.")/2)+(COUNTIF(E883:AI883,"ÇRT.")/2)</f>
      </c>
      <c r="AO883" s="1">
        <f>=COUNTIF(E883:AI883,"O")</f>
      </c>
      <c r="AP883" s="1">
        <f>=COUNTIF(E883:AI883,"RT")+(COUNTIF(E883:AI883,"RT.")/2)</f>
      </c>
      <c r="AQ883" s="1">
        <f>=COUNTIF(E883:AI883,"ÇRT")+(COUNTIF(E883:AI883,"ÇRT.")/2)</f>
      </c>
      <c r="AR883" s="1">
        <f>=COUNTIF(E883:AI883,"ÇHT")</f>
      </c>
      <c r="AS883" s="1">
        <f>=COUNTIF(E883:AI883,"Ö")+COUNTIF(E883:AI883,"T")</f>
      </c>
      <c r="AT883" s="1">
        <f>=COUNTIF(E883:AI883,"Y")</f>
      </c>
      <c r="AU883" s="1">
        <f>=COUNTIF(E883:AI883,"R.")</f>
      </c>
      <c r="AV883" s="1">
        <f>=COUNTIF(E883:AI883,"Ü")</f>
      </c>
      <c r="AW883" s="1">
        <f>=COUNTIF(E883:AI883,"R")</f>
      </c>
      <c r="AX883" s="1">
        <f>=COUNTIF(E883:AI883,"DV")</f>
      </c>
      <c r="AY883" s="1">
        <f>=+AN883+AO883+AP883+AQ883+AR883+AS883+AT883+AU883</f>
      </c>
    </row>
    <row r="884" ht="16" customHeight="1" spans="1:51" x14ac:dyDescent="0.25">
      <c r="A884" s="45"/>
      <c r="B884" s="46"/>
      <c r="C884" s="46"/>
      <c r="D884" s="46" t="s">
        <v>33</v>
      </c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  <c r="AB884" s="46"/>
      <c r="AC884" s="46"/>
      <c r="AD884" s="46"/>
      <c r="AE884" s="46"/>
      <c r="AF884" s="46"/>
      <c r="AG884" s="46"/>
      <c r="AH884" s="46"/>
      <c r="AI884" s="46"/>
      <c r="AJ884" s="46"/>
      <c r="AK884" s="46"/>
      <c r="AL884" s="46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</row>
    <row r="885" ht="16" customHeight="1" spans="1:51" x14ac:dyDescent="0.25">
      <c r="A885" s="45"/>
      <c r="B885" s="46" t="s">
        <v>929</v>
      </c>
      <c r="C885" s="46" t="s">
        <v>930</v>
      </c>
      <c r="D885" s="46" t="s">
        <v>29</v>
      </c>
      <c r="E885" s="46" t="s">
        <v>37</v>
      </c>
      <c r="F885" s="46" t="s">
        <v>41</v>
      </c>
      <c r="G885" s="46" t="s">
        <v>36</v>
      </c>
      <c r="H885" s="46" t="s">
        <v>36</v>
      </c>
      <c r="I885" s="46" t="s">
        <v>36</v>
      </c>
      <c r="J885" s="46" t="s">
        <v>36</v>
      </c>
      <c r="K885" s="46" t="s">
        <v>36</v>
      </c>
      <c r="L885" s="46" t="s">
        <v>37</v>
      </c>
      <c r="M885" s="46" t="s">
        <v>36</v>
      </c>
      <c r="N885" s="46" t="s">
        <v>41</v>
      </c>
      <c r="O885" s="46" t="s">
        <v>41</v>
      </c>
      <c r="P885" s="46" t="s">
        <v>41</v>
      </c>
      <c r="Q885" s="46" t="s">
        <v>41</v>
      </c>
      <c r="R885" s="46" t="s">
        <v>41</v>
      </c>
      <c r="S885" s="46" t="s">
        <v>37</v>
      </c>
      <c r="T885" s="46" t="s">
        <v>41</v>
      </c>
      <c r="U885" s="46" t="s">
        <v>36</v>
      </c>
      <c r="V885" s="46" t="s">
        <v>36</v>
      </c>
      <c r="W885" s="46" t="s">
        <v>36</v>
      </c>
      <c r="X885" s="46" t="s">
        <v>36</v>
      </c>
      <c r="Y885" s="46" t="s">
        <v>36</v>
      </c>
      <c r="Z885" s="46" t="s">
        <v>37</v>
      </c>
      <c r="AA885" s="46" t="s">
        <v>36</v>
      </c>
      <c r="AB885" s="46" t="s">
        <v>41</v>
      </c>
      <c r="AC885" s="46" t="s">
        <v>41</v>
      </c>
      <c r="AD885" s="46" t="s">
        <v>41</v>
      </c>
      <c r="AE885" s="46" t="s">
        <v>41</v>
      </c>
      <c r="AF885" s="46" t="s">
        <v>41</v>
      </c>
      <c r="AG885" s="46" t="s">
        <v>37</v>
      </c>
      <c r="AH885" s="46" t="s">
        <v>43</v>
      </c>
      <c r="AI885" s="46" t="s">
        <v>36</v>
      </c>
      <c r="AJ885" s="46">
        <f>=SUM(E886:AI886)</f>
      </c>
      <c r="AK885" s="46">
        <f>=+AY885</f>
      </c>
      <c r="AL885" s="46"/>
      <c r="AM885" s="1"/>
      <c r="AN885" s="1">
        <f>=COUNTIF(E885:AI885,"A")+COUNTIF(E885:AI885,"B")+COUNTIF(E885:AI885,"C")+COUNTIF(E885:AI885,"D")+COUNTIF(E885:AI885,"E")+COUNTIF(E885:AI885,"F")+COUNTIF(E885:AI885,"M")+COUNTIF(E885:AI885,"AB")+COUNTIF(E885:AI885,"UZ")+COUNTIF(E885:AI885,"G")+(COUNTIF(E885:AI885,"RT.")/2)+(COUNTIF(E885:AI885,"ÇRT.")/2)</f>
      </c>
      <c r="AO885" s="1">
        <f>=COUNTIF(E885:AI885,"O")</f>
      </c>
      <c r="AP885" s="1">
        <f>=COUNTIF(E885:AI885,"RT")+(COUNTIF(E885:AI885,"RT.")/2)</f>
      </c>
      <c r="AQ885" s="1">
        <f>=COUNTIF(E885:AI885,"ÇRT")+(COUNTIF(E885:AI885,"ÇRT.")/2)</f>
      </c>
      <c r="AR885" s="1">
        <f>=COUNTIF(E885:AI885,"ÇHT")</f>
      </c>
      <c r="AS885" s="1">
        <f>=COUNTIF(E885:AI885,"Ö")+COUNTIF(E885:AI885,"T")</f>
      </c>
      <c r="AT885" s="1">
        <f>=COUNTIF(E885:AI885,"Y")</f>
      </c>
      <c r="AU885" s="1">
        <f>=COUNTIF(E885:AI885,"R.")</f>
      </c>
      <c r="AV885" s="1">
        <f>=COUNTIF(E885:AI885,"Ü")</f>
      </c>
      <c r="AW885" s="1">
        <f>=COUNTIF(E885:AI885,"R")</f>
      </c>
      <c r="AX885" s="1">
        <f>=COUNTIF(E885:AI885,"DV")</f>
      </c>
      <c r="AY885" s="1">
        <f>=+AN885+AO885+AP885+AQ885+AR885+AS885+AT885+AU885</f>
      </c>
    </row>
    <row r="886" ht="16" customHeight="1" spans="1:51" x14ac:dyDescent="0.25">
      <c r="A886" s="45"/>
      <c r="B886" s="46"/>
      <c r="C886" s="46"/>
      <c r="D886" s="46" t="s">
        <v>33</v>
      </c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  <c r="AC886" s="46"/>
      <c r="AD886" s="46"/>
      <c r="AE886" s="46"/>
      <c r="AF886" s="46"/>
      <c r="AG886" s="46"/>
      <c r="AH886" s="46"/>
      <c r="AI886" s="46"/>
      <c r="AJ886" s="46"/>
      <c r="AK886" s="46"/>
      <c r="AL886" s="46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</row>
    <row r="887" ht="16" customHeight="1" spans="1:51" x14ac:dyDescent="0.25">
      <c r="A887" s="45"/>
      <c r="B887" s="46" t="s">
        <v>931</v>
      </c>
      <c r="C887" s="46" t="s">
        <v>932</v>
      </c>
      <c r="D887" s="46" t="s">
        <v>29</v>
      </c>
      <c r="E887" s="46" t="s">
        <v>46</v>
      </c>
      <c r="F887" s="46" t="s">
        <v>46</v>
      </c>
      <c r="G887" s="46" t="s">
        <v>37</v>
      </c>
      <c r="H887" s="46" t="s">
        <v>36</v>
      </c>
      <c r="I887" s="46" t="s">
        <v>36</v>
      </c>
      <c r="J887" s="46" t="s">
        <v>36</v>
      </c>
      <c r="K887" s="46" t="s">
        <v>36</v>
      </c>
      <c r="L887" s="46" t="s">
        <v>46</v>
      </c>
      <c r="M887" s="46" t="s">
        <v>31</v>
      </c>
      <c r="N887" s="46" t="s">
        <v>31</v>
      </c>
      <c r="O887" s="46" t="s">
        <v>31</v>
      </c>
      <c r="P887" s="46" t="s">
        <v>59</v>
      </c>
      <c r="Q887" s="46" t="s">
        <v>59</v>
      </c>
      <c r="R887" s="46" t="s">
        <v>37</v>
      </c>
      <c r="S887" s="46" t="s">
        <v>59</v>
      </c>
      <c r="T887" s="46" t="s">
        <v>46</v>
      </c>
      <c r="U887" s="46" t="s">
        <v>36</v>
      </c>
      <c r="V887" s="46" t="s">
        <v>36</v>
      </c>
      <c r="W887" s="46" t="s">
        <v>46</v>
      </c>
      <c r="X887" s="46" t="s">
        <v>46</v>
      </c>
      <c r="Y887" s="46" t="s">
        <v>37</v>
      </c>
      <c r="Z887" s="46" t="s">
        <v>36</v>
      </c>
      <c r="AA887" s="46" t="s">
        <v>36</v>
      </c>
      <c r="AB887" s="46" t="s">
        <v>59</v>
      </c>
      <c r="AC887" s="46" t="s">
        <v>59</v>
      </c>
      <c r="AD887" s="46" t="s">
        <v>37</v>
      </c>
      <c r="AE887" s="46" t="s">
        <v>59</v>
      </c>
      <c r="AF887" s="46" t="s">
        <v>46</v>
      </c>
      <c r="AG887" s="46" t="s">
        <v>36</v>
      </c>
      <c r="AH887" s="46" t="s">
        <v>43</v>
      </c>
      <c r="AI887" s="46" t="s">
        <v>36</v>
      </c>
      <c r="AJ887" s="46">
        <f>=SUM(E888:AI888)</f>
      </c>
      <c r="AK887" s="46">
        <f>=+AY887</f>
      </c>
      <c r="AL887" s="46"/>
      <c r="AM887" s="1"/>
      <c r="AN887" s="1">
        <f>=COUNTIF(E887:AI887,"A")+COUNTIF(E887:AI887,"B")+COUNTIF(E887:AI887,"C")+COUNTIF(E887:AI887,"D")+COUNTIF(E887:AI887,"E")+COUNTIF(E887:AI887,"F")+COUNTIF(E887:AI887,"M")+COUNTIF(E887:AI887,"AB")+COUNTIF(E887:AI887,"UZ")+COUNTIF(E887:AI887,"G")+(COUNTIF(E887:AI887,"RT.")/2)+(COUNTIF(E887:AI887,"ÇRT.")/2)</f>
      </c>
      <c r="AO887" s="1">
        <f>=COUNTIF(E887:AI887,"O")</f>
      </c>
      <c r="AP887" s="1">
        <f>=COUNTIF(E887:AI887,"RT")+(COUNTIF(E887:AI887,"RT.")/2)</f>
      </c>
      <c r="AQ887" s="1">
        <f>=COUNTIF(E887:AI887,"ÇRT")+(COUNTIF(E887:AI887,"ÇRT.")/2)</f>
      </c>
      <c r="AR887" s="1">
        <f>=COUNTIF(E887:AI887,"ÇHT")</f>
      </c>
      <c r="AS887" s="1">
        <f>=COUNTIF(E887:AI887,"Ö")+COUNTIF(E887:AI887,"T")</f>
      </c>
      <c r="AT887" s="1">
        <f>=COUNTIF(E887:AI887,"Y")</f>
      </c>
      <c r="AU887" s="1">
        <f>=COUNTIF(E887:AI887,"R.")</f>
      </c>
      <c r="AV887" s="1">
        <f>=COUNTIF(E887:AI887,"Ü")</f>
      </c>
      <c r="AW887" s="1">
        <f>=COUNTIF(E887:AI887,"R")</f>
      </c>
      <c r="AX887" s="1">
        <f>=COUNTIF(E887:AI887,"DV")</f>
      </c>
      <c r="AY887" s="1">
        <f>=+AN887+AO887+AP887+AQ887+AR887+AS887+AT887+AU887</f>
      </c>
    </row>
    <row r="888" ht="16" customHeight="1" spans="1:51" x14ac:dyDescent="0.25">
      <c r="A888" s="45"/>
      <c r="B888" s="46"/>
      <c r="C888" s="46"/>
      <c r="D888" s="46" t="s">
        <v>33</v>
      </c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  <c r="AB888" s="46"/>
      <c r="AC888" s="46"/>
      <c r="AD888" s="46"/>
      <c r="AE888" s="46"/>
      <c r="AF888" s="46"/>
      <c r="AG888" s="46"/>
      <c r="AH888" s="46"/>
      <c r="AI888" s="46"/>
      <c r="AJ888" s="46"/>
      <c r="AK888" s="46"/>
      <c r="AL888" s="46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</row>
    <row r="889" ht="16" customHeight="1" spans="1:51" x14ac:dyDescent="0.25">
      <c r="A889" s="45"/>
      <c r="B889" s="46" t="s">
        <v>933</v>
      </c>
      <c r="C889" s="46" t="s">
        <v>934</v>
      </c>
      <c r="D889" s="46" t="s">
        <v>29</v>
      </c>
      <c r="E889" s="46" t="s">
        <v>46</v>
      </c>
      <c r="F889" s="46" t="s">
        <v>46</v>
      </c>
      <c r="G889" s="46" t="s">
        <v>37</v>
      </c>
      <c r="H889" s="46" t="s">
        <v>59</v>
      </c>
      <c r="I889" s="46" t="s">
        <v>59</v>
      </c>
      <c r="J889" s="46" t="s">
        <v>59</v>
      </c>
      <c r="K889" s="46" t="s">
        <v>59</v>
      </c>
      <c r="L889" s="46" t="s">
        <v>59</v>
      </c>
      <c r="M889" s="46" t="s">
        <v>59</v>
      </c>
      <c r="N889" s="46" t="s">
        <v>37</v>
      </c>
      <c r="O889" s="46" t="s">
        <v>36</v>
      </c>
      <c r="P889" s="46" t="s">
        <v>153</v>
      </c>
      <c r="Q889" s="46" t="s">
        <v>36</v>
      </c>
      <c r="R889" s="46" t="s">
        <v>36</v>
      </c>
      <c r="S889" s="46" t="s">
        <v>36</v>
      </c>
      <c r="T889" s="46" t="s">
        <v>36</v>
      </c>
      <c r="U889" s="46" t="s">
        <v>37</v>
      </c>
      <c r="V889" s="46" t="s">
        <v>36</v>
      </c>
      <c r="W889" s="46" t="s">
        <v>59</v>
      </c>
      <c r="X889" s="46" t="s">
        <v>59</v>
      </c>
      <c r="Y889" s="46" t="s">
        <v>59</v>
      </c>
      <c r="Z889" s="46" t="s">
        <v>59</v>
      </c>
      <c r="AA889" s="46" t="s">
        <v>59</v>
      </c>
      <c r="AB889" s="46" t="s">
        <v>37</v>
      </c>
      <c r="AC889" s="46" t="s">
        <v>46</v>
      </c>
      <c r="AD889" s="46" t="s">
        <v>36</v>
      </c>
      <c r="AE889" s="46" t="s">
        <v>36</v>
      </c>
      <c r="AF889" s="46" t="s">
        <v>59</v>
      </c>
      <c r="AG889" s="46" t="s">
        <v>59</v>
      </c>
      <c r="AH889" s="46" t="s">
        <v>43</v>
      </c>
      <c r="AI889" s="46" t="s">
        <v>37</v>
      </c>
      <c r="AJ889" s="46">
        <f>=SUM(E890:AI890)</f>
      </c>
      <c r="AK889" s="46">
        <f>=+AY889</f>
      </c>
      <c r="AL889" s="46"/>
      <c r="AM889" s="1"/>
      <c r="AN889" s="1">
        <f>=COUNTIF(E889:AI889,"A")+COUNTIF(E889:AI889,"B")+COUNTIF(E889:AI889,"C")+COUNTIF(E889:AI889,"D")+COUNTIF(E889:AI889,"E")+COUNTIF(E889:AI889,"F")+COUNTIF(E889:AI889,"M")+COUNTIF(E889:AI889,"AB")+COUNTIF(E889:AI889,"UZ")+COUNTIF(E889:AI889,"G")+(COUNTIF(E889:AI889,"RT.")/2)+(COUNTIF(E889:AI889,"ÇRT.")/2)</f>
      </c>
      <c r="AO889" s="1">
        <f>=COUNTIF(E889:AI889,"O")</f>
      </c>
      <c r="AP889" s="1">
        <f>=COUNTIF(E889:AI889,"RT")+(COUNTIF(E889:AI889,"RT.")/2)</f>
      </c>
      <c r="AQ889" s="1">
        <f>=COUNTIF(E889:AI889,"ÇRT")+(COUNTIF(E889:AI889,"ÇRT.")/2)</f>
      </c>
      <c r="AR889" s="1">
        <f>=COUNTIF(E889:AI889,"ÇHT")</f>
      </c>
      <c r="AS889" s="1">
        <f>=COUNTIF(E889:AI889,"Ö")+COUNTIF(E889:AI889,"T")</f>
      </c>
      <c r="AT889" s="1">
        <f>=COUNTIF(E889:AI889,"Y")</f>
      </c>
      <c r="AU889" s="1">
        <f>=COUNTIF(E889:AI889,"R.")</f>
      </c>
      <c r="AV889" s="1">
        <f>=COUNTIF(E889:AI889,"Ü")</f>
      </c>
      <c r="AW889" s="1">
        <f>=COUNTIF(E889:AI889,"R")</f>
      </c>
      <c r="AX889" s="1">
        <f>=COUNTIF(E889:AI889,"DV")</f>
      </c>
      <c r="AY889" s="1">
        <f>=+AN889+AO889+AP889+AQ889+AR889+AS889+AT889+AU889</f>
      </c>
    </row>
    <row r="890" ht="16" customHeight="1" spans="1:51" x14ac:dyDescent="0.25">
      <c r="A890" s="45"/>
      <c r="B890" s="46"/>
      <c r="C890" s="46"/>
      <c r="D890" s="46" t="s">
        <v>33</v>
      </c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  <c r="AC890" s="46"/>
      <c r="AD890" s="46"/>
      <c r="AE890" s="46"/>
      <c r="AF890" s="46"/>
      <c r="AG890" s="46"/>
      <c r="AH890" s="46"/>
      <c r="AI890" s="46"/>
      <c r="AJ890" s="46"/>
      <c r="AK890" s="46"/>
      <c r="AL890" s="46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</row>
    <row r="891" ht="16" customHeight="1" spans="1:51" x14ac:dyDescent="0.25">
      <c r="A891" s="45"/>
      <c r="B891" s="46" t="s">
        <v>935</v>
      </c>
      <c r="C891" s="46" t="s">
        <v>936</v>
      </c>
      <c r="D891" s="46" t="s">
        <v>29</v>
      </c>
      <c r="E891" s="46" t="s">
        <v>59</v>
      </c>
      <c r="F891" s="46" t="s">
        <v>59</v>
      </c>
      <c r="G891" s="46" t="s">
        <v>37</v>
      </c>
      <c r="H891" s="46" t="s">
        <v>36</v>
      </c>
      <c r="I891" s="46" t="s">
        <v>36</v>
      </c>
      <c r="J891" s="46" t="s">
        <v>36</v>
      </c>
      <c r="K891" s="46" t="s">
        <v>36</v>
      </c>
      <c r="L891" s="46" t="s">
        <v>36</v>
      </c>
      <c r="M891" s="46" t="s">
        <v>59</v>
      </c>
      <c r="N891" s="46" t="s">
        <v>37</v>
      </c>
      <c r="O891" s="46" t="s">
        <v>59</v>
      </c>
      <c r="P891" s="46" t="s">
        <v>59</v>
      </c>
      <c r="Q891" s="46" t="s">
        <v>59</v>
      </c>
      <c r="R891" s="46" t="s">
        <v>59</v>
      </c>
      <c r="S891" s="46" t="s">
        <v>31</v>
      </c>
      <c r="T891" s="46" t="s">
        <v>59</v>
      </c>
      <c r="U891" s="46" t="s">
        <v>37</v>
      </c>
      <c r="V891" s="46" t="s">
        <v>36</v>
      </c>
      <c r="W891" s="46" t="s">
        <v>36</v>
      </c>
      <c r="X891" s="46" t="s">
        <v>36</v>
      </c>
      <c r="Y891" s="46" t="s">
        <v>36</v>
      </c>
      <c r="Z891" s="46" t="s">
        <v>36</v>
      </c>
      <c r="AA891" s="46" t="s">
        <v>36</v>
      </c>
      <c r="AB891" s="46" t="s">
        <v>37</v>
      </c>
      <c r="AC891" s="46" t="s">
        <v>59</v>
      </c>
      <c r="AD891" s="46" t="s">
        <v>59</v>
      </c>
      <c r="AE891" s="46" t="s">
        <v>59</v>
      </c>
      <c r="AF891" s="46" t="s">
        <v>59</v>
      </c>
      <c r="AG891" s="46" t="s">
        <v>59</v>
      </c>
      <c r="AH891" s="46" t="s">
        <v>43</v>
      </c>
      <c r="AI891" s="46" t="s">
        <v>37</v>
      </c>
      <c r="AJ891" s="46">
        <f>=SUM(E892:AI892)</f>
      </c>
      <c r="AK891" s="46">
        <f>=+AY891</f>
      </c>
      <c r="AL891" s="46"/>
      <c r="AM891" s="1"/>
      <c r="AN891" s="1">
        <f>=COUNTIF(E891:AI891,"A")+COUNTIF(E891:AI891,"B")+COUNTIF(E891:AI891,"C")+COUNTIF(E891:AI891,"D")+COUNTIF(E891:AI891,"E")+COUNTIF(E891:AI891,"F")+COUNTIF(E891:AI891,"M")+COUNTIF(E891:AI891,"AB")+COUNTIF(E891:AI891,"UZ")+COUNTIF(E891:AI891,"G")+(COUNTIF(E891:AI891,"RT.")/2)+(COUNTIF(E891:AI891,"ÇRT.")/2)</f>
      </c>
      <c r="AO891" s="1">
        <f>=COUNTIF(E891:AI891,"O")</f>
      </c>
      <c r="AP891" s="1">
        <f>=COUNTIF(E891:AI891,"RT")+(COUNTIF(E891:AI891,"RT.")/2)</f>
      </c>
      <c r="AQ891" s="1">
        <f>=COUNTIF(E891:AI891,"ÇRT")+(COUNTIF(E891:AI891,"ÇRT.")/2)</f>
      </c>
      <c r="AR891" s="1">
        <f>=COUNTIF(E891:AI891,"ÇHT")</f>
      </c>
      <c r="AS891" s="1">
        <f>=COUNTIF(E891:AI891,"Ö")+COUNTIF(E891:AI891,"T")</f>
      </c>
      <c r="AT891" s="1">
        <f>=COUNTIF(E891:AI891,"Y")</f>
      </c>
      <c r="AU891" s="1">
        <f>=COUNTIF(E891:AI891,"R.")</f>
      </c>
      <c r="AV891" s="1">
        <f>=COUNTIF(E891:AI891,"Ü")</f>
      </c>
      <c r="AW891" s="1">
        <f>=COUNTIF(E891:AI891,"R")</f>
      </c>
      <c r="AX891" s="1">
        <f>=COUNTIF(E891:AI891,"DV")</f>
      </c>
      <c r="AY891" s="1">
        <f>=+AN891+AO891+AP891+AQ891+AR891+AS891+AT891+AU891</f>
      </c>
    </row>
    <row r="892" ht="16" customHeight="1" spans="1:51" x14ac:dyDescent="0.25">
      <c r="A892" s="45"/>
      <c r="B892" s="46"/>
      <c r="C892" s="46"/>
      <c r="D892" s="46" t="s">
        <v>33</v>
      </c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  <c r="AB892" s="46"/>
      <c r="AC892" s="46"/>
      <c r="AD892" s="46"/>
      <c r="AE892" s="46"/>
      <c r="AF892" s="46"/>
      <c r="AG892" s="46"/>
      <c r="AH892" s="46"/>
      <c r="AI892" s="46"/>
      <c r="AJ892" s="46"/>
      <c r="AK892" s="46"/>
      <c r="AL892" s="46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</row>
    <row r="893" ht="16" customHeight="1" spans="1:51" x14ac:dyDescent="0.25">
      <c r="A893" s="45"/>
      <c r="B893" s="46" t="s">
        <v>937</v>
      </c>
      <c r="C893" s="46" t="s">
        <v>938</v>
      </c>
      <c r="D893" s="46" t="s">
        <v>29</v>
      </c>
      <c r="E893" s="46" t="s">
        <v>59</v>
      </c>
      <c r="F893" s="46" t="s">
        <v>59</v>
      </c>
      <c r="G893" s="46" t="s">
        <v>46</v>
      </c>
      <c r="H893" s="46" t="s">
        <v>36</v>
      </c>
      <c r="I893" s="46" t="s">
        <v>37</v>
      </c>
      <c r="J893" s="46" t="s">
        <v>36</v>
      </c>
      <c r="K893" s="46" t="s">
        <v>36</v>
      </c>
      <c r="L893" s="46" t="s">
        <v>36</v>
      </c>
      <c r="M893" s="46" t="s">
        <v>36</v>
      </c>
      <c r="N893" s="46" t="s">
        <v>59</v>
      </c>
      <c r="O893" s="46" t="s">
        <v>59</v>
      </c>
      <c r="P893" s="46" t="s">
        <v>37</v>
      </c>
      <c r="Q893" s="46" t="s">
        <v>59</v>
      </c>
      <c r="R893" s="46" t="s">
        <v>59</v>
      </c>
      <c r="S893" s="46" t="s">
        <v>59</v>
      </c>
      <c r="T893" s="46" t="s">
        <v>59</v>
      </c>
      <c r="U893" s="46" t="s">
        <v>46</v>
      </c>
      <c r="V893" s="46" t="s">
        <v>36</v>
      </c>
      <c r="W893" s="46" t="s">
        <v>36</v>
      </c>
      <c r="X893" s="46" t="s">
        <v>36</v>
      </c>
      <c r="Y893" s="46" t="s">
        <v>37</v>
      </c>
      <c r="Z893" s="46" t="s">
        <v>337</v>
      </c>
      <c r="AA893" s="46" t="s">
        <v>337</v>
      </c>
      <c r="AB893" s="46" t="s">
        <v>59</v>
      </c>
      <c r="AC893" s="46" t="s">
        <v>59</v>
      </c>
      <c r="AD893" s="46" t="s">
        <v>59</v>
      </c>
      <c r="AE893" s="46" t="s">
        <v>59</v>
      </c>
      <c r="AF893" s="46" t="s">
        <v>37</v>
      </c>
      <c r="AG893" s="46" t="s">
        <v>46</v>
      </c>
      <c r="AH893" s="46" t="s">
        <v>43</v>
      </c>
      <c r="AI893" s="46" t="s">
        <v>36</v>
      </c>
      <c r="AJ893" s="46">
        <f>=SUM(E894:AI894)</f>
      </c>
      <c r="AK893" s="46">
        <f>=+AY893</f>
      </c>
      <c r="AL893" s="46"/>
      <c r="AM893" s="1"/>
      <c r="AN893" s="1">
        <f>=COUNTIF(E893:AI893,"A")+COUNTIF(E893:AI893,"B")+COUNTIF(E893:AI893,"C")+COUNTIF(E893:AI893,"D")+COUNTIF(E893:AI893,"E")+COUNTIF(E893:AI893,"F")+COUNTIF(E893:AI893,"M")+COUNTIF(E893:AI893,"AB")+COUNTIF(E893:AI893,"UZ")+COUNTIF(E893:AI893,"G")+(COUNTIF(E893:AI893,"RT.")/2)+(COUNTIF(E893:AI893,"ÇRT.")/2)</f>
      </c>
      <c r="AO893" s="1">
        <f>=COUNTIF(E893:AI893,"O")</f>
      </c>
      <c r="AP893" s="1">
        <f>=COUNTIF(E893:AI893,"RT")+(COUNTIF(E893:AI893,"RT.")/2)</f>
      </c>
      <c r="AQ893" s="1">
        <f>=COUNTIF(E893:AI893,"ÇRT")+(COUNTIF(E893:AI893,"ÇRT.")/2)</f>
      </c>
      <c r="AR893" s="1">
        <f>=COUNTIF(E893:AI893,"ÇHT")</f>
      </c>
      <c r="AS893" s="1">
        <f>=COUNTIF(E893:AI893,"Ö")+COUNTIF(E893:AI893,"T")</f>
      </c>
      <c r="AT893" s="1">
        <f>=COUNTIF(E893:AI893,"Y")</f>
      </c>
      <c r="AU893" s="1">
        <f>=COUNTIF(E893:AI893,"R.")</f>
      </c>
      <c r="AV893" s="1">
        <f>=COUNTIF(E893:AI893,"Ü")</f>
      </c>
      <c r="AW893" s="1">
        <f>=COUNTIF(E893:AI893,"R")</f>
      </c>
      <c r="AX893" s="1">
        <f>=COUNTIF(E893:AI893,"DV")</f>
      </c>
      <c r="AY893" s="1">
        <f>=+AN893+AO893+AP893+AQ893+AR893+AS893+AT893+AU893</f>
      </c>
    </row>
    <row r="894" ht="16" customHeight="1" spans="1:51" x14ac:dyDescent="0.25">
      <c r="A894" s="45"/>
      <c r="B894" s="46"/>
      <c r="C894" s="46"/>
      <c r="D894" s="46" t="s">
        <v>33</v>
      </c>
      <c r="E894" s="46"/>
      <c r="F894" s="46"/>
      <c r="G894" s="46">
        <v>2</v>
      </c>
      <c r="H894" s="46">
        <v>3</v>
      </c>
      <c r="I894" s="46"/>
      <c r="J894" s="46">
        <v>2</v>
      </c>
      <c r="K894" s="46">
        <v>2</v>
      </c>
      <c r="L894" s="46"/>
      <c r="M894" s="46"/>
      <c r="N894" s="46"/>
      <c r="O894" s="46">
        <v>2</v>
      </c>
      <c r="P894" s="46"/>
      <c r="Q894" s="46">
        <v>3</v>
      </c>
      <c r="R894" s="46">
        <v>2</v>
      </c>
      <c r="S894" s="46"/>
      <c r="T894" s="46"/>
      <c r="U894" s="46"/>
      <c r="V894" s="46">
        <v>2</v>
      </c>
      <c r="W894" s="46">
        <v>2</v>
      </c>
      <c r="X894" s="46"/>
      <c r="Y894" s="46"/>
      <c r="Z894" s="46"/>
      <c r="AA894" s="46"/>
      <c r="AB894" s="46"/>
      <c r="AC894" s="46"/>
      <c r="AD894" s="46"/>
      <c r="AE894" s="46"/>
      <c r="AF894" s="46"/>
      <c r="AG894" s="46"/>
      <c r="AH894" s="46"/>
      <c r="AI894" s="46"/>
      <c r="AJ894" s="46"/>
      <c r="AK894" s="46"/>
      <c r="AL894" s="46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</row>
    <row r="895" ht="16" customHeight="1" spans="1:51" x14ac:dyDescent="0.25">
      <c r="A895" s="45"/>
      <c r="B895" s="46" t="s">
        <v>939</v>
      </c>
      <c r="C895" s="46" t="s">
        <v>940</v>
      </c>
      <c r="D895" s="46" t="s">
        <v>29</v>
      </c>
      <c r="E895" s="46" t="s">
        <v>36</v>
      </c>
      <c r="F895" s="46" t="s">
        <v>36</v>
      </c>
      <c r="G895" s="46" t="s">
        <v>59</v>
      </c>
      <c r="H895" s="46" t="s">
        <v>59</v>
      </c>
      <c r="I895" s="46" t="s">
        <v>37</v>
      </c>
      <c r="J895" s="46" t="s">
        <v>59</v>
      </c>
      <c r="K895" s="46" t="s">
        <v>59</v>
      </c>
      <c r="L895" s="46" t="s">
        <v>31</v>
      </c>
      <c r="M895" s="46" t="s">
        <v>59</v>
      </c>
      <c r="N895" s="46" t="s">
        <v>46</v>
      </c>
      <c r="O895" s="46" t="s">
        <v>36</v>
      </c>
      <c r="P895" s="46" t="s">
        <v>37</v>
      </c>
      <c r="Q895" s="46" t="s">
        <v>36</v>
      </c>
      <c r="R895" s="46" t="s">
        <v>36</v>
      </c>
      <c r="S895" s="46" t="s">
        <v>36</v>
      </c>
      <c r="T895" s="46" t="s">
        <v>36</v>
      </c>
      <c r="U895" s="46" t="s">
        <v>59</v>
      </c>
      <c r="V895" s="46" t="s">
        <v>59</v>
      </c>
      <c r="W895" s="46" t="s">
        <v>37</v>
      </c>
      <c r="X895" s="46" t="s">
        <v>59</v>
      </c>
      <c r="Y895" s="46" t="s">
        <v>59</v>
      </c>
      <c r="Z895" s="46" t="s">
        <v>59</v>
      </c>
      <c r="AA895" s="46" t="s">
        <v>41</v>
      </c>
      <c r="AB895" s="46" t="s">
        <v>36</v>
      </c>
      <c r="AC895" s="46" t="s">
        <v>36</v>
      </c>
      <c r="AD895" s="46" t="s">
        <v>37</v>
      </c>
      <c r="AE895" s="46" t="s">
        <v>36</v>
      </c>
      <c r="AF895" s="46" t="s">
        <v>36</v>
      </c>
      <c r="AG895" s="46" t="s">
        <v>36</v>
      </c>
      <c r="AH895" s="46" t="s">
        <v>43</v>
      </c>
      <c r="AI895" s="46" t="s">
        <v>59</v>
      </c>
      <c r="AJ895" s="46">
        <f>=SUM(E896:AI896)</f>
      </c>
      <c r="AK895" s="46">
        <f>=+AY895</f>
      </c>
      <c r="AL895" s="46"/>
      <c r="AM895" s="1"/>
      <c r="AN895" s="1">
        <f>=COUNTIF(E895:AI895,"A")+COUNTIF(E895:AI895,"B")+COUNTIF(E895:AI895,"C")+COUNTIF(E895:AI895,"D")+COUNTIF(E895:AI895,"E")+COUNTIF(E895:AI895,"F")+COUNTIF(E895:AI895,"M")+COUNTIF(E895:AI895,"AB")+COUNTIF(E895:AI895,"UZ")+COUNTIF(E895:AI895,"G")+(COUNTIF(E895:AI895,"RT.")/2)+(COUNTIF(E895:AI895,"ÇRT.")/2)</f>
      </c>
      <c r="AO895" s="1">
        <f>=COUNTIF(E895:AI895,"O")</f>
      </c>
      <c r="AP895" s="1">
        <f>=COUNTIF(E895:AI895,"RT")+(COUNTIF(E895:AI895,"RT.")/2)</f>
      </c>
      <c r="AQ895" s="1">
        <f>=COUNTIF(E895:AI895,"ÇRT")+(COUNTIF(E895:AI895,"ÇRT.")/2)</f>
      </c>
      <c r="AR895" s="1">
        <f>=COUNTIF(E895:AI895,"ÇHT")</f>
      </c>
      <c r="AS895" s="1">
        <f>=COUNTIF(E895:AI895,"Ö")+COUNTIF(E895:AI895,"T")</f>
      </c>
      <c r="AT895" s="1">
        <f>=COUNTIF(E895:AI895,"Y")</f>
      </c>
      <c r="AU895" s="1">
        <f>=COUNTIF(E895:AI895,"R.")</f>
      </c>
      <c r="AV895" s="1">
        <f>=COUNTIF(E895:AI895,"Ü")</f>
      </c>
      <c r="AW895" s="1">
        <f>=COUNTIF(E895:AI895,"R")</f>
      </c>
      <c r="AX895" s="1">
        <f>=COUNTIF(E895:AI895,"DV")</f>
      </c>
      <c r="AY895" s="1">
        <f>=+AN895+AO895+AP895+AQ895+AR895+AS895+AT895+AU895</f>
      </c>
    </row>
    <row r="896" ht="16" customHeight="1" spans="1:51" x14ac:dyDescent="0.25">
      <c r="A896" s="45"/>
      <c r="B896" s="46"/>
      <c r="C896" s="46"/>
      <c r="D896" s="46" t="s">
        <v>33</v>
      </c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  <c r="AC896" s="46"/>
      <c r="AD896" s="46"/>
      <c r="AE896" s="46"/>
      <c r="AF896" s="46"/>
      <c r="AG896" s="46"/>
      <c r="AH896" s="46"/>
      <c r="AI896" s="46"/>
      <c r="AJ896" s="46"/>
      <c r="AK896" s="46"/>
      <c r="AL896" s="46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</row>
    <row r="897" ht="16" customHeight="1" spans="1:51" x14ac:dyDescent="0.25">
      <c r="A897" s="45"/>
      <c r="B897" s="46" t="s">
        <v>941</v>
      </c>
      <c r="C897" s="46" t="s">
        <v>942</v>
      </c>
      <c r="D897" s="46" t="s">
        <v>29</v>
      </c>
      <c r="E897" s="46" t="s">
        <v>37</v>
      </c>
      <c r="F897" s="46" t="s">
        <v>36</v>
      </c>
      <c r="G897" s="46" t="s">
        <v>36</v>
      </c>
      <c r="H897" s="46" t="s">
        <v>36</v>
      </c>
      <c r="I897" s="46" t="s">
        <v>36</v>
      </c>
      <c r="J897" s="46" t="s">
        <v>46</v>
      </c>
      <c r="K897" s="46" t="s">
        <v>36</v>
      </c>
      <c r="L897" s="46" t="s">
        <v>37</v>
      </c>
      <c r="M897" s="46" t="s">
        <v>36</v>
      </c>
      <c r="N897" s="46" t="s">
        <v>46</v>
      </c>
      <c r="O897" s="46" t="s">
        <v>36</v>
      </c>
      <c r="P897" s="46" t="s">
        <v>46</v>
      </c>
      <c r="Q897" s="46" t="s">
        <v>36</v>
      </c>
      <c r="R897" s="46" t="s">
        <v>36</v>
      </c>
      <c r="S897" s="46" t="s">
        <v>37</v>
      </c>
      <c r="T897" s="46" t="s">
        <v>36</v>
      </c>
      <c r="U897" s="46" t="s">
        <v>36</v>
      </c>
      <c r="V897" s="46" t="s">
        <v>46</v>
      </c>
      <c r="W897" s="46" t="s">
        <v>46</v>
      </c>
      <c r="X897" s="46" t="s">
        <v>36</v>
      </c>
      <c r="Y897" s="46" t="s">
        <v>36</v>
      </c>
      <c r="Z897" s="46" t="s">
        <v>37</v>
      </c>
      <c r="AA897" s="46" t="s">
        <v>46</v>
      </c>
      <c r="AB897" s="46" t="s">
        <v>36</v>
      </c>
      <c r="AC897" s="46" t="s">
        <v>36</v>
      </c>
      <c r="AD897" s="46" t="s">
        <v>36</v>
      </c>
      <c r="AE897" s="46" t="s">
        <v>36</v>
      </c>
      <c r="AF897" s="46" t="s">
        <v>36</v>
      </c>
      <c r="AG897" s="46" t="s">
        <v>37</v>
      </c>
      <c r="AH897" s="46" t="s">
        <v>43</v>
      </c>
      <c r="AI897" s="46" t="s">
        <v>31</v>
      </c>
      <c r="AJ897" s="46">
        <f>=SUM(E898:AI898)</f>
      </c>
      <c r="AK897" s="46">
        <f>=+AY897</f>
      </c>
      <c r="AL897" s="46"/>
      <c r="AM897" s="1"/>
      <c r="AN897" s="1">
        <f>=COUNTIF(E897:AI897,"A")+COUNTIF(E897:AI897,"B")+COUNTIF(E897:AI897,"C")+COUNTIF(E897:AI897,"D")+COUNTIF(E897:AI897,"E")+COUNTIF(E897:AI897,"F")+COUNTIF(E897:AI897,"M")+COUNTIF(E897:AI897,"AB")+COUNTIF(E897:AI897,"UZ")+COUNTIF(E897:AI897,"G")+(COUNTIF(E897:AI897,"RT.")/2)+(COUNTIF(E897:AI897,"ÇRT.")/2)</f>
      </c>
      <c r="AO897" s="1">
        <f>=COUNTIF(E897:AI897,"O")</f>
      </c>
      <c r="AP897" s="1">
        <f>=COUNTIF(E897:AI897,"RT")+(COUNTIF(E897:AI897,"RT.")/2)</f>
      </c>
      <c r="AQ897" s="1">
        <f>=COUNTIF(E897:AI897,"ÇRT")+(COUNTIF(E897:AI897,"ÇRT.")/2)</f>
      </c>
      <c r="AR897" s="1">
        <f>=COUNTIF(E897:AI897,"ÇHT")</f>
      </c>
      <c r="AS897" s="1">
        <f>=COUNTIF(E897:AI897,"Ö")+COUNTIF(E897:AI897,"T")</f>
      </c>
      <c r="AT897" s="1">
        <f>=COUNTIF(E897:AI897,"Y")</f>
      </c>
      <c r="AU897" s="1">
        <f>=COUNTIF(E897:AI897,"R.")</f>
      </c>
      <c r="AV897" s="1">
        <f>=COUNTIF(E897:AI897,"Ü")</f>
      </c>
      <c r="AW897" s="1">
        <f>=COUNTIF(E897:AI897,"R")</f>
      </c>
      <c r="AX897" s="1">
        <f>=COUNTIF(E897:AI897,"DV")</f>
      </c>
      <c r="AY897" s="1">
        <f>=+AN897+AO897+AP897+AQ897+AR897+AS897+AT897+AU897</f>
      </c>
    </row>
    <row r="898" ht="16" customHeight="1" spans="1:51" x14ac:dyDescent="0.25">
      <c r="A898" s="45"/>
      <c r="B898" s="46"/>
      <c r="C898" s="46"/>
      <c r="D898" s="46" t="s">
        <v>33</v>
      </c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  <c r="AC898" s="46"/>
      <c r="AD898" s="46"/>
      <c r="AE898" s="46"/>
      <c r="AF898" s="46"/>
      <c r="AG898" s="46"/>
      <c r="AH898" s="46"/>
      <c r="AI898" s="46"/>
      <c r="AJ898" s="46"/>
      <c r="AK898" s="46"/>
      <c r="AL898" s="46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</row>
    <row r="899" ht="16" customHeight="1" spans="1:51" x14ac:dyDescent="0.25">
      <c r="A899" s="45"/>
      <c r="B899" s="46" t="s">
        <v>943</v>
      </c>
      <c r="C899" s="46" t="s">
        <v>944</v>
      </c>
      <c r="D899" s="46" t="s">
        <v>29</v>
      </c>
      <c r="E899" s="46" t="s">
        <v>42</v>
      </c>
      <c r="F899" s="46" t="s">
        <v>42</v>
      </c>
      <c r="G899" s="46" t="s">
        <v>36</v>
      </c>
      <c r="H899" s="46" t="s">
        <v>46</v>
      </c>
      <c r="I899" s="46" t="s">
        <v>46</v>
      </c>
      <c r="J899" s="46" t="s">
        <v>31</v>
      </c>
      <c r="K899" s="46" t="s">
        <v>37</v>
      </c>
      <c r="L899" s="46" t="s">
        <v>32</v>
      </c>
      <c r="M899" s="46" t="s">
        <v>32</v>
      </c>
      <c r="N899" s="46" t="s">
        <v>32</v>
      </c>
      <c r="O899" s="46" t="s">
        <v>32</v>
      </c>
      <c r="P899" s="46" t="s">
        <v>32</v>
      </c>
      <c r="Q899" s="46" t="s">
        <v>42</v>
      </c>
      <c r="R899" s="46" t="s">
        <v>37</v>
      </c>
      <c r="S899" s="46" t="s">
        <v>42</v>
      </c>
      <c r="T899" s="46" t="s">
        <v>42</v>
      </c>
      <c r="U899" s="46" t="s">
        <v>46</v>
      </c>
      <c r="V899" s="46" t="s">
        <v>46</v>
      </c>
      <c r="W899" s="46" t="s">
        <v>42</v>
      </c>
      <c r="X899" s="46" t="s">
        <v>42</v>
      </c>
      <c r="Y899" s="46" t="s">
        <v>37</v>
      </c>
      <c r="Z899" s="46" t="s">
        <v>46</v>
      </c>
      <c r="AA899" s="46" t="s">
        <v>42</v>
      </c>
      <c r="AB899" s="46" t="s">
        <v>46</v>
      </c>
      <c r="AC899" s="46" t="s">
        <v>46</v>
      </c>
      <c r="AD899" s="46" t="s">
        <v>42</v>
      </c>
      <c r="AE899" s="46" t="s">
        <v>42</v>
      </c>
      <c r="AF899" s="46" t="s">
        <v>37</v>
      </c>
      <c r="AG899" s="46" t="s">
        <v>46</v>
      </c>
      <c r="AH899" s="46" t="s">
        <v>43</v>
      </c>
      <c r="AI899" s="46" t="s">
        <v>46</v>
      </c>
      <c r="AJ899" s="46">
        <f>=SUM(E900:AI900)</f>
      </c>
      <c r="AK899" s="46">
        <f>=+AY899</f>
      </c>
      <c r="AL899" s="46"/>
      <c r="AM899" s="1"/>
      <c r="AN899" s="1">
        <f>=COUNTIF(E899:AI899,"A")+COUNTIF(E899:AI899,"B")+COUNTIF(E899:AI899,"C")+COUNTIF(E899:AI899,"D")+COUNTIF(E899:AI899,"E")+COUNTIF(E899:AI899,"F")+COUNTIF(E899:AI899,"M")+COUNTIF(E899:AI899,"AB")+COUNTIF(E899:AI899,"UZ")+COUNTIF(E899:AI899,"G")+(COUNTIF(E899:AI899,"RT.")/2)+(COUNTIF(E899:AI899,"ÇRT.")/2)</f>
      </c>
      <c r="AO899" s="1">
        <f>=COUNTIF(E899:AI899,"O")</f>
      </c>
      <c r="AP899" s="1">
        <f>=COUNTIF(E899:AI899,"RT")+(COUNTIF(E899:AI899,"RT.")/2)</f>
      </c>
      <c r="AQ899" s="1">
        <f>=COUNTIF(E899:AI899,"ÇRT")+(COUNTIF(E899:AI899,"ÇRT.")/2)</f>
      </c>
      <c r="AR899" s="1">
        <f>=COUNTIF(E899:AI899,"ÇHT")</f>
      </c>
      <c r="AS899" s="1">
        <f>=COUNTIF(E899:AI899,"Ö")+COUNTIF(E899:AI899,"T")</f>
      </c>
      <c r="AT899" s="1">
        <f>=COUNTIF(E899:AI899,"Y")</f>
      </c>
      <c r="AU899" s="1">
        <f>=COUNTIF(E899:AI899,"R.")</f>
      </c>
      <c r="AV899" s="1">
        <f>=COUNTIF(E899:AI899,"Ü")</f>
      </c>
      <c r="AW899" s="1">
        <f>=COUNTIF(E899:AI899,"R")</f>
      </c>
      <c r="AX899" s="1">
        <f>=COUNTIF(E899:AI899,"DV")</f>
      </c>
      <c r="AY899" s="1">
        <f>=+AN899+AO899+AP899+AQ899+AR899+AS899+AT899+AU899</f>
      </c>
    </row>
    <row r="900" ht="16" customHeight="1" spans="1:51" x14ac:dyDescent="0.25">
      <c r="A900" s="45"/>
      <c r="B900" s="46"/>
      <c r="C900" s="46"/>
      <c r="D900" s="46" t="s">
        <v>33</v>
      </c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  <c r="AB900" s="46"/>
      <c r="AC900" s="46"/>
      <c r="AD900" s="46"/>
      <c r="AE900" s="46"/>
      <c r="AF900" s="46"/>
      <c r="AG900" s="46"/>
      <c r="AH900" s="46"/>
      <c r="AI900" s="46"/>
      <c r="AJ900" s="46"/>
      <c r="AK900" s="46"/>
      <c r="AL900" s="46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</row>
    <row r="901" ht="16" customHeight="1" spans="1:51" x14ac:dyDescent="0.25">
      <c r="A901" s="45"/>
      <c r="B901" s="46" t="s">
        <v>945</v>
      </c>
      <c r="C901" s="46" t="s">
        <v>946</v>
      </c>
      <c r="D901" s="46" t="s">
        <v>29</v>
      </c>
      <c r="E901" s="46" t="s">
        <v>36</v>
      </c>
      <c r="F901" s="46" t="s">
        <v>36</v>
      </c>
      <c r="G901" s="46" t="s">
        <v>59</v>
      </c>
      <c r="H901" s="46" t="s">
        <v>37</v>
      </c>
      <c r="I901" s="46" t="s">
        <v>59</v>
      </c>
      <c r="J901" s="46" t="s">
        <v>59</v>
      </c>
      <c r="K901" s="46" t="s">
        <v>59</v>
      </c>
      <c r="L901" s="46" t="s">
        <v>59</v>
      </c>
      <c r="M901" s="46" t="s">
        <v>59</v>
      </c>
      <c r="N901" s="46" t="s">
        <v>59</v>
      </c>
      <c r="O901" s="46" t="s">
        <v>37</v>
      </c>
      <c r="P901" s="46" t="s">
        <v>36</v>
      </c>
      <c r="Q901" s="46" t="s">
        <v>36</v>
      </c>
      <c r="R901" s="46" t="s">
        <v>36</v>
      </c>
      <c r="S901" s="46" t="s">
        <v>36</v>
      </c>
      <c r="T901" s="46" t="s">
        <v>36</v>
      </c>
      <c r="U901" s="46" t="s">
        <v>59</v>
      </c>
      <c r="V901" s="46" t="s">
        <v>59</v>
      </c>
      <c r="W901" s="46" t="s">
        <v>37</v>
      </c>
      <c r="X901" s="46" t="s">
        <v>59</v>
      </c>
      <c r="Y901" s="46" t="s">
        <v>59</v>
      </c>
      <c r="Z901" s="46" t="s">
        <v>59</v>
      </c>
      <c r="AA901" s="46" t="s">
        <v>59</v>
      </c>
      <c r="AB901" s="46" t="s">
        <v>46</v>
      </c>
      <c r="AC901" s="46" t="s">
        <v>37</v>
      </c>
      <c r="AD901" s="46" t="s">
        <v>36</v>
      </c>
      <c r="AE901" s="46" t="s">
        <v>36</v>
      </c>
      <c r="AF901" s="46" t="s">
        <v>36</v>
      </c>
      <c r="AG901" s="46" t="s">
        <v>36</v>
      </c>
      <c r="AH901" s="46" t="s">
        <v>43</v>
      </c>
      <c r="AI901" s="46" t="s">
        <v>31</v>
      </c>
      <c r="AJ901" s="46">
        <f>=SUM(E902:AI902)</f>
      </c>
      <c r="AK901" s="46">
        <f>=+AY901</f>
      </c>
      <c r="AL901" s="46"/>
      <c r="AM901" s="1"/>
      <c r="AN901" s="1">
        <f>=COUNTIF(E901:AI901,"A")+COUNTIF(E901:AI901,"B")+COUNTIF(E901:AI901,"C")+COUNTIF(E901:AI901,"D")+COUNTIF(E901:AI901,"E")+COUNTIF(E901:AI901,"F")+COUNTIF(E901:AI901,"M")+COUNTIF(E901:AI901,"AB")+COUNTIF(E901:AI901,"UZ")+COUNTIF(E901:AI901,"G")+(COUNTIF(E901:AI901,"RT.")/2)+(COUNTIF(E901:AI901,"ÇRT.")/2)</f>
      </c>
      <c r="AO901" s="1">
        <f>=COUNTIF(E901:AI901,"O")</f>
      </c>
      <c r="AP901" s="1">
        <f>=COUNTIF(E901:AI901,"RT")+(COUNTIF(E901:AI901,"RT.")/2)</f>
      </c>
      <c r="AQ901" s="1">
        <f>=COUNTIF(E901:AI901,"ÇRT")+(COUNTIF(E901:AI901,"ÇRT.")/2)</f>
      </c>
      <c r="AR901" s="1">
        <f>=COUNTIF(E901:AI901,"ÇHT")</f>
      </c>
      <c r="AS901" s="1">
        <f>=COUNTIF(E901:AI901,"Ö")+COUNTIF(E901:AI901,"T")</f>
      </c>
      <c r="AT901" s="1">
        <f>=COUNTIF(E901:AI901,"Y")</f>
      </c>
      <c r="AU901" s="1">
        <f>=COUNTIF(E901:AI901,"R.")</f>
      </c>
      <c r="AV901" s="1">
        <f>=COUNTIF(E901:AI901,"Ü")</f>
      </c>
      <c r="AW901" s="1">
        <f>=COUNTIF(E901:AI901,"R")</f>
      </c>
      <c r="AX901" s="1">
        <f>=COUNTIF(E901:AI901,"DV")</f>
      </c>
      <c r="AY901" s="1">
        <f>=+AN901+AO901+AP901+AQ901+AR901+AS901+AT901+AU901</f>
      </c>
    </row>
    <row r="902" ht="16" customHeight="1" spans="1:51" x14ac:dyDescent="0.25">
      <c r="A902" s="45"/>
      <c r="B902" s="46"/>
      <c r="C902" s="46"/>
      <c r="D902" s="46" t="s">
        <v>33</v>
      </c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  <c r="AC902" s="46"/>
      <c r="AD902" s="46"/>
      <c r="AE902" s="46"/>
      <c r="AF902" s="46"/>
      <c r="AG902" s="46"/>
      <c r="AH902" s="46"/>
      <c r="AI902" s="46"/>
      <c r="AJ902" s="46"/>
      <c r="AK902" s="46"/>
      <c r="AL902" s="46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</row>
    <row r="903" ht="16" customHeight="1" spans="1:51" x14ac:dyDescent="0.25">
      <c r="A903" s="45"/>
      <c r="B903" s="46" t="s">
        <v>947</v>
      </c>
      <c r="C903" s="46" t="s">
        <v>948</v>
      </c>
      <c r="D903" s="46" t="s">
        <v>29</v>
      </c>
      <c r="E903" s="46" t="s">
        <v>36</v>
      </c>
      <c r="F903" s="46" t="s">
        <v>37</v>
      </c>
      <c r="G903" s="46" t="s">
        <v>59</v>
      </c>
      <c r="H903" s="46" t="s">
        <v>59</v>
      </c>
      <c r="I903" s="46" t="s">
        <v>59</v>
      </c>
      <c r="J903" s="46" t="s">
        <v>59</v>
      </c>
      <c r="K903" s="46" t="s">
        <v>59</v>
      </c>
      <c r="L903" s="46" t="s">
        <v>59</v>
      </c>
      <c r="M903" s="46" t="s">
        <v>37</v>
      </c>
      <c r="N903" s="46" t="s">
        <v>36</v>
      </c>
      <c r="O903" s="46" t="s">
        <v>36</v>
      </c>
      <c r="P903" s="46" t="s">
        <v>36</v>
      </c>
      <c r="Q903" s="46" t="s">
        <v>36</v>
      </c>
      <c r="R903" s="46" t="s">
        <v>36</v>
      </c>
      <c r="S903" s="46" t="s">
        <v>36</v>
      </c>
      <c r="T903" s="46" t="s">
        <v>37</v>
      </c>
      <c r="U903" s="46" t="s">
        <v>59</v>
      </c>
      <c r="V903" s="46" t="s">
        <v>59</v>
      </c>
      <c r="W903" s="46" t="s">
        <v>59</v>
      </c>
      <c r="X903" s="46" t="s">
        <v>59</v>
      </c>
      <c r="Y903" s="46" t="s">
        <v>46</v>
      </c>
      <c r="Z903" s="46" t="s">
        <v>36</v>
      </c>
      <c r="AA903" s="46" t="s">
        <v>37</v>
      </c>
      <c r="AB903" s="46" t="s">
        <v>36</v>
      </c>
      <c r="AC903" s="46" t="s">
        <v>36</v>
      </c>
      <c r="AD903" s="46" t="s">
        <v>36</v>
      </c>
      <c r="AE903" s="46" t="s">
        <v>36</v>
      </c>
      <c r="AF903" s="46" t="s">
        <v>36</v>
      </c>
      <c r="AG903" s="46" t="s">
        <v>36</v>
      </c>
      <c r="AH903" s="46" t="s">
        <v>37</v>
      </c>
      <c r="AI903" s="46" t="s">
        <v>36</v>
      </c>
      <c r="AJ903" s="46">
        <f>=SUM(E904:AI904)</f>
      </c>
      <c r="AK903" s="46">
        <f>=+AY903</f>
      </c>
      <c r="AL903" s="46"/>
      <c r="AM903" s="1"/>
      <c r="AN903" s="1">
        <f>=COUNTIF(E903:AI903,"A")+COUNTIF(E903:AI903,"B")+COUNTIF(E903:AI903,"C")+COUNTIF(E903:AI903,"D")+COUNTIF(E903:AI903,"E")+COUNTIF(E903:AI903,"F")+COUNTIF(E903:AI903,"M")+COUNTIF(E903:AI903,"AB")+COUNTIF(E903:AI903,"UZ")+COUNTIF(E903:AI903,"G")+(COUNTIF(E903:AI903,"RT.")/2)+(COUNTIF(E903:AI903,"ÇRT.")/2)</f>
      </c>
      <c r="AO903" s="1">
        <f>=COUNTIF(E903:AI903,"O")</f>
      </c>
      <c r="AP903" s="1">
        <f>=COUNTIF(E903:AI903,"RT")+(COUNTIF(E903:AI903,"RT.")/2)</f>
      </c>
      <c r="AQ903" s="1">
        <f>=COUNTIF(E903:AI903,"ÇRT")+(COUNTIF(E903:AI903,"ÇRT.")/2)</f>
      </c>
      <c r="AR903" s="1">
        <f>=COUNTIF(E903:AI903,"ÇHT")</f>
      </c>
      <c r="AS903" s="1">
        <f>=COUNTIF(E903:AI903,"Ö")+COUNTIF(E903:AI903,"T")</f>
      </c>
      <c r="AT903" s="1">
        <f>=COUNTIF(E903:AI903,"Y")</f>
      </c>
      <c r="AU903" s="1">
        <f>=COUNTIF(E903:AI903,"R.")</f>
      </c>
      <c r="AV903" s="1">
        <f>=COUNTIF(E903:AI903,"Ü")</f>
      </c>
      <c r="AW903" s="1">
        <f>=COUNTIF(E903:AI903,"R")</f>
      </c>
      <c r="AX903" s="1">
        <f>=COUNTIF(E903:AI903,"DV")</f>
      </c>
      <c r="AY903" s="1">
        <f>=+AN903+AO903+AP903+AQ903+AR903+AS903+AT903+AU903</f>
      </c>
    </row>
    <row r="904" ht="16" customHeight="1" spans="1:51" x14ac:dyDescent="0.25">
      <c r="A904" s="45"/>
      <c r="B904" s="46"/>
      <c r="C904" s="46"/>
      <c r="D904" s="46" t="s">
        <v>33</v>
      </c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  <c r="AB904" s="46"/>
      <c r="AC904" s="46"/>
      <c r="AD904" s="46"/>
      <c r="AE904" s="46"/>
      <c r="AF904" s="46"/>
      <c r="AG904" s="46"/>
      <c r="AH904" s="46"/>
      <c r="AI904" s="46"/>
      <c r="AJ904" s="46"/>
      <c r="AK904" s="46"/>
      <c r="AL904" s="46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</row>
    <row r="905" ht="16" customHeight="1" spans="1:51" x14ac:dyDescent="0.25">
      <c r="A905" s="45"/>
      <c r="B905" s="46" t="s">
        <v>949</v>
      </c>
      <c r="C905" s="46" t="s">
        <v>950</v>
      </c>
      <c r="D905" s="46" t="s">
        <v>29</v>
      </c>
      <c r="E905" s="46" t="s">
        <v>36</v>
      </c>
      <c r="F905" s="46" t="s">
        <v>36</v>
      </c>
      <c r="G905" s="46" t="s">
        <v>36</v>
      </c>
      <c r="H905" s="46" t="s">
        <v>37</v>
      </c>
      <c r="I905" s="46" t="s">
        <v>59</v>
      </c>
      <c r="J905" s="46" t="s">
        <v>59</v>
      </c>
      <c r="K905" s="46" t="s">
        <v>59</v>
      </c>
      <c r="L905" s="46" t="s">
        <v>59</v>
      </c>
      <c r="M905" s="46" t="s">
        <v>59</v>
      </c>
      <c r="N905" s="46" t="s">
        <v>59</v>
      </c>
      <c r="O905" s="46" t="s">
        <v>59</v>
      </c>
      <c r="P905" s="46" t="s">
        <v>37</v>
      </c>
      <c r="Q905" s="46" t="s">
        <v>46</v>
      </c>
      <c r="R905" s="46" t="s">
        <v>36</v>
      </c>
      <c r="S905" s="46" t="s">
        <v>36</v>
      </c>
      <c r="T905" s="46" t="s">
        <v>36</v>
      </c>
      <c r="U905" s="46" t="s">
        <v>37</v>
      </c>
      <c r="V905" s="46" t="s">
        <v>59</v>
      </c>
      <c r="W905" s="46" t="s">
        <v>59</v>
      </c>
      <c r="X905" s="46" t="s">
        <v>59</v>
      </c>
      <c r="Y905" s="46" t="s">
        <v>59</v>
      </c>
      <c r="Z905" s="46" t="s">
        <v>59</v>
      </c>
      <c r="AA905" s="46" t="s">
        <v>59</v>
      </c>
      <c r="AB905" s="46" t="s">
        <v>46</v>
      </c>
      <c r="AC905" s="46" t="s">
        <v>37</v>
      </c>
      <c r="AD905" s="46" t="s">
        <v>36</v>
      </c>
      <c r="AE905" s="46" t="s">
        <v>36</v>
      </c>
      <c r="AF905" s="46" t="s">
        <v>36</v>
      </c>
      <c r="AG905" s="46" t="s">
        <v>153</v>
      </c>
      <c r="AH905" s="46" t="s">
        <v>43</v>
      </c>
      <c r="AI905" s="46" t="s">
        <v>46</v>
      </c>
      <c r="AJ905" s="46">
        <f>=SUM(E906:AI906)</f>
      </c>
      <c r="AK905" s="46">
        <f>=+AY905</f>
      </c>
      <c r="AL905" s="46"/>
      <c r="AM905" s="1"/>
      <c r="AN905" s="1">
        <f>=COUNTIF(E905:AI905,"A")+COUNTIF(E905:AI905,"B")+COUNTIF(E905:AI905,"C")+COUNTIF(E905:AI905,"D")+COUNTIF(E905:AI905,"E")+COUNTIF(E905:AI905,"F")+COUNTIF(E905:AI905,"M")+COUNTIF(E905:AI905,"AB")+COUNTIF(E905:AI905,"UZ")+COUNTIF(E905:AI905,"G")+(COUNTIF(E905:AI905,"RT.")/2)+(COUNTIF(E905:AI905,"ÇRT.")/2)</f>
      </c>
      <c r="AO905" s="1">
        <f>=COUNTIF(E905:AI905,"O")</f>
      </c>
      <c r="AP905" s="1">
        <f>=COUNTIF(E905:AI905,"RT")+(COUNTIF(E905:AI905,"RT.")/2)</f>
      </c>
      <c r="AQ905" s="1">
        <f>=COUNTIF(E905:AI905,"ÇRT")+(COUNTIF(E905:AI905,"ÇRT.")/2)</f>
      </c>
      <c r="AR905" s="1">
        <f>=COUNTIF(E905:AI905,"ÇHT")</f>
      </c>
      <c r="AS905" s="1">
        <f>=COUNTIF(E905:AI905,"Ö")+COUNTIF(E905:AI905,"T")</f>
      </c>
      <c r="AT905" s="1">
        <f>=COUNTIF(E905:AI905,"Y")</f>
      </c>
      <c r="AU905" s="1">
        <f>=COUNTIF(E905:AI905,"R.")</f>
      </c>
      <c r="AV905" s="1">
        <f>=COUNTIF(E905:AI905,"Ü")</f>
      </c>
      <c r="AW905" s="1">
        <f>=COUNTIF(E905:AI905,"R")</f>
      </c>
      <c r="AX905" s="1">
        <f>=COUNTIF(E905:AI905,"DV")</f>
      </c>
      <c r="AY905" s="1">
        <f>=+AN905+AO905+AP905+AQ905+AR905+AS905+AT905+AU905</f>
      </c>
    </row>
    <row r="906" ht="16" customHeight="1" spans="1:51" x14ac:dyDescent="0.25">
      <c r="A906" s="45"/>
      <c r="B906" s="46"/>
      <c r="C906" s="46"/>
      <c r="D906" s="46" t="s">
        <v>33</v>
      </c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  <c r="AB906" s="46"/>
      <c r="AC906" s="46"/>
      <c r="AD906" s="46"/>
      <c r="AE906" s="46"/>
      <c r="AF906" s="46"/>
      <c r="AG906" s="46"/>
      <c r="AH906" s="46"/>
      <c r="AI906" s="46"/>
      <c r="AJ906" s="46"/>
      <c r="AK906" s="46"/>
      <c r="AL906" s="46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</row>
    <row r="907" ht="16" customHeight="1" spans="1:51" x14ac:dyDescent="0.25">
      <c r="A907" s="45"/>
      <c r="B907" s="46" t="s">
        <v>951</v>
      </c>
      <c r="C907" s="46" t="s">
        <v>952</v>
      </c>
      <c r="D907" s="46" t="s">
        <v>29</v>
      </c>
      <c r="E907" s="46" t="s">
        <v>59</v>
      </c>
      <c r="F907" s="46" t="s">
        <v>36</v>
      </c>
      <c r="G907" s="46" t="s">
        <v>59</v>
      </c>
      <c r="H907" s="46" t="s">
        <v>59</v>
      </c>
      <c r="I907" s="46" t="s">
        <v>46</v>
      </c>
      <c r="J907" s="46" t="s">
        <v>37</v>
      </c>
      <c r="K907" s="46" t="s">
        <v>36</v>
      </c>
      <c r="L907" s="46" t="s">
        <v>36</v>
      </c>
      <c r="M907" s="46" t="s">
        <v>36</v>
      </c>
      <c r="N907" s="46" t="s">
        <v>36</v>
      </c>
      <c r="O907" s="46" t="s">
        <v>36</v>
      </c>
      <c r="P907" s="46" t="s">
        <v>36</v>
      </c>
      <c r="Q907" s="46" t="s">
        <v>36</v>
      </c>
      <c r="R907" s="46" t="s">
        <v>59</v>
      </c>
      <c r="S907" s="46" t="s">
        <v>37</v>
      </c>
      <c r="T907" s="46" t="s">
        <v>59</v>
      </c>
      <c r="U907" s="46" t="s">
        <v>59</v>
      </c>
      <c r="V907" s="46" t="s">
        <v>46</v>
      </c>
      <c r="W907" s="46" t="s">
        <v>36</v>
      </c>
      <c r="X907" s="46" t="s">
        <v>36</v>
      </c>
      <c r="Y907" s="46" t="s">
        <v>36</v>
      </c>
      <c r="Z907" s="46" t="s">
        <v>37</v>
      </c>
      <c r="AA907" s="46" t="s">
        <v>46</v>
      </c>
      <c r="AB907" s="46" t="s">
        <v>36</v>
      </c>
      <c r="AC907" s="46" t="s">
        <v>36</v>
      </c>
      <c r="AD907" s="46" t="s">
        <v>59</v>
      </c>
      <c r="AE907" s="46" t="s">
        <v>37</v>
      </c>
      <c r="AF907" s="46" t="s">
        <v>59</v>
      </c>
      <c r="AG907" s="46" t="s">
        <v>59</v>
      </c>
      <c r="AH907" s="46" t="s">
        <v>43</v>
      </c>
      <c r="AI907" s="46" t="s">
        <v>59</v>
      </c>
      <c r="AJ907" s="46">
        <f>=SUM(E908:AI908)</f>
      </c>
      <c r="AK907" s="46">
        <f>=+AY907</f>
      </c>
      <c r="AL907" s="46"/>
      <c r="AM907" s="1"/>
      <c r="AN907" s="1">
        <f>=COUNTIF(E907:AI907,"A")+COUNTIF(E907:AI907,"B")+COUNTIF(E907:AI907,"C")+COUNTIF(E907:AI907,"D")+COUNTIF(E907:AI907,"E")+COUNTIF(E907:AI907,"F")+COUNTIF(E907:AI907,"M")+COUNTIF(E907:AI907,"AB")+COUNTIF(E907:AI907,"UZ")+COUNTIF(E907:AI907,"G")+(COUNTIF(E907:AI907,"RT.")/2)+(COUNTIF(E907:AI907,"ÇRT.")/2)</f>
      </c>
      <c r="AO907" s="1">
        <f>=COUNTIF(E907:AI907,"O")</f>
      </c>
      <c r="AP907" s="1">
        <f>=COUNTIF(E907:AI907,"RT")+(COUNTIF(E907:AI907,"RT.")/2)</f>
      </c>
      <c r="AQ907" s="1">
        <f>=COUNTIF(E907:AI907,"ÇRT")+(COUNTIF(E907:AI907,"ÇRT.")/2)</f>
      </c>
      <c r="AR907" s="1">
        <f>=COUNTIF(E907:AI907,"ÇHT")</f>
      </c>
      <c r="AS907" s="1">
        <f>=COUNTIF(E907:AI907,"Ö")+COUNTIF(E907:AI907,"T")</f>
      </c>
      <c r="AT907" s="1">
        <f>=COUNTIF(E907:AI907,"Y")</f>
      </c>
      <c r="AU907" s="1">
        <f>=COUNTIF(E907:AI907,"R.")</f>
      </c>
      <c r="AV907" s="1">
        <f>=COUNTIF(E907:AI907,"Ü")</f>
      </c>
      <c r="AW907" s="1">
        <f>=COUNTIF(E907:AI907,"R")</f>
      </c>
      <c r="AX907" s="1">
        <f>=COUNTIF(E907:AI907,"DV")</f>
      </c>
      <c r="AY907" s="1">
        <f>=+AN907+AO907+AP907+AQ907+AR907+AS907+AT907+AU907</f>
      </c>
    </row>
    <row r="908" ht="16" customHeight="1" spans="1:51" x14ac:dyDescent="0.25">
      <c r="A908" s="45"/>
      <c r="B908" s="46"/>
      <c r="C908" s="46"/>
      <c r="D908" s="46" t="s">
        <v>33</v>
      </c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  <c r="AB908" s="46"/>
      <c r="AC908" s="46"/>
      <c r="AD908" s="46"/>
      <c r="AE908" s="46"/>
      <c r="AF908" s="46"/>
      <c r="AG908" s="46"/>
      <c r="AH908" s="46"/>
      <c r="AI908" s="46"/>
      <c r="AJ908" s="46"/>
      <c r="AK908" s="46"/>
      <c r="AL908" s="46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</row>
    <row r="909" ht="16" customHeight="1" spans="1:51" x14ac:dyDescent="0.25">
      <c r="A909" s="45"/>
      <c r="B909" s="46" t="s">
        <v>953</v>
      </c>
      <c r="C909" s="46" t="s">
        <v>954</v>
      </c>
      <c r="D909" s="46" t="s">
        <v>29</v>
      </c>
      <c r="E909" s="46" t="s">
        <v>59</v>
      </c>
      <c r="F909" s="46" t="s">
        <v>59</v>
      </c>
      <c r="G909" s="46" t="s">
        <v>46</v>
      </c>
      <c r="H909" s="46" t="s">
        <v>37</v>
      </c>
      <c r="I909" s="46" t="s">
        <v>36</v>
      </c>
      <c r="J909" s="46" t="s">
        <v>36</v>
      </c>
      <c r="K909" s="46" t="s">
        <v>36</v>
      </c>
      <c r="L909" s="46" t="s">
        <v>36</v>
      </c>
      <c r="M909" s="46" t="s">
        <v>36</v>
      </c>
      <c r="N909" s="46" t="s">
        <v>59</v>
      </c>
      <c r="O909" s="46" t="s">
        <v>37</v>
      </c>
      <c r="P909" s="46" t="s">
        <v>59</v>
      </c>
      <c r="Q909" s="46" t="s">
        <v>59</v>
      </c>
      <c r="R909" s="46" t="s">
        <v>59</v>
      </c>
      <c r="S909" s="46" t="s">
        <v>59</v>
      </c>
      <c r="T909" s="46" t="s">
        <v>59</v>
      </c>
      <c r="U909" s="46" t="s">
        <v>46</v>
      </c>
      <c r="V909" s="46" t="s">
        <v>37</v>
      </c>
      <c r="W909" s="46" t="s">
        <v>36</v>
      </c>
      <c r="X909" s="46" t="s">
        <v>36</v>
      </c>
      <c r="Y909" s="46" t="s">
        <v>36</v>
      </c>
      <c r="Z909" s="46" t="s">
        <v>36</v>
      </c>
      <c r="AA909" s="46" t="s">
        <v>36</v>
      </c>
      <c r="AB909" s="46" t="s">
        <v>59</v>
      </c>
      <c r="AC909" s="46" t="s">
        <v>37</v>
      </c>
      <c r="AD909" s="46" t="s">
        <v>59</v>
      </c>
      <c r="AE909" s="46" t="s">
        <v>59</v>
      </c>
      <c r="AF909" s="46" t="s">
        <v>59</v>
      </c>
      <c r="AG909" s="46" t="s">
        <v>59</v>
      </c>
      <c r="AH909" s="46" t="s">
        <v>43</v>
      </c>
      <c r="AI909" s="46" t="s">
        <v>46</v>
      </c>
      <c r="AJ909" s="46">
        <f>=SUM(E910:AI910)</f>
      </c>
      <c r="AK909" s="46">
        <f>=+AY909</f>
      </c>
      <c r="AL909" s="46"/>
      <c r="AM909" s="1"/>
      <c r="AN909" s="1">
        <f>=COUNTIF(E909:AI909,"A")+COUNTIF(E909:AI909,"B")+COUNTIF(E909:AI909,"C")+COUNTIF(E909:AI909,"D")+COUNTIF(E909:AI909,"E")+COUNTIF(E909:AI909,"F")+COUNTIF(E909:AI909,"M")+COUNTIF(E909:AI909,"AB")+COUNTIF(E909:AI909,"UZ")+COUNTIF(E909:AI909,"G")+(COUNTIF(E909:AI909,"RT.")/2)+(COUNTIF(E909:AI909,"ÇRT.")/2)</f>
      </c>
      <c r="AO909" s="1">
        <f>=COUNTIF(E909:AI909,"O")</f>
      </c>
      <c r="AP909" s="1">
        <f>=COUNTIF(E909:AI909,"RT")+(COUNTIF(E909:AI909,"RT.")/2)</f>
      </c>
      <c r="AQ909" s="1">
        <f>=COUNTIF(E909:AI909,"ÇRT")+(COUNTIF(E909:AI909,"ÇRT.")/2)</f>
      </c>
      <c r="AR909" s="1">
        <f>=COUNTIF(E909:AI909,"ÇHT")</f>
      </c>
      <c r="AS909" s="1">
        <f>=COUNTIF(E909:AI909,"Ö")+COUNTIF(E909:AI909,"T")</f>
      </c>
      <c r="AT909" s="1">
        <f>=COUNTIF(E909:AI909,"Y")</f>
      </c>
      <c r="AU909" s="1">
        <f>=COUNTIF(E909:AI909,"R.")</f>
      </c>
      <c r="AV909" s="1">
        <f>=COUNTIF(E909:AI909,"Ü")</f>
      </c>
      <c r="AW909" s="1">
        <f>=COUNTIF(E909:AI909,"R")</f>
      </c>
      <c r="AX909" s="1">
        <f>=COUNTIF(E909:AI909,"DV")</f>
      </c>
      <c r="AY909" s="1">
        <f>=+AN909+AO909+AP909+AQ909+AR909+AS909+AT909+AU909</f>
      </c>
    </row>
    <row r="910" ht="16" customHeight="1" spans="1:51" x14ac:dyDescent="0.25">
      <c r="A910" s="45"/>
      <c r="B910" s="46"/>
      <c r="C910" s="46"/>
      <c r="D910" s="46" t="s">
        <v>33</v>
      </c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  <c r="AB910" s="46"/>
      <c r="AC910" s="46"/>
      <c r="AD910" s="46"/>
      <c r="AE910" s="46"/>
      <c r="AF910" s="46"/>
      <c r="AG910" s="46"/>
      <c r="AH910" s="46"/>
      <c r="AI910" s="46"/>
      <c r="AJ910" s="46"/>
      <c r="AK910" s="46"/>
      <c r="AL910" s="46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</row>
    <row r="911" ht="16" customHeight="1" spans="1:51" x14ac:dyDescent="0.25">
      <c r="A911" s="45"/>
      <c r="B911" s="46" t="s">
        <v>955</v>
      </c>
      <c r="C911" s="46" t="s">
        <v>956</v>
      </c>
      <c r="D911" s="46" t="s">
        <v>29</v>
      </c>
      <c r="E911" s="46" t="s">
        <v>32</v>
      </c>
      <c r="F911" s="46" t="s">
        <v>32</v>
      </c>
      <c r="G911" s="46" t="s">
        <v>32</v>
      </c>
      <c r="H911" s="46" t="s">
        <v>32</v>
      </c>
      <c r="I911" s="46" t="s">
        <v>32</v>
      </c>
      <c r="J911" s="46" t="s">
        <v>32</v>
      </c>
      <c r="K911" s="46" t="s">
        <v>32</v>
      </c>
      <c r="L911" s="46" t="s">
        <v>32</v>
      </c>
      <c r="M911" s="46" t="s">
        <v>32</v>
      </c>
      <c r="N911" s="46" t="s">
        <v>32</v>
      </c>
      <c r="O911" s="46" t="s">
        <v>32</v>
      </c>
      <c r="P911" s="46" t="s">
        <v>36</v>
      </c>
      <c r="Q911" s="46" t="s">
        <v>59</v>
      </c>
      <c r="R911" s="46" t="s">
        <v>46</v>
      </c>
      <c r="S911" s="46" t="s">
        <v>46</v>
      </c>
      <c r="T911" s="46" t="s">
        <v>36</v>
      </c>
      <c r="U911" s="46" t="s">
        <v>59</v>
      </c>
      <c r="V911" s="46" t="s">
        <v>59</v>
      </c>
      <c r="W911" s="46" t="s">
        <v>59</v>
      </c>
      <c r="X911" s="46" t="s">
        <v>37</v>
      </c>
      <c r="Y911" s="46" t="s">
        <v>59</v>
      </c>
      <c r="Z911" s="46" t="s">
        <v>59</v>
      </c>
      <c r="AA911" s="46" t="s">
        <v>59</v>
      </c>
      <c r="AB911" s="46" t="s">
        <v>59</v>
      </c>
      <c r="AC911" s="46" t="s">
        <v>59</v>
      </c>
      <c r="AD911" s="46" t="s">
        <v>59</v>
      </c>
      <c r="AE911" s="46" t="s">
        <v>37</v>
      </c>
      <c r="AF911" s="46" t="s">
        <v>36</v>
      </c>
      <c r="AG911" s="46" t="s">
        <v>36</v>
      </c>
      <c r="AH911" s="46" t="s">
        <v>43</v>
      </c>
      <c r="AI911" s="46" t="s">
        <v>59</v>
      </c>
      <c r="AJ911" s="46">
        <f>=SUM(E912:AI912)</f>
      </c>
      <c r="AK911" s="46">
        <f>=+AY911</f>
      </c>
      <c r="AL911" s="46"/>
      <c r="AM911" s="1"/>
      <c r="AN911" s="1">
        <f>=COUNTIF(E911:AI911,"A")+COUNTIF(E911:AI911,"B")+COUNTIF(E911:AI911,"C")+COUNTIF(E911:AI911,"D")+COUNTIF(E911:AI911,"E")+COUNTIF(E911:AI911,"F")+COUNTIF(E911:AI911,"M")+COUNTIF(E911:AI911,"AB")+COUNTIF(E911:AI911,"UZ")+COUNTIF(E911:AI911,"G")+(COUNTIF(E911:AI911,"RT.")/2)+(COUNTIF(E911:AI911,"ÇRT.")/2)</f>
      </c>
      <c r="AO911" s="1">
        <f>=COUNTIF(E911:AI911,"O")</f>
      </c>
      <c r="AP911" s="1">
        <f>=COUNTIF(E911:AI911,"RT")+(COUNTIF(E911:AI911,"RT.")/2)</f>
      </c>
      <c r="AQ911" s="1">
        <f>=COUNTIF(E911:AI911,"ÇRT")+(COUNTIF(E911:AI911,"ÇRT.")/2)</f>
      </c>
      <c r="AR911" s="1">
        <f>=COUNTIF(E911:AI911,"ÇHT")</f>
      </c>
      <c r="AS911" s="1">
        <f>=COUNTIF(E911:AI911,"Ö")+COUNTIF(E911:AI911,"T")</f>
      </c>
      <c r="AT911" s="1">
        <f>=COUNTIF(E911:AI911,"Y")</f>
      </c>
      <c r="AU911" s="1">
        <f>=COUNTIF(E911:AI911,"R.")</f>
      </c>
      <c r="AV911" s="1">
        <f>=COUNTIF(E911:AI911,"Ü")</f>
      </c>
      <c r="AW911" s="1">
        <f>=COUNTIF(E911:AI911,"R")</f>
      </c>
      <c r="AX911" s="1">
        <f>=COUNTIF(E911:AI911,"DV")</f>
      </c>
      <c r="AY911" s="1">
        <f>=+AN911+AO911+AP911+AQ911+AR911+AS911+AT911+AU911</f>
      </c>
    </row>
    <row r="912" ht="16" customHeight="1" spans="1:51" x14ac:dyDescent="0.25">
      <c r="A912" s="45"/>
      <c r="B912" s="46"/>
      <c r="C912" s="46"/>
      <c r="D912" s="46" t="s">
        <v>33</v>
      </c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  <c r="AB912" s="46"/>
      <c r="AC912" s="46"/>
      <c r="AD912" s="46"/>
      <c r="AE912" s="46"/>
      <c r="AF912" s="46"/>
      <c r="AG912" s="46"/>
      <c r="AH912" s="46"/>
      <c r="AI912" s="46"/>
      <c r="AJ912" s="46"/>
      <c r="AK912" s="46"/>
      <c r="AL912" s="46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</row>
    <row r="913" ht="16" customHeight="1" spans="1:51" x14ac:dyDescent="0.25">
      <c r="A913" s="45" t="s">
        <v>957</v>
      </c>
      <c r="B913" s="46" t="s">
        <v>958</v>
      </c>
      <c r="C913" s="46" t="s">
        <v>959</v>
      </c>
      <c r="D913" s="46" t="s">
        <v>29</v>
      </c>
      <c r="E913" s="46" t="s">
        <v>42</v>
      </c>
      <c r="F913" s="46" t="s">
        <v>37</v>
      </c>
      <c r="G913" s="46" t="s">
        <v>42</v>
      </c>
      <c r="H913" s="46" t="s">
        <v>42</v>
      </c>
      <c r="I913" s="46" t="s">
        <v>42</v>
      </c>
      <c r="J913" s="46" t="s">
        <v>42</v>
      </c>
      <c r="K913" s="46" t="s">
        <v>42</v>
      </c>
      <c r="L913" s="46" t="s">
        <v>42</v>
      </c>
      <c r="M913" s="46" t="s">
        <v>37</v>
      </c>
      <c r="N913" s="46" t="s">
        <v>42</v>
      </c>
      <c r="O913" s="46" t="s">
        <v>42</v>
      </c>
      <c r="P913" s="46" t="s">
        <v>42</v>
      </c>
      <c r="Q913" s="46" t="s">
        <v>42</v>
      </c>
      <c r="R913" s="46" t="s">
        <v>42</v>
      </c>
      <c r="S913" s="46" t="s">
        <v>42</v>
      </c>
      <c r="T913" s="46" t="s">
        <v>37</v>
      </c>
      <c r="U913" s="46" t="s">
        <v>42</v>
      </c>
      <c r="V913" s="46" t="s">
        <v>42</v>
      </c>
      <c r="W913" s="46" t="s">
        <v>42</v>
      </c>
      <c r="X913" s="46" t="s">
        <v>42</v>
      </c>
      <c r="Y913" s="46" t="s">
        <v>42</v>
      </c>
      <c r="Z913" s="46" t="s">
        <v>42</v>
      </c>
      <c r="AA913" s="46" t="s">
        <v>37</v>
      </c>
      <c r="AB913" s="46" t="s">
        <v>42</v>
      </c>
      <c r="AC913" s="46" t="s">
        <v>42</v>
      </c>
      <c r="AD913" s="46" t="s">
        <v>42</v>
      </c>
      <c r="AE913" s="46" t="s">
        <v>42</v>
      </c>
      <c r="AF913" s="46" t="s">
        <v>42</v>
      </c>
      <c r="AG913" s="46" t="s">
        <v>42</v>
      </c>
      <c r="AH913" s="46" t="s">
        <v>37</v>
      </c>
      <c r="AI913" s="46" t="s">
        <v>42</v>
      </c>
      <c r="AJ913" s="46">
        <f>=SUM(E914:AI914)</f>
      </c>
      <c r="AK913" s="46">
        <f>=+AY913</f>
      </c>
      <c r="AL913" s="46"/>
      <c r="AM913" s="1"/>
      <c r="AN913" s="1">
        <f>=COUNTIF(E913:AI913,"A")+COUNTIF(E913:AI913,"B")+COUNTIF(E913:AI913,"C")+COUNTIF(E913:AI913,"D")+COUNTIF(E913:AI913,"E")+COUNTIF(E913:AI913,"F")+COUNTIF(E913:AI913,"M")+COUNTIF(E913:AI913,"AB")+COUNTIF(E913:AI913,"UZ")+COUNTIF(E913:AI913,"G")+(COUNTIF(E913:AI913,"RT.")/2)+(COUNTIF(E913:AI913,"ÇRT.")/2)</f>
      </c>
      <c r="AO913" s="1">
        <f>=COUNTIF(E913:AI913,"O")</f>
      </c>
      <c r="AP913" s="1">
        <f>=COUNTIF(E913:AI913,"RT")+(COUNTIF(E913:AI913,"RT.")/2)</f>
      </c>
      <c r="AQ913" s="1">
        <f>=COUNTIF(E913:AI913,"ÇRT")+(COUNTIF(E913:AI913,"ÇRT.")/2)</f>
      </c>
      <c r="AR913" s="1">
        <f>=COUNTIF(E913:AI913,"ÇHT")</f>
      </c>
      <c r="AS913" s="1">
        <f>=COUNTIF(E913:AI913,"Ö")+COUNTIF(E913:AI913,"T")</f>
      </c>
      <c r="AT913" s="1">
        <f>=COUNTIF(E913:AI913,"Y")</f>
      </c>
      <c r="AU913" s="1">
        <f>=COUNTIF(E913:AI913,"R.")</f>
      </c>
      <c r="AV913" s="1">
        <f>=COUNTIF(E913:AI913,"Ü")</f>
      </c>
      <c r="AW913" s="1">
        <f>=COUNTIF(E913:AI913,"R")</f>
      </c>
      <c r="AX913" s="1">
        <f>=COUNTIF(E913:AI913,"DV")</f>
      </c>
      <c r="AY913" s="1">
        <f>=+AN913+AO913+AP913+AQ913+AR913+AS913+AT913+AU913</f>
      </c>
    </row>
    <row r="914" ht="16" customHeight="1" spans="1:51" x14ac:dyDescent="0.25">
      <c r="A914" s="45"/>
      <c r="B914" s="46"/>
      <c r="C914" s="46"/>
      <c r="D914" s="46" t="s">
        <v>33</v>
      </c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  <c r="AB914" s="46"/>
      <c r="AC914" s="46"/>
      <c r="AD914" s="46"/>
      <c r="AE914" s="46"/>
      <c r="AF914" s="46"/>
      <c r="AG914" s="46"/>
      <c r="AH914" s="46"/>
      <c r="AI914" s="46"/>
      <c r="AJ914" s="46"/>
      <c r="AK914" s="46"/>
      <c r="AL914" s="46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</row>
    <row r="915" ht="16" customHeight="1" spans="1:51" x14ac:dyDescent="0.25">
      <c r="A915" s="45"/>
      <c r="B915" s="46" t="s">
        <v>960</v>
      </c>
      <c r="C915" s="46" t="s">
        <v>961</v>
      </c>
      <c r="D915" s="46" t="s">
        <v>29</v>
      </c>
      <c r="E915" s="46" t="s">
        <v>36</v>
      </c>
      <c r="F915" s="46" t="s">
        <v>36</v>
      </c>
      <c r="G915" s="46" t="s">
        <v>36</v>
      </c>
      <c r="H915" s="46" t="s">
        <v>37</v>
      </c>
      <c r="I915" s="46" t="s">
        <v>36</v>
      </c>
      <c r="J915" s="46" t="s">
        <v>36</v>
      </c>
      <c r="K915" s="46" t="s">
        <v>36</v>
      </c>
      <c r="L915" s="46" t="s">
        <v>36</v>
      </c>
      <c r="M915" s="46" t="s">
        <v>36</v>
      </c>
      <c r="N915" s="46" t="s">
        <v>59</v>
      </c>
      <c r="O915" s="46" t="s">
        <v>37</v>
      </c>
      <c r="P915" s="46" t="s">
        <v>59</v>
      </c>
      <c r="Q915" s="46" t="s">
        <v>59</v>
      </c>
      <c r="R915" s="46" t="s">
        <v>59</v>
      </c>
      <c r="S915" s="46" t="s">
        <v>59</v>
      </c>
      <c r="T915" s="46" t="s">
        <v>46</v>
      </c>
      <c r="U915" s="46" t="s">
        <v>59</v>
      </c>
      <c r="V915" s="46" t="s">
        <v>37</v>
      </c>
      <c r="W915" s="46" t="s">
        <v>59</v>
      </c>
      <c r="X915" s="46" t="s">
        <v>59</v>
      </c>
      <c r="Y915" s="46" t="s">
        <v>59</v>
      </c>
      <c r="Z915" s="46" t="s">
        <v>59</v>
      </c>
      <c r="AA915" s="46" t="s">
        <v>46</v>
      </c>
      <c r="AB915" s="46" t="s">
        <v>36</v>
      </c>
      <c r="AC915" s="46" t="s">
        <v>37</v>
      </c>
      <c r="AD915" s="46" t="s">
        <v>36</v>
      </c>
      <c r="AE915" s="46" t="s">
        <v>36</v>
      </c>
      <c r="AF915" s="46" t="s">
        <v>36</v>
      </c>
      <c r="AG915" s="46" t="s">
        <v>36</v>
      </c>
      <c r="AH915" s="46" t="s">
        <v>43</v>
      </c>
      <c r="AI915" s="46" t="s">
        <v>36</v>
      </c>
      <c r="AJ915" s="46">
        <f>=SUM(E916:AI916)</f>
      </c>
      <c r="AK915" s="46">
        <f>=+AY915</f>
      </c>
      <c r="AL915" s="46"/>
      <c r="AM915" s="1"/>
      <c r="AN915" s="1">
        <f>=COUNTIF(E915:AI915,"A")+COUNTIF(E915:AI915,"B")+COUNTIF(E915:AI915,"C")+COUNTIF(E915:AI915,"D")+COUNTIF(E915:AI915,"E")+COUNTIF(E915:AI915,"F")+COUNTIF(E915:AI915,"M")+COUNTIF(E915:AI915,"AB")+COUNTIF(E915:AI915,"UZ")+COUNTIF(E915:AI915,"G")+(COUNTIF(E915:AI915,"RT.")/2)+(COUNTIF(E915:AI915,"ÇRT.")/2)</f>
      </c>
      <c r="AO915" s="1">
        <f>=COUNTIF(E915:AI915,"O")</f>
      </c>
      <c r="AP915" s="1">
        <f>=COUNTIF(E915:AI915,"RT")+(COUNTIF(E915:AI915,"RT.")/2)</f>
      </c>
      <c r="AQ915" s="1">
        <f>=COUNTIF(E915:AI915,"ÇRT")+(COUNTIF(E915:AI915,"ÇRT.")/2)</f>
      </c>
      <c r="AR915" s="1">
        <f>=COUNTIF(E915:AI915,"ÇHT")</f>
      </c>
      <c r="AS915" s="1">
        <f>=COUNTIF(E915:AI915,"Ö")+COUNTIF(E915:AI915,"T")</f>
      </c>
      <c r="AT915" s="1">
        <f>=COUNTIF(E915:AI915,"Y")</f>
      </c>
      <c r="AU915" s="1">
        <f>=COUNTIF(E915:AI915,"R.")</f>
      </c>
      <c r="AV915" s="1">
        <f>=COUNTIF(E915:AI915,"Ü")</f>
      </c>
      <c r="AW915" s="1">
        <f>=COUNTIF(E915:AI915,"R")</f>
      </c>
      <c r="AX915" s="1">
        <f>=COUNTIF(E915:AI915,"DV")</f>
      </c>
      <c r="AY915" s="1">
        <f>=+AN915+AO915+AP915+AQ915+AR915+AS915+AT915+AU915</f>
      </c>
    </row>
    <row r="916" ht="16" customHeight="1" spans="1:51" x14ac:dyDescent="0.25">
      <c r="A916" s="45"/>
      <c r="B916" s="46"/>
      <c r="C916" s="46"/>
      <c r="D916" s="46" t="s">
        <v>33</v>
      </c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  <c r="AB916" s="46"/>
      <c r="AC916" s="46"/>
      <c r="AD916" s="46"/>
      <c r="AE916" s="46"/>
      <c r="AF916" s="46"/>
      <c r="AG916" s="46"/>
      <c r="AH916" s="46"/>
      <c r="AI916" s="46"/>
      <c r="AJ916" s="46"/>
      <c r="AK916" s="46"/>
      <c r="AL916" s="46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</row>
    <row r="917" ht="16" customHeight="1" spans="1:51" x14ac:dyDescent="0.25">
      <c r="A917" s="45"/>
      <c r="B917" s="46" t="s">
        <v>962</v>
      </c>
      <c r="C917" s="46" t="s">
        <v>963</v>
      </c>
      <c r="D917" s="46" t="s">
        <v>29</v>
      </c>
      <c r="E917" s="46" t="s">
        <v>59</v>
      </c>
      <c r="F917" s="46" t="s">
        <v>37</v>
      </c>
      <c r="G917" s="46" t="s">
        <v>36</v>
      </c>
      <c r="H917" s="46" t="s">
        <v>59</v>
      </c>
      <c r="I917" s="46" t="s">
        <v>46</v>
      </c>
      <c r="J917" s="46" t="s">
        <v>36</v>
      </c>
      <c r="K917" s="46" t="s">
        <v>36</v>
      </c>
      <c r="L917" s="46" t="s">
        <v>36</v>
      </c>
      <c r="M917" s="46" t="s">
        <v>37</v>
      </c>
      <c r="N917" s="46" t="s">
        <v>59</v>
      </c>
      <c r="O917" s="46" t="s">
        <v>59</v>
      </c>
      <c r="P917" s="46" t="s">
        <v>59</v>
      </c>
      <c r="Q917" s="46" t="s">
        <v>59</v>
      </c>
      <c r="R917" s="46" t="s">
        <v>59</v>
      </c>
      <c r="S917" s="46" t="s">
        <v>59</v>
      </c>
      <c r="T917" s="46" t="s">
        <v>37</v>
      </c>
      <c r="U917" s="46" t="s">
        <v>36</v>
      </c>
      <c r="V917" s="46" t="s">
        <v>59</v>
      </c>
      <c r="W917" s="46" t="s">
        <v>46</v>
      </c>
      <c r="X917" s="46" t="s">
        <v>36</v>
      </c>
      <c r="Y917" s="46" t="s">
        <v>36</v>
      </c>
      <c r="Z917" s="46" t="s">
        <v>36</v>
      </c>
      <c r="AA917" s="46" t="s">
        <v>37</v>
      </c>
      <c r="AB917" s="46" t="s">
        <v>59</v>
      </c>
      <c r="AC917" s="46" t="s">
        <v>59</v>
      </c>
      <c r="AD917" s="46" t="s">
        <v>59</v>
      </c>
      <c r="AE917" s="46" t="s">
        <v>59</v>
      </c>
      <c r="AF917" s="46" t="s">
        <v>59</v>
      </c>
      <c r="AG917" s="46" t="s">
        <v>59</v>
      </c>
      <c r="AH917" s="46" t="s">
        <v>37</v>
      </c>
      <c r="AI917" s="46" t="s">
        <v>36</v>
      </c>
      <c r="AJ917" s="46">
        <f>=SUM(E918:AI918)</f>
      </c>
      <c r="AK917" s="46">
        <f>=+AY917</f>
      </c>
      <c r="AL917" s="46"/>
      <c r="AM917" s="1"/>
      <c r="AN917" s="1">
        <f>=COUNTIF(E917:AI917,"A")+COUNTIF(E917:AI917,"B")+COUNTIF(E917:AI917,"C")+COUNTIF(E917:AI917,"D")+COUNTIF(E917:AI917,"E")+COUNTIF(E917:AI917,"F")+COUNTIF(E917:AI917,"M")+COUNTIF(E917:AI917,"AB")+COUNTIF(E917:AI917,"UZ")+COUNTIF(E917:AI917,"G")+(COUNTIF(E917:AI917,"RT.")/2)+(COUNTIF(E917:AI917,"ÇRT.")/2)</f>
      </c>
      <c r="AO917" s="1">
        <f>=COUNTIF(E917:AI917,"O")</f>
      </c>
      <c r="AP917" s="1">
        <f>=COUNTIF(E917:AI917,"RT")+(COUNTIF(E917:AI917,"RT.")/2)</f>
      </c>
      <c r="AQ917" s="1">
        <f>=COUNTIF(E917:AI917,"ÇRT")+(COUNTIF(E917:AI917,"ÇRT.")/2)</f>
      </c>
      <c r="AR917" s="1">
        <f>=COUNTIF(E917:AI917,"ÇHT")</f>
      </c>
      <c r="AS917" s="1">
        <f>=COUNTIF(E917:AI917,"Ö")+COUNTIF(E917:AI917,"T")</f>
      </c>
      <c r="AT917" s="1">
        <f>=COUNTIF(E917:AI917,"Y")</f>
      </c>
      <c r="AU917" s="1">
        <f>=COUNTIF(E917:AI917,"R.")</f>
      </c>
      <c r="AV917" s="1">
        <f>=COUNTIF(E917:AI917,"Ü")</f>
      </c>
      <c r="AW917" s="1">
        <f>=COUNTIF(E917:AI917,"R")</f>
      </c>
      <c r="AX917" s="1">
        <f>=COUNTIF(E917:AI917,"DV")</f>
      </c>
      <c r="AY917" s="1">
        <f>=+AN917+AO917+AP917+AQ917+AR917+AS917+AT917+AU917</f>
      </c>
    </row>
    <row r="918" ht="16" customHeight="1" spans="1:51" x14ac:dyDescent="0.25">
      <c r="A918" s="45"/>
      <c r="B918" s="46"/>
      <c r="C918" s="46"/>
      <c r="D918" s="46" t="s">
        <v>33</v>
      </c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  <c r="AB918" s="46"/>
      <c r="AC918" s="46"/>
      <c r="AD918" s="46"/>
      <c r="AE918" s="46"/>
      <c r="AF918" s="46"/>
      <c r="AG918" s="46"/>
      <c r="AH918" s="46"/>
      <c r="AI918" s="46"/>
      <c r="AJ918" s="46"/>
      <c r="AK918" s="46"/>
      <c r="AL918" s="46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</row>
    <row r="919" ht="16" customHeight="1" spans="1:51" x14ac:dyDescent="0.25">
      <c r="A919" s="45"/>
      <c r="B919" s="46" t="s">
        <v>964</v>
      </c>
      <c r="C919" s="46" t="s">
        <v>965</v>
      </c>
      <c r="D919" s="46" t="s">
        <v>29</v>
      </c>
      <c r="E919" s="46" t="s">
        <v>36</v>
      </c>
      <c r="F919" s="46" t="s">
        <v>36</v>
      </c>
      <c r="G919" s="46" t="s">
        <v>36</v>
      </c>
      <c r="H919" s="46" t="s">
        <v>36</v>
      </c>
      <c r="I919" s="46" t="s">
        <v>36</v>
      </c>
      <c r="J919" s="46" t="s">
        <v>36</v>
      </c>
      <c r="K919" s="46" t="s">
        <v>36</v>
      </c>
      <c r="L919" s="46" t="s">
        <v>37</v>
      </c>
      <c r="M919" s="46" t="s">
        <v>36</v>
      </c>
      <c r="N919" s="46" t="s">
        <v>36</v>
      </c>
      <c r="O919" s="46" t="s">
        <v>36</v>
      </c>
      <c r="P919" s="46" t="s">
        <v>36</v>
      </c>
      <c r="Q919" s="46" t="s">
        <v>36</v>
      </c>
      <c r="R919" s="46" t="s">
        <v>36</v>
      </c>
      <c r="S919" s="46" t="s">
        <v>37</v>
      </c>
      <c r="T919" s="46" t="s">
        <v>36</v>
      </c>
      <c r="U919" s="46" t="s">
        <v>36</v>
      </c>
      <c r="V919" s="46" t="s">
        <v>36</v>
      </c>
      <c r="W919" s="46" t="s">
        <v>36</v>
      </c>
      <c r="X919" s="46" t="s">
        <v>36</v>
      </c>
      <c r="Y919" s="46" t="s">
        <v>36</v>
      </c>
      <c r="Z919" s="46" t="s">
        <v>36</v>
      </c>
      <c r="AA919" s="46" t="s">
        <v>37</v>
      </c>
      <c r="AB919" s="46" t="s">
        <v>59</v>
      </c>
      <c r="AC919" s="46" t="s">
        <v>59</v>
      </c>
      <c r="AD919" s="46" t="s">
        <v>59</v>
      </c>
      <c r="AE919" s="46" t="s">
        <v>59</v>
      </c>
      <c r="AF919" s="46" t="s">
        <v>59</v>
      </c>
      <c r="AG919" s="46" t="s">
        <v>37</v>
      </c>
      <c r="AH919" s="46" t="s">
        <v>43</v>
      </c>
      <c r="AI919" s="46" t="s">
        <v>36</v>
      </c>
      <c r="AJ919" s="46">
        <f>=SUM(E920:AI920)</f>
      </c>
      <c r="AK919" s="46">
        <f>=+AY919</f>
      </c>
      <c r="AL919" s="46"/>
      <c r="AM919" s="1"/>
      <c r="AN919" s="1">
        <f>=COUNTIF(E919:AI919,"A")+COUNTIF(E919:AI919,"B")+COUNTIF(E919:AI919,"C")+COUNTIF(E919:AI919,"D")+COUNTIF(E919:AI919,"E")+COUNTIF(E919:AI919,"F")+COUNTIF(E919:AI919,"M")+COUNTIF(E919:AI919,"AB")+COUNTIF(E919:AI919,"UZ")+COUNTIF(E919:AI919,"G")+(COUNTIF(E919:AI919,"RT.")/2)+(COUNTIF(E919:AI919,"ÇRT.")/2)</f>
      </c>
      <c r="AO919" s="1">
        <f>=COUNTIF(E919:AI919,"O")</f>
      </c>
      <c r="AP919" s="1">
        <f>=COUNTIF(E919:AI919,"RT")+(COUNTIF(E919:AI919,"RT.")/2)</f>
      </c>
      <c r="AQ919" s="1">
        <f>=COUNTIF(E919:AI919,"ÇRT")+(COUNTIF(E919:AI919,"ÇRT.")/2)</f>
      </c>
      <c r="AR919" s="1">
        <f>=COUNTIF(E919:AI919,"ÇHT")</f>
      </c>
      <c r="AS919" s="1">
        <f>=COUNTIF(E919:AI919,"Ö")+COUNTIF(E919:AI919,"T")</f>
      </c>
      <c r="AT919" s="1">
        <f>=COUNTIF(E919:AI919,"Y")</f>
      </c>
      <c r="AU919" s="1">
        <f>=COUNTIF(E919:AI919,"R.")</f>
      </c>
      <c r="AV919" s="1">
        <f>=COUNTIF(E919:AI919,"Ü")</f>
      </c>
      <c r="AW919" s="1">
        <f>=COUNTIF(E919:AI919,"R")</f>
      </c>
      <c r="AX919" s="1">
        <f>=COUNTIF(E919:AI919,"DV")</f>
      </c>
      <c r="AY919" s="1">
        <f>=+AN919+AO919+AP919+AQ919+AR919+AS919+AT919+AU919</f>
      </c>
    </row>
    <row r="920" ht="16" customHeight="1" spans="1:51" x14ac:dyDescent="0.25">
      <c r="A920" s="45"/>
      <c r="B920" s="46"/>
      <c r="C920" s="46"/>
      <c r="D920" s="46" t="s">
        <v>33</v>
      </c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  <c r="AB920" s="46"/>
      <c r="AC920" s="46"/>
      <c r="AD920" s="46"/>
      <c r="AE920" s="46">
        <v>0</v>
      </c>
      <c r="AF920" s="46"/>
      <c r="AG920" s="46"/>
      <c r="AH920" s="46"/>
      <c r="AI920" s="46"/>
      <c r="AJ920" s="46"/>
      <c r="AK920" s="46"/>
      <c r="AL920" s="46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</row>
    <row r="921" ht="16" customHeight="1" spans="1:51" x14ac:dyDescent="0.25">
      <c r="A921" s="45"/>
      <c r="B921" s="46" t="s">
        <v>966</v>
      </c>
      <c r="C921" s="46" t="s">
        <v>967</v>
      </c>
      <c r="D921" s="46" t="s">
        <v>29</v>
      </c>
      <c r="E921" s="46" t="s">
        <v>59</v>
      </c>
      <c r="F921" s="46" t="s">
        <v>59</v>
      </c>
      <c r="G921" s="46" t="s">
        <v>59</v>
      </c>
      <c r="H921" s="46" t="s">
        <v>37</v>
      </c>
      <c r="I921" s="46" t="s">
        <v>59</v>
      </c>
      <c r="J921" s="46" t="s">
        <v>59</v>
      </c>
      <c r="K921" s="46" t="s">
        <v>59</v>
      </c>
      <c r="L921" s="46" t="s">
        <v>59</v>
      </c>
      <c r="M921" s="46" t="s">
        <v>59</v>
      </c>
      <c r="N921" s="46" t="s">
        <v>59</v>
      </c>
      <c r="O921" s="46" t="s">
        <v>37</v>
      </c>
      <c r="P921" s="46" t="s">
        <v>36</v>
      </c>
      <c r="Q921" s="46" t="s">
        <v>59</v>
      </c>
      <c r="R921" s="46" t="s">
        <v>59</v>
      </c>
      <c r="S921" s="46" t="s">
        <v>59</v>
      </c>
      <c r="T921" s="46" t="s">
        <v>59</v>
      </c>
      <c r="U921" s="46" t="s">
        <v>59</v>
      </c>
      <c r="V921" s="46" t="s">
        <v>59</v>
      </c>
      <c r="W921" s="46" t="s">
        <v>59</v>
      </c>
      <c r="X921" s="46" t="s">
        <v>46</v>
      </c>
      <c r="Y921" s="46" t="s">
        <v>36</v>
      </c>
      <c r="Z921" s="46" t="s">
        <v>37</v>
      </c>
      <c r="AA921" s="46" t="s">
        <v>36</v>
      </c>
      <c r="AB921" s="46" t="s">
        <v>36</v>
      </c>
      <c r="AC921" s="46" t="s">
        <v>37</v>
      </c>
      <c r="AD921" s="46" t="s">
        <v>36</v>
      </c>
      <c r="AE921" s="46" t="s">
        <v>36</v>
      </c>
      <c r="AF921" s="46" t="s">
        <v>36</v>
      </c>
      <c r="AG921" s="46" t="s">
        <v>36</v>
      </c>
      <c r="AH921" s="46" t="s">
        <v>43</v>
      </c>
      <c r="AI921" s="46" t="s">
        <v>36</v>
      </c>
      <c r="AJ921" s="46">
        <f>=SUM(E922:AI922)</f>
      </c>
      <c r="AK921" s="46">
        <f>=+AY921</f>
      </c>
      <c r="AL921" s="46"/>
      <c r="AM921" s="1"/>
      <c r="AN921" s="1">
        <f>=COUNTIF(E921:AI921,"A")+COUNTIF(E921:AI921,"B")+COUNTIF(E921:AI921,"C")+COUNTIF(E921:AI921,"D")+COUNTIF(E921:AI921,"E")+COUNTIF(E921:AI921,"F")+COUNTIF(E921:AI921,"M")+COUNTIF(E921:AI921,"AB")+COUNTIF(E921:AI921,"UZ")+COUNTIF(E921:AI921,"G")+(COUNTIF(E921:AI921,"RT.")/2)+(COUNTIF(E921:AI921,"ÇRT.")/2)</f>
      </c>
      <c r="AO921" s="1">
        <f>=COUNTIF(E921:AI921,"O")</f>
      </c>
      <c r="AP921" s="1">
        <f>=COUNTIF(E921:AI921,"RT")+(COUNTIF(E921:AI921,"RT.")/2)</f>
      </c>
      <c r="AQ921" s="1">
        <f>=COUNTIF(E921:AI921,"ÇRT")+(COUNTIF(E921:AI921,"ÇRT.")/2)</f>
      </c>
      <c r="AR921" s="1">
        <f>=COUNTIF(E921:AI921,"ÇHT")</f>
      </c>
      <c r="AS921" s="1">
        <f>=COUNTIF(E921:AI921,"Ö")+COUNTIF(E921:AI921,"T")</f>
      </c>
      <c r="AT921" s="1">
        <f>=COUNTIF(E921:AI921,"Y")</f>
      </c>
      <c r="AU921" s="1">
        <f>=COUNTIF(E921:AI921,"R.")</f>
      </c>
      <c r="AV921" s="1">
        <f>=COUNTIF(E921:AI921,"Ü")</f>
      </c>
      <c r="AW921" s="1">
        <f>=COUNTIF(E921:AI921,"R")</f>
      </c>
      <c r="AX921" s="1">
        <f>=COUNTIF(E921:AI921,"DV")</f>
      </c>
      <c r="AY921" s="1">
        <f>=+AN921+AO921+AP921+AQ921+AR921+AS921+AT921+AU921</f>
      </c>
    </row>
    <row r="922" ht="16" customHeight="1" spans="1:51" x14ac:dyDescent="0.25">
      <c r="A922" s="45"/>
      <c r="B922" s="46"/>
      <c r="C922" s="46"/>
      <c r="D922" s="46" t="s">
        <v>33</v>
      </c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  <c r="AB922" s="46"/>
      <c r="AC922" s="46"/>
      <c r="AD922" s="46"/>
      <c r="AE922" s="46"/>
      <c r="AF922" s="46"/>
      <c r="AG922" s="46"/>
      <c r="AH922" s="46"/>
      <c r="AI922" s="46"/>
      <c r="AJ922" s="46"/>
      <c r="AK922" s="46"/>
      <c r="AL922" s="46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</row>
    <row r="923" ht="16" customHeight="1" spans="1:51" x14ac:dyDescent="0.25">
      <c r="A923" s="45"/>
      <c r="B923" s="46" t="s">
        <v>968</v>
      </c>
      <c r="C923" s="46" t="s">
        <v>969</v>
      </c>
      <c r="D923" s="46" t="s">
        <v>29</v>
      </c>
      <c r="E923" s="46" t="s">
        <v>46</v>
      </c>
      <c r="F923" s="46" t="s">
        <v>46</v>
      </c>
      <c r="G923" s="46" t="s">
        <v>59</v>
      </c>
      <c r="H923" s="46" t="s">
        <v>37</v>
      </c>
      <c r="I923" s="46" t="s">
        <v>59</v>
      </c>
      <c r="J923" s="46" t="s">
        <v>59</v>
      </c>
      <c r="K923" s="46" t="s">
        <v>59</v>
      </c>
      <c r="L923" s="46" t="s">
        <v>59</v>
      </c>
      <c r="M923" s="46" t="s">
        <v>46</v>
      </c>
      <c r="N923" s="46" t="s">
        <v>36</v>
      </c>
      <c r="O923" s="46" t="s">
        <v>37</v>
      </c>
      <c r="P923" s="46" t="s">
        <v>36</v>
      </c>
      <c r="Q923" s="46" t="s">
        <v>36</v>
      </c>
      <c r="R923" s="46" t="s">
        <v>36</v>
      </c>
      <c r="S923" s="46" t="s">
        <v>36</v>
      </c>
      <c r="T923" s="46" t="s">
        <v>46</v>
      </c>
      <c r="U923" s="46" t="s">
        <v>59</v>
      </c>
      <c r="V923" s="46" t="s">
        <v>37</v>
      </c>
      <c r="W923" s="46" t="s">
        <v>59</v>
      </c>
      <c r="X923" s="46" t="s">
        <v>59</v>
      </c>
      <c r="Y923" s="46" t="s">
        <v>59</v>
      </c>
      <c r="Z923" s="46" t="s">
        <v>59</v>
      </c>
      <c r="AA923" s="46" t="s">
        <v>46</v>
      </c>
      <c r="AB923" s="46" t="s">
        <v>36</v>
      </c>
      <c r="AC923" s="46" t="s">
        <v>37</v>
      </c>
      <c r="AD923" s="46" t="s">
        <v>36</v>
      </c>
      <c r="AE923" s="46" t="s">
        <v>36</v>
      </c>
      <c r="AF923" s="46" t="s">
        <v>36</v>
      </c>
      <c r="AG923" s="46" t="s">
        <v>36</v>
      </c>
      <c r="AH923" s="46" t="s">
        <v>43</v>
      </c>
      <c r="AI923" s="46" t="s">
        <v>59</v>
      </c>
      <c r="AJ923" s="46">
        <f>=SUM(E924:AI924)</f>
      </c>
      <c r="AK923" s="46">
        <f>=+AY923</f>
      </c>
      <c r="AL923" s="46"/>
      <c r="AM923" s="1"/>
      <c r="AN923" s="1">
        <f>=COUNTIF(E923:AI923,"A")+COUNTIF(E923:AI923,"B")+COUNTIF(E923:AI923,"C")+COUNTIF(E923:AI923,"D")+COUNTIF(E923:AI923,"E")+COUNTIF(E923:AI923,"F")+COUNTIF(E923:AI923,"M")+COUNTIF(E923:AI923,"AB")+COUNTIF(E923:AI923,"UZ")+COUNTIF(E923:AI923,"G")+(COUNTIF(E923:AI923,"RT.")/2)+(COUNTIF(E923:AI923,"ÇRT.")/2)</f>
      </c>
      <c r="AO923" s="1">
        <f>=COUNTIF(E923:AI923,"O")</f>
      </c>
      <c r="AP923" s="1">
        <f>=COUNTIF(E923:AI923,"RT")+(COUNTIF(E923:AI923,"RT.")/2)</f>
      </c>
      <c r="AQ923" s="1">
        <f>=COUNTIF(E923:AI923,"ÇRT")+(COUNTIF(E923:AI923,"ÇRT.")/2)</f>
      </c>
      <c r="AR923" s="1">
        <f>=COUNTIF(E923:AI923,"ÇHT")</f>
      </c>
      <c r="AS923" s="1">
        <f>=COUNTIF(E923:AI923,"Ö")+COUNTIF(E923:AI923,"T")</f>
      </c>
      <c r="AT923" s="1">
        <f>=COUNTIF(E923:AI923,"Y")</f>
      </c>
      <c r="AU923" s="1">
        <f>=COUNTIF(E923:AI923,"R.")</f>
      </c>
      <c r="AV923" s="1">
        <f>=COUNTIF(E923:AI923,"Ü")</f>
      </c>
      <c r="AW923" s="1">
        <f>=COUNTIF(E923:AI923,"R")</f>
      </c>
      <c r="AX923" s="1">
        <f>=COUNTIF(E923:AI923,"DV")</f>
      </c>
      <c r="AY923" s="1">
        <f>=+AN923+AO923+AP923+AQ923+AR923+AS923+AT923+AU923</f>
      </c>
    </row>
    <row r="924" ht="16" customHeight="1" spans="1:51" x14ac:dyDescent="0.25">
      <c r="A924" s="45"/>
      <c r="B924" s="46"/>
      <c r="C924" s="46"/>
      <c r="D924" s="46" t="s">
        <v>33</v>
      </c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  <c r="AB924" s="46"/>
      <c r="AC924" s="46"/>
      <c r="AD924" s="46"/>
      <c r="AE924" s="46"/>
      <c r="AF924" s="46"/>
      <c r="AG924" s="46"/>
      <c r="AH924" s="46"/>
      <c r="AI924" s="46"/>
      <c r="AJ924" s="46"/>
      <c r="AK924" s="46"/>
      <c r="AL924" s="46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</row>
    <row r="925" ht="16" customHeight="1" spans="1:51" x14ac:dyDescent="0.25">
      <c r="A925" s="45"/>
      <c r="B925" s="46" t="s">
        <v>970</v>
      </c>
      <c r="C925" s="46" t="s">
        <v>971</v>
      </c>
      <c r="D925" s="46" t="s">
        <v>29</v>
      </c>
      <c r="E925" s="46" t="s">
        <v>36</v>
      </c>
      <c r="F925" s="46" t="s">
        <v>36</v>
      </c>
      <c r="G925" s="46" t="s">
        <v>46</v>
      </c>
      <c r="H925" s="46" t="s">
        <v>36</v>
      </c>
      <c r="I925" s="46" t="s">
        <v>36</v>
      </c>
      <c r="J925" s="46" t="s">
        <v>36</v>
      </c>
      <c r="K925" s="46" t="s">
        <v>37</v>
      </c>
      <c r="L925" s="46" t="s">
        <v>46</v>
      </c>
      <c r="M925" s="46" t="s">
        <v>36</v>
      </c>
      <c r="N925" s="46" t="s">
        <v>46</v>
      </c>
      <c r="O925" s="46" t="s">
        <v>36</v>
      </c>
      <c r="P925" s="46" t="s">
        <v>37</v>
      </c>
      <c r="Q925" s="46" t="s">
        <v>36</v>
      </c>
      <c r="R925" s="46" t="s">
        <v>36</v>
      </c>
      <c r="S925" s="46" t="s">
        <v>46</v>
      </c>
      <c r="T925" s="46" t="s">
        <v>36</v>
      </c>
      <c r="U925" s="46" t="s">
        <v>46</v>
      </c>
      <c r="V925" s="46" t="s">
        <v>36</v>
      </c>
      <c r="W925" s="46" t="s">
        <v>37</v>
      </c>
      <c r="X925" s="46" t="s">
        <v>46</v>
      </c>
      <c r="Y925" s="46" t="s">
        <v>36</v>
      </c>
      <c r="Z925" s="46" t="s">
        <v>36</v>
      </c>
      <c r="AA925" s="46" t="s">
        <v>36</v>
      </c>
      <c r="AB925" s="46" t="s">
        <v>46</v>
      </c>
      <c r="AC925" s="46" t="s">
        <v>36</v>
      </c>
      <c r="AD925" s="46" t="s">
        <v>37</v>
      </c>
      <c r="AE925" s="46" t="s">
        <v>36</v>
      </c>
      <c r="AF925" s="46" t="s">
        <v>46</v>
      </c>
      <c r="AG925" s="46" t="s">
        <v>36</v>
      </c>
      <c r="AH925" s="46" t="s">
        <v>43</v>
      </c>
      <c r="AI925" s="46" t="s">
        <v>46</v>
      </c>
      <c r="AJ925" s="46">
        <f>=SUM(E926:AI926)</f>
      </c>
      <c r="AK925" s="46">
        <f>=+AY925</f>
      </c>
      <c r="AL925" s="46"/>
      <c r="AM925" s="1"/>
      <c r="AN925" s="1">
        <f>=COUNTIF(E925:AI925,"A")+COUNTIF(E925:AI925,"B")+COUNTIF(E925:AI925,"C")+COUNTIF(E925:AI925,"D")+COUNTIF(E925:AI925,"E")+COUNTIF(E925:AI925,"F")+COUNTIF(E925:AI925,"M")+COUNTIF(E925:AI925,"AB")+COUNTIF(E925:AI925,"UZ")+COUNTIF(E925:AI925,"G")+(COUNTIF(E925:AI925,"RT.")/2)+(COUNTIF(E925:AI925,"ÇRT.")/2)</f>
      </c>
      <c r="AO925" s="1">
        <f>=COUNTIF(E925:AI925,"O")</f>
      </c>
      <c r="AP925" s="1">
        <f>=COUNTIF(E925:AI925,"RT")+(COUNTIF(E925:AI925,"RT.")/2)</f>
      </c>
      <c r="AQ925" s="1">
        <f>=COUNTIF(E925:AI925,"ÇRT")+(COUNTIF(E925:AI925,"ÇRT.")/2)</f>
      </c>
      <c r="AR925" s="1">
        <f>=COUNTIF(E925:AI925,"ÇHT")</f>
      </c>
      <c r="AS925" s="1">
        <f>=COUNTIF(E925:AI925,"Ö")+COUNTIF(E925:AI925,"T")</f>
      </c>
      <c r="AT925" s="1">
        <f>=COUNTIF(E925:AI925,"Y")</f>
      </c>
      <c r="AU925" s="1">
        <f>=COUNTIF(E925:AI925,"R.")</f>
      </c>
      <c r="AV925" s="1">
        <f>=COUNTIF(E925:AI925,"Ü")</f>
      </c>
      <c r="AW925" s="1">
        <f>=COUNTIF(E925:AI925,"R")</f>
      </c>
      <c r="AX925" s="1">
        <f>=COUNTIF(E925:AI925,"DV")</f>
      </c>
      <c r="AY925" s="1">
        <f>=+AN925+AO925+AP925+AQ925+AR925+AS925+AT925+AU925</f>
      </c>
    </row>
    <row r="926" ht="16" customHeight="1" spans="1:51" x14ac:dyDescent="0.25">
      <c r="A926" s="45"/>
      <c r="B926" s="46"/>
      <c r="C926" s="46"/>
      <c r="D926" s="46" t="s">
        <v>33</v>
      </c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  <c r="AB926" s="46"/>
      <c r="AC926" s="46"/>
      <c r="AD926" s="46"/>
      <c r="AE926" s="46"/>
      <c r="AF926" s="46"/>
      <c r="AG926" s="46"/>
      <c r="AH926" s="46"/>
      <c r="AI926" s="46"/>
      <c r="AJ926" s="46"/>
      <c r="AK926" s="46"/>
      <c r="AL926" s="46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</row>
    <row r="927" ht="16" customHeight="1" spans="1:51" x14ac:dyDescent="0.25">
      <c r="A927" s="45"/>
      <c r="B927" s="46" t="s">
        <v>972</v>
      </c>
      <c r="C927" s="46" t="s">
        <v>973</v>
      </c>
      <c r="D927" s="46" t="s">
        <v>29</v>
      </c>
      <c r="E927" s="46" t="s">
        <v>36</v>
      </c>
      <c r="F927" s="46" t="s">
        <v>36</v>
      </c>
      <c r="G927" s="46" t="s">
        <v>36</v>
      </c>
      <c r="H927" s="46" t="s">
        <v>36</v>
      </c>
      <c r="I927" s="46" t="s">
        <v>37</v>
      </c>
      <c r="J927" s="46" t="s">
        <v>31</v>
      </c>
      <c r="K927" s="46" t="s">
        <v>36</v>
      </c>
      <c r="L927" s="46" t="s">
        <v>36</v>
      </c>
      <c r="M927" s="46" t="s">
        <v>36</v>
      </c>
      <c r="N927" s="46" t="s">
        <v>36</v>
      </c>
      <c r="O927" s="46" t="s">
        <v>37</v>
      </c>
      <c r="P927" s="46" t="s">
        <v>36</v>
      </c>
      <c r="Q927" s="46" t="s">
        <v>36</v>
      </c>
      <c r="R927" s="46" t="s">
        <v>36</v>
      </c>
      <c r="S927" s="46" t="s">
        <v>36</v>
      </c>
      <c r="T927" s="46" t="s">
        <v>36</v>
      </c>
      <c r="U927" s="46" t="s">
        <v>36</v>
      </c>
      <c r="V927" s="46" t="s">
        <v>36</v>
      </c>
      <c r="W927" s="46" t="s">
        <v>36</v>
      </c>
      <c r="X927" s="46" t="s">
        <v>36</v>
      </c>
      <c r="Y927" s="46" t="s">
        <v>37</v>
      </c>
      <c r="Z927" s="46" t="s">
        <v>36</v>
      </c>
      <c r="AA927" s="46" t="s">
        <v>36</v>
      </c>
      <c r="AB927" s="46" t="s">
        <v>36</v>
      </c>
      <c r="AC927" s="46" t="s">
        <v>36</v>
      </c>
      <c r="AD927" s="46" t="s">
        <v>36</v>
      </c>
      <c r="AE927" s="46" t="s">
        <v>36</v>
      </c>
      <c r="AF927" s="46" t="s">
        <v>36</v>
      </c>
      <c r="AG927" s="46" t="s">
        <v>36</v>
      </c>
      <c r="AH927" s="46" t="s">
        <v>154</v>
      </c>
      <c r="AI927" s="46" t="s">
        <v>37</v>
      </c>
      <c r="AJ927" s="46">
        <f>=SUM(E928:AI928)</f>
      </c>
      <c r="AK927" s="46">
        <f>=+AY927</f>
      </c>
      <c r="AL927" s="46"/>
      <c r="AM927" s="1"/>
      <c r="AN927" s="1">
        <f>=COUNTIF(E927:AI927,"A")+COUNTIF(E927:AI927,"B")+COUNTIF(E927:AI927,"C")+COUNTIF(E927:AI927,"D")+COUNTIF(E927:AI927,"E")+COUNTIF(E927:AI927,"F")+COUNTIF(E927:AI927,"M")+COUNTIF(E927:AI927,"AB")+COUNTIF(E927:AI927,"UZ")+COUNTIF(E927:AI927,"G")+(COUNTIF(E927:AI927,"RT.")/2)+(COUNTIF(E927:AI927,"ÇRT.")/2)</f>
      </c>
      <c r="AO927" s="1">
        <f>=COUNTIF(E927:AI927,"O")</f>
      </c>
      <c r="AP927" s="1">
        <f>=COUNTIF(E927:AI927,"RT")+(COUNTIF(E927:AI927,"RT.")/2)</f>
      </c>
      <c r="AQ927" s="1">
        <f>=COUNTIF(E927:AI927,"ÇRT")+(COUNTIF(E927:AI927,"ÇRT.")/2)</f>
      </c>
      <c r="AR927" s="1">
        <f>=COUNTIF(E927:AI927,"ÇHT")</f>
      </c>
      <c r="AS927" s="1">
        <f>=COUNTIF(E927:AI927,"Ö")+COUNTIF(E927:AI927,"T")</f>
      </c>
      <c r="AT927" s="1">
        <f>=COUNTIF(E927:AI927,"Y")</f>
      </c>
      <c r="AU927" s="1">
        <f>=COUNTIF(E927:AI927,"R.")</f>
      </c>
      <c r="AV927" s="1">
        <f>=COUNTIF(E927:AI927,"Ü")</f>
      </c>
      <c r="AW927" s="1">
        <f>=COUNTIF(E927:AI927,"R")</f>
      </c>
      <c r="AX927" s="1">
        <f>=COUNTIF(E927:AI927,"DV")</f>
      </c>
      <c r="AY927" s="1">
        <f>=+AN927+AO927+AP927+AQ927+AR927+AS927+AT927+AU927</f>
      </c>
    </row>
    <row r="928" ht="16" customHeight="1" spans="1:51" x14ac:dyDescent="0.25">
      <c r="A928" s="45"/>
      <c r="B928" s="46"/>
      <c r="C928" s="46"/>
      <c r="D928" s="46" t="s">
        <v>33</v>
      </c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  <c r="AB928" s="46"/>
      <c r="AC928" s="46"/>
      <c r="AD928" s="46"/>
      <c r="AE928" s="46"/>
      <c r="AF928" s="46"/>
      <c r="AG928" s="46"/>
      <c r="AH928" s="46"/>
      <c r="AI928" s="46"/>
      <c r="AJ928" s="46"/>
      <c r="AK928" s="46"/>
      <c r="AL928" s="46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</row>
    <row r="929" ht="16" customHeight="1" spans="1:51" x14ac:dyDescent="0.25">
      <c r="A929" s="45"/>
      <c r="B929" s="46" t="s">
        <v>974</v>
      </c>
      <c r="C929" s="46" t="s">
        <v>975</v>
      </c>
      <c r="D929" s="46" t="s">
        <v>29</v>
      </c>
      <c r="E929" s="46" t="s">
        <v>36</v>
      </c>
      <c r="F929" s="46" t="s">
        <v>36</v>
      </c>
      <c r="G929" s="46" t="s">
        <v>37</v>
      </c>
      <c r="H929" s="46" t="s">
        <v>59</v>
      </c>
      <c r="I929" s="46" t="s">
        <v>59</v>
      </c>
      <c r="J929" s="46" t="s">
        <v>59</v>
      </c>
      <c r="K929" s="46" t="s">
        <v>59</v>
      </c>
      <c r="L929" s="46" t="s">
        <v>59</v>
      </c>
      <c r="M929" s="46" t="s">
        <v>59</v>
      </c>
      <c r="N929" s="46" t="s">
        <v>37</v>
      </c>
      <c r="O929" s="46" t="s">
        <v>59</v>
      </c>
      <c r="P929" s="46" t="s">
        <v>46</v>
      </c>
      <c r="Q929" s="46" t="s">
        <v>59</v>
      </c>
      <c r="R929" s="46" t="s">
        <v>59</v>
      </c>
      <c r="S929" s="46" t="s">
        <v>59</v>
      </c>
      <c r="T929" s="46" t="s">
        <v>59</v>
      </c>
      <c r="U929" s="46" t="s">
        <v>37</v>
      </c>
      <c r="V929" s="46" t="s">
        <v>59</v>
      </c>
      <c r="W929" s="46" t="s">
        <v>59</v>
      </c>
      <c r="X929" s="46" t="s">
        <v>59</v>
      </c>
      <c r="Y929" s="46" t="s">
        <v>59</v>
      </c>
      <c r="Z929" s="46" t="s">
        <v>59</v>
      </c>
      <c r="AA929" s="46" t="s">
        <v>59</v>
      </c>
      <c r="AB929" s="46" t="s">
        <v>37</v>
      </c>
      <c r="AC929" s="46" t="s">
        <v>36</v>
      </c>
      <c r="AD929" s="46" t="s">
        <v>36</v>
      </c>
      <c r="AE929" s="46" t="s">
        <v>36</v>
      </c>
      <c r="AF929" s="46" t="s">
        <v>36</v>
      </c>
      <c r="AG929" s="46" t="s">
        <v>36</v>
      </c>
      <c r="AH929" s="46" t="s">
        <v>43</v>
      </c>
      <c r="AI929" s="46" t="s">
        <v>37</v>
      </c>
      <c r="AJ929" s="46">
        <f>=SUM(E930:AI930)</f>
      </c>
      <c r="AK929" s="46">
        <f>=+AY929</f>
      </c>
      <c r="AL929" s="46"/>
      <c r="AM929" s="1"/>
      <c r="AN929" s="1">
        <f>=COUNTIF(E929:AI929,"A")+COUNTIF(E929:AI929,"B")+COUNTIF(E929:AI929,"C")+COUNTIF(E929:AI929,"D")+COUNTIF(E929:AI929,"E")+COUNTIF(E929:AI929,"F")+COUNTIF(E929:AI929,"M")+COUNTIF(E929:AI929,"AB")+COUNTIF(E929:AI929,"UZ")+COUNTIF(E929:AI929,"G")+(COUNTIF(E929:AI929,"RT.")/2)+(COUNTIF(E929:AI929,"ÇRT.")/2)</f>
      </c>
      <c r="AO929" s="1">
        <f>=COUNTIF(E929:AI929,"O")</f>
      </c>
      <c r="AP929" s="1">
        <f>=COUNTIF(E929:AI929,"RT")+(COUNTIF(E929:AI929,"RT.")/2)</f>
      </c>
      <c r="AQ929" s="1">
        <f>=COUNTIF(E929:AI929,"ÇRT")+(COUNTIF(E929:AI929,"ÇRT.")/2)</f>
      </c>
      <c r="AR929" s="1">
        <f>=COUNTIF(E929:AI929,"ÇHT")</f>
      </c>
      <c r="AS929" s="1">
        <f>=COUNTIF(E929:AI929,"Ö")+COUNTIF(E929:AI929,"T")</f>
      </c>
      <c r="AT929" s="1">
        <f>=COUNTIF(E929:AI929,"Y")</f>
      </c>
      <c r="AU929" s="1">
        <f>=COUNTIF(E929:AI929,"R.")</f>
      </c>
      <c r="AV929" s="1">
        <f>=COUNTIF(E929:AI929,"Ü")</f>
      </c>
      <c r="AW929" s="1">
        <f>=COUNTIF(E929:AI929,"R")</f>
      </c>
      <c r="AX929" s="1">
        <f>=COUNTIF(E929:AI929,"DV")</f>
      </c>
      <c r="AY929" s="1">
        <f>=+AN929+AO929+AP929+AQ929+AR929+AS929+AT929+AU929</f>
      </c>
    </row>
    <row r="930" ht="16" customHeight="1" spans="1:51" x14ac:dyDescent="0.25">
      <c r="A930" s="45"/>
      <c r="B930" s="46"/>
      <c r="C930" s="46"/>
      <c r="D930" s="46" t="s">
        <v>33</v>
      </c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  <c r="AC930" s="46"/>
      <c r="AD930" s="46"/>
      <c r="AE930" s="46"/>
      <c r="AF930" s="46"/>
      <c r="AG930" s="46"/>
      <c r="AH930" s="46"/>
      <c r="AI930" s="46"/>
      <c r="AJ930" s="46"/>
      <c r="AK930" s="46"/>
      <c r="AL930" s="46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</row>
    <row r="931" ht="16" customHeight="1" spans="1:51" x14ac:dyDescent="0.25">
      <c r="A931" s="45"/>
      <c r="B931" s="46" t="s">
        <v>976</v>
      </c>
      <c r="C931" s="46" t="s">
        <v>977</v>
      </c>
      <c r="D931" s="46" t="s">
        <v>29</v>
      </c>
      <c r="E931" s="46" t="s">
        <v>46</v>
      </c>
      <c r="F931" s="46" t="s">
        <v>37</v>
      </c>
      <c r="G931" s="46" t="s">
        <v>30</v>
      </c>
      <c r="H931" s="46" t="s">
        <v>30</v>
      </c>
      <c r="I931" s="46" t="s">
        <v>30</v>
      </c>
      <c r="J931" s="46" t="s">
        <v>30</v>
      </c>
      <c r="K931" s="46" t="s">
        <v>30</v>
      </c>
      <c r="L931" s="46" t="s">
        <v>30</v>
      </c>
      <c r="M931" s="46" t="s">
        <v>37</v>
      </c>
      <c r="N931" s="46" t="s">
        <v>59</v>
      </c>
      <c r="O931" s="46" t="s">
        <v>37</v>
      </c>
      <c r="P931" s="46" t="s">
        <v>59</v>
      </c>
      <c r="Q931" s="46" t="s">
        <v>59</v>
      </c>
      <c r="R931" s="46" t="s">
        <v>36</v>
      </c>
      <c r="S931" s="46" t="s">
        <v>36</v>
      </c>
      <c r="T931" s="46" t="s">
        <v>36</v>
      </c>
      <c r="U931" s="46" t="s">
        <v>36</v>
      </c>
      <c r="V931" s="46" t="s">
        <v>36</v>
      </c>
      <c r="W931" s="46" t="s">
        <v>37</v>
      </c>
      <c r="X931" s="46" t="s">
        <v>36</v>
      </c>
      <c r="Y931" s="46" t="s">
        <v>36</v>
      </c>
      <c r="Z931" s="46" t="s">
        <v>46</v>
      </c>
      <c r="AA931" s="46" t="s">
        <v>59</v>
      </c>
      <c r="AB931" s="46" t="s">
        <v>46</v>
      </c>
      <c r="AC931" s="46" t="s">
        <v>36</v>
      </c>
      <c r="AD931" s="46" t="s">
        <v>36</v>
      </c>
      <c r="AE931" s="46" t="s">
        <v>46</v>
      </c>
      <c r="AF931" s="46" t="s">
        <v>37</v>
      </c>
      <c r="AG931" s="46" t="s">
        <v>36</v>
      </c>
      <c r="AH931" s="46" t="s">
        <v>43</v>
      </c>
      <c r="AI931" s="46" t="s">
        <v>36</v>
      </c>
      <c r="AJ931" s="46">
        <f>=SUM(E932:AI932)</f>
      </c>
      <c r="AK931" s="46">
        <f>=+AY931</f>
      </c>
      <c r="AL931" s="46"/>
      <c r="AM931" s="1"/>
      <c r="AN931" s="1">
        <f>=COUNTIF(E931:AI931,"A")+COUNTIF(E931:AI931,"B")+COUNTIF(E931:AI931,"C")+COUNTIF(E931:AI931,"D")+COUNTIF(E931:AI931,"E")+COUNTIF(E931:AI931,"F")+COUNTIF(E931:AI931,"M")+COUNTIF(E931:AI931,"AB")+COUNTIF(E931:AI931,"UZ")+COUNTIF(E931:AI931,"G")+(COUNTIF(E931:AI931,"RT.")/2)+(COUNTIF(E931:AI931,"ÇRT.")/2)</f>
      </c>
      <c r="AO931" s="1">
        <f>=COUNTIF(E931:AI931,"O")</f>
      </c>
      <c r="AP931" s="1">
        <f>=COUNTIF(E931:AI931,"RT")+(COUNTIF(E931:AI931,"RT.")/2)</f>
      </c>
      <c r="AQ931" s="1">
        <f>=COUNTIF(E931:AI931,"ÇRT")+(COUNTIF(E931:AI931,"ÇRT.")/2)</f>
      </c>
      <c r="AR931" s="1">
        <f>=COUNTIF(E931:AI931,"ÇHT")</f>
      </c>
      <c r="AS931" s="1">
        <f>=COUNTIF(E931:AI931,"Ö")+COUNTIF(E931:AI931,"T")</f>
      </c>
      <c r="AT931" s="1">
        <f>=COUNTIF(E931:AI931,"Y")</f>
      </c>
      <c r="AU931" s="1">
        <f>=COUNTIF(E931:AI931,"R.")</f>
      </c>
      <c r="AV931" s="1">
        <f>=COUNTIF(E931:AI931,"Ü")</f>
      </c>
      <c r="AW931" s="1">
        <f>=COUNTIF(E931:AI931,"R")</f>
      </c>
      <c r="AX931" s="1">
        <f>=COUNTIF(E931:AI931,"DV")</f>
      </c>
      <c r="AY931" s="1">
        <f>=+AN931+AO931+AP931+AQ931+AR931+AS931+AT931+AU931</f>
      </c>
    </row>
    <row r="932" ht="16" customHeight="1" spans="1:51" x14ac:dyDescent="0.25">
      <c r="A932" s="45"/>
      <c r="B932" s="46"/>
      <c r="C932" s="46"/>
      <c r="D932" s="46" t="s">
        <v>33</v>
      </c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  <c r="AC932" s="46"/>
      <c r="AD932" s="46"/>
      <c r="AE932" s="46"/>
      <c r="AF932" s="46"/>
      <c r="AG932" s="46"/>
      <c r="AH932" s="46"/>
      <c r="AI932" s="46"/>
      <c r="AJ932" s="46"/>
      <c r="AK932" s="46"/>
      <c r="AL932" s="46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</row>
    <row r="933" ht="16" customHeight="1" spans="1:51" x14ac:dyDescent="0.25">
      <c r="A933" s="45"/>
      <c r="B933" s="46" t="s">
        <v>978</v>
      </c>
      <c r="C933" s="46" t="s">
        <v>979</v>
      </c>
      <c r="D933" s="46" t="s">
        <v>29</v>
      </c>
      <c r="E933" s="46" t="s">
        <v>36</v>
      </c>
      <c r="F933" s="46" t="s">
        <v>36</v>
      </c>
      <c r="G933" s="46" t="s">
        <v>36</v>
      </c>
      <c r="H933" s="46" t="s">
        <v>36</v>
      </c>
      <c r="I933" s="46" t="s">
        <v>36</v>
      </c>
      <c r="J933" s="46" t="s">
        <v>37</v>
      </c>
      <c r="K933" s="46" t="s">
        <v>59</v>
      </c>
      <c r="L933" s="46" t="s">
        <v>59</v>
      </c>
      <c r="M933" s="46" t="s">
        <v>46</v>
      </c>
      <c r="N933" s="46" t="s">
        <v>46</v>
      </c>
      <c r="O933" s="46" t="s">
        <v>59</v>
      </c>
      <c r="P933" s="46" t="s">
        <v>59</v>
      </c>
      <c r="Q933" s="46" t="s">
        <v>37</v>
      </c>
      <c r="R933" s="46" t="s">
        <v>46</v>
      </c>
      <c r="S933" s="46" t="s">
        <v>46</v>
      </c>
      <c r="T933" s="46" t="s">
        <v>59</v>
      </c>
      <c r="U933" s="46" t="s">
        <v>46</v>
      </c>
      <c r="V933" s="46" t="s">
        <v>59</v>
      </c>
      <c r="W933" s="46" t="s">
        <v>46</v>
      </c>
      <c r="X933" s="46" t="s">
        <v>36</v>
      </c>
      <c r="Y933" s="46" t="s">
        <v>36</v>
      </c>
      <c r="Z933" s="46" t="s">
        <v>37</v>
      </c>
      <c r="AA933" s="46" t="s">
        <v>36</v>
      </c>
      <c r="AB933" s="46" t="s">
        <v>59</v>
      </c>
      <c r="AC933" s="46" t="s">
        <v>59</v>
      </c>
      <c r="AD933" s="46" t="s">
        <v>59</v>
      </c>
      <c r="AE933" s="46" t="s">
        <v>37</v>
      </c>
      <c r="AF933" s="46" t="s">
        <v>36</v>
      </c>
      <c r="AG933" s="46" t="s">
        <v>36</v>
      </c>
      <c r="AH933" s="46" t="s">
        <v>43</v>
      </c>
      <c r="AI933" s="46" t="s">
        <v>36</v>
      </c>
      <c r="AJ933" s="46">
        <f>=SUM(E934:AI934)</f>
      </c>
      <c r="AK933" s="46">
        <f>=+AY933</f>
      </c>
      <c r="AL933" s="46"/>
      <c r="AM933" s="1"/>
      <c r="AN933" s="1">
        <f>=COUNTIF(E933:AI933,"A")+COUNTIF(E933:AI933,"B")+COUNTIF(E933:AI933,"C")+COUNTIF(E933:AI933,"D")+COUNTIF(E933:AI933,"E")+COUNTIF(E933:AI933,"F")+COUNTIF(E933:AI933,"M")+COUNTIF(E933:AI933,"AB")+COUNTIF(E933:AI933,"UZ")+COUNTIF(E933:AI933,"G")+(COUNTIF(E933:AI933,"RT.")/2)+(COUNTIF(E933:AI933,"ÇRT.")/2)</f>
      </c>
      <c r="AO933" s="1">
        <f>=COUNTIF(E933:AI933,"O")</f>
      </c>
      <c r="AP933" s="1">
        <f>=COUNTIF(E933:AI933,"RT")+(COUNTIF(E933:AI933,"RT.")/2)</f>
      </c>
      <c r="AQ933" s="1">
        <f>=COUNTIF(E933:AI933,"ÇRT")+(COUNTIF(E933:AI933,"ÇRT.")/2)</f>
      </c>
      <c r="AR933" s="1">
        <f>=COUNTIF(E933:AI933,"ÇHT")</f>
      </c>
      <c r="AS933" s="1">
        <f>=COUNTIF(E933:AI933,"Ö")+COUNTIF(E933:AI933,"T")</f>
      </c>
      <c r="AT933" s="1">
        <f>=COUNTIF(E933:AI933,"Y")</f>
      </c>
      <c r="AU933" s="1">
        <f>=COUNTIF(E933:AI933,"R.")</f>
      </c>
      <c r="AV933" s="1">
        <f>=COUNTIF(E933:AI933,"Ü")</f>
      </c>
      <c r="AW933" s="1">
        <f>=COUNTIF(E933:AI933,"R")</f>
      </c>
      <c r="AX933" s="1">
        <f>=COUNTIF(E933:AI933,"DV")</f>
      </c>
      <c r="AY933" s="1">
        <f>=+AN933+AO933+AP933+AQ933+AR933+AS933+AT933+AU933</f>
      </c>
    </row>
    <row r="934" ht="16" customHeight="1" spans="1:51" x14ac:dyDescent="0.25">
      <c r="A934" s="45"/>
      <c r="B934" s="46"/>
      <c r="C934" s="46"/>
      <c r="D934" s="46" t="s">
        <v>33</v>
      </c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  <c r="AC934" s="46"/>
      <c r="AD934" s="46"/>
      <c r="AE934" s="46"/>
      <c r="AF934" s="46"/>
      <c r="AG934" s="46"/>
      <c r="AH934" s="46"/>
      <c r="AI934" s="46"/>
      <c r="AJ934" s="46"/>
      <c r="AK934" s="46"/>
      <c r="AL934" s="46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</row>
    <row r="935" ht="16" customHeight="1" spans="1:51" x14ac:dyDescent="0.25">
      <c r="A935" s="45"/>
      <c r="B935" s="46" t="s">
        <v>980</v>
      </c>
      <c r="C935" s="46" t="s">
        <v>981</v>
      </c>
      <c r="D935" s="46" t="s">
        <v>29</v>
      </c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 t="s">
        <v>36</v>
      </c>
      <c r="Y935" s="46" t="s">
        <v>36</v>
      </c>
      <c r="Z935" s="46" t="s">
        <v>36</v>
      </c>
      <c r="AA935" s="46" t="s">
        <v>36</v>
      </c>
      <c r="AB935" s="46" t="s">
        <v>36</v>
      </c>
      <c r="AC935" s="46" t="s">
        <v>36</v>
      </c>
      <c r="AD935" s="46" t="s">
        <v>37</v>
      </c>
      <c r="AE935" s="46" t="s">
        <v>36</v>
      </c>
      <c r="AF935" s="46" t="s">
        <v>36</v>
      </c>
      <c r="AG935" s="46" t="s">
        <v>36</v>
      </c>
      <c r="AH935" s="46" t="s">
        <v>43</v>
      </c>
      <c r="AI935" s="46" t="s">
        <v>36</v>
      </c>
      <c r="AJ935" s="46">
        <f>=SUM(E936:AI936)</f>
      </c>
      <c r="AK935" s="46">
        <f>=+AY935</f>
      </c>
      <c r="AL935" s="46"/>
      <c r="AM935" s="1"/>
      <c r="AN935" s="1">
        <f>=COUNTIF(E935:AI935,"A")+COUNTIF(E935:AI935,"B")+COUNTIF(E935:AI935,"C")+COUNTIF(E935:AI935,"D")+COUNTIF(E935:AI935,"E")+COUNTIF(E935:AI935,"F")+COUNTIF(E935:AI935,"M")+COUNTIF(E935:AI935,"AB")+COUNTIF(E935:AI935,"UZ")+COUNTIF(E935:AI935,"G")+(COUNTIF(E935:AI935,"RT.")/2)+(COUNTIF(E935:AI935,"ÇRT.")/2)</f>
      </c>
      <c r="AO935" s="1">
        <f>=COUNTIF(E935:AI935,"O")</f>
      </c>
      <c r="AP935" s="1">
        <f>=COUNTIF(E935:AI935,"RT")+(COUNTIF(E935:AI935,"RT.")/2)</f>
      </c>
      <c r="AQ935" s="1">
        <f>=COUNTIF(E935:AI935,"ÇRT")+(COUNTIF(E935:AI935,"ÇRT.")/2)</f>
      </c>
      <c r="AR935" s="1">
        <f>=COUNTIF(E935:AI935,"ÇHT")</f>
      </c>
      <c r="AS935" s="1">
        <f>=COUNTIF(E935:AI935,"Ö")+COUNTIF(E935:AI935,"T")</f>
      </c>
      <c r="AT935" s="1">
        <f>=COUNTIF(E935:AI935,"Y")</f>
      </c>
      <c r="AU935" s="1">
        <f>=COUNTIF(E935:AI935,"R.")</f>
      </c>
      <c r="AV935" s="1">
        <f>=COUNTIF(E935:AI935,"Ü")</f>
      </c>
      <c r="AW935" s="1">
        <f>=COUNTIF(E935:AI935,"R")</f>
      </c>
      <c r="AX935" s="1">
        <f>=COUNTIF(E935:AI935,"DV")</f>
      </c>
      <c r="AY935" s="1">
        <f>=+AN935+AO935+AP935+AQ935+AR935+AS935+AT935+AU935</f>
      </c>
    </row>
    <row r="936" ht="16" customHeight="1" spans="1:51" x14ac:dyDescent="0.25">
      <c r="A936" s="45"/>
      <c r="B936" s="46"/>
      <c r="C936" s="46"/>
      <c r="D936" s="46" t="s">
        <v>33</v>
      </c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  <c r="AC936" s="46"/>
      <c r="AD936" s="46"/>
      <c r="AE936" s="46"/>
      <c r="AF936" s="46"/>
      <c r="AG936" s="46"/>
      <c r="AH936" s="46"/>
      <c r="AI936" s="46"/>
      <c r="AJ936" s="46"/>
      <c r="AK936" s="46"/>
      <c r="AL936" s="46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</row>
    <row r="937" ht="16" customHeight="1" spans="1:51" x14ac:dyDescent="0.25">
      <c r="A937" s="45"/>
      <c r="B937" s="46" t="s">
        <v>982</v>
      </c>
      <c r="C937" s="46" t="s">
        <v>983</v>
      </c>
      <c r="D937" s="46" t="s">
        <v>29</v>
      </c>
      <c r="E937" s="46" t="s">
        <v>46</v>
      </c>
      <c r="F937" s="46" t="s">
        <v>46</v>
      </c>
      <c r="G937" s="46" t="s">
        <v>36</v>
      </c>
      <c r="H937" s="46" t="s">
        <v>46</v>
      </c>
      <c r="I937" s="46" t="s">
        <v>36</v>
      </c>
      <c r="J937" s="46" t="s">
        <v>46</v>
      </c>
      <c r="K937" s="46" t="s">
        <v>59</v>
      </c>
      <c r="L937" s="46" t="s">
        <v>46</v>
      </c>
      <c r="M937" s="46" t="s">
        <v>37</v>
      </c>
      <c r="N937" s="46" t="s">
        <v>36</v>
      </c>
      <c r="O937" s="46" t="s">
        <v>36</v>
      </c>
      <c r="P937" s="46" t="s">
        <v>46</v>
      </c>
      <c r="Q937" s="46" t="s">
        <v>36</v>
      </c>
      <c r="R937" s="46" t="s">
        <v>59</v>
      </c>
      <c r="S937" s="46" t="s">
        <v>59</v>
      </c>
      <c r="T937" s="46" t="s">
        <v>37</v>
      </c>
      <c r="U937" s="46" t="s">
        <v>36</v>
      </c>
      <c r="V937" s="46" t="s">
        <v>36</v>
      </c>
      <c r="W937" s="46" t="s">
        <v>37</v>
      </c>
      <c r="X937" s="46" t="s">
        <v>36</v>
      </c>
      <c r="Y937" s="46" t="s">
        <v>46</v>
      </c>
      <c r="Z937" s="46" t="s">
        <v>36</v>
      </c>
      <c r="AA937" s="46" t="s">
        <v>36</v>
      </c>
      <c r="AB937" s="46" t="s">
        <v>37</v>
      </c>
      <c r="AC937" s="46" t="s">
        <v>59</v>
      </c>
      <c r="AD937" s="46" t="s">
        <v>59</v>
      </c>
      <c r="AE937" s="46" t="s">
        <v>46</v>
      </c>
      <c r="AF937" s="46" t="s">
        <v>59</v>
      </c>
      <c r="AG937" s="46" t="s">
        <v>46</v>
      </c>
      <c r="AH937" s="46" t="s">
        <v>43</v>
      </c>
      <c r="AI937" s="46" t="s">
        <v>46</v>
      </c>
      <c r="AJ937" s="46">
        <f>=SUM(E938:AI938)</f>
      </c>
      <c r="AK937" s="46">
        <f>=+AY937</f>
      </c>
      <c r="AL937" s="46"/>
      <c r="AM937" s="1"/>
      <c r="AN937" s="1">
        <f>=COUNTIF(E937:AI937,"A")+COUNTIF(E937:AI937,"B")+COUNTIF(E937:AI937,"C")+COUNTIF(E937:AI937,"D")+COUNTIF(E937:AI937,"E")+COUNTIF(E937:AI937,"F")+COUNTIF(E937:AI937,"M")+COUNTIF(E937:AI937,"AB")+COUNTIF(E937:AI937,"UZ")+COUNTIF(E937:AI937,"G")+(COUNTIF(E937:AI937,"RT.")/2)+(COUNTIF(E937:AI937,"ÇRT.")/2)</f>
      </c>
      <c r="AO937" s="1">
        <f>=COUNTIF(E937:AI937,"O")</f>
      </c>
      <c r="AP937" s="1">
        <f>=COUNTIF(E937:AI937,"RT")+(COUNTIF(E937:AI937,"RT.")/2)</f>
      </c>
      <c r="AQ937" s="1">
        <f>=COUNTIF(E937:AI937,"ÇRT")+(COUNTIF(E937:AI937,"ÇRT.")/2)</f>
      </c>
      <c r="AR937" s="1">
        <f>=COUNTIF(E937:AI937,"ÇHT")</f>
      </c>
      <c r="AS937" s="1">
        <f>=COUNTIF(E937:AI937,"Ö")+COUNTIF(E937:AI937,"T")</f>
      </c>
      <c r="AT937" s="1">
        <f>=COUNTIF(E937:AI937,"Y")</f>
      </c>
      <c r="AU937" s="1">
        <f>=COUNTIF(E937:AI937,"R.")</f>
      </c>
      <c r="AV937" s="1">
        <f>=COUNTIF(E937:AI937,"Ü")</f>
      </c>
      <c r="AW937" s="1">
        <f>=COUNTIF(E937:AI937,"R")</f>
      </c>
      <c r="AX937" s="1">
        <f>=COUNTIF(E937:AI937,"DV")</f>
      </c>
      <c r="AY937" s="1">
        <f>=+AN937+AO937+AP937+AQ937+AR937+AS937+AT937+AU937</f>
      </c>
    </row>
    <row r="938" ht="16" customHeight="1" spans="1:51" x14ac:dyDescent="0.25">
      <c r="A938" s="45"/>
      <c r="B938" s="46"/>
      <c r="C938" s="46"/>
      <c r="D938" s="46" t="s">
        <v>33</v>
      </c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  <c r="AC938" s="46"/>
      <c r="AD938" s="46"/>
      <c r="AE938" s="46"/>
      <c r="AF938" s="46"/>
      <c r="AG938" s="46"/>
      <c r="AH938" s="46"/>
      <c r="AI938" s="46"/>
      <c r="AJ938" s="46"/>
      <c r="AK938" s="46"/>
      <c r="AL938" s="46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</row>
    <row r="939" ht="16" customHeight="1" spans="1:51" x14ac:dyDescent="0.25">
      <c r="A939" s="45"/>
      <c r="B939" s="46" t="s">
        <v>984</v>
      </c>
      <c r="C939" s="46" t="s">
        <v>985</v>
      </c>
      <c r="D939" s="46" t="s">
        <v>29</v>
      </c>
      <c r="E939" s="46" t="s">
        <v>36</v>
      </c>
      <c r="F939" s="46" t="s">
        <v>36</v>
      </c>
      <c r="G939" s="46" t="s">
        <v>59</v>
      </c>
      <c r="H939" s="46" t="s">
        <v>37</v>
      </c>
      <c r="I939" s="46" t="s">
        <v>59</v>
      </c>
      <c r="J939" s="46" t="s">
        <v>59</v>
      </c>
      <c r="K939" s="46" t="s">
        <v>59</v>
      </c>
      <c r="L939" s="46" t="s">
        <v>46</v>
      </c>
      <c r="M939" s="46" t="s">
        <v>46</v>
      </c>
      <c r="N939" s="46" t="s">
        <v>59</v>
      </c>
      <c r="O939" s="46" t="s">
        <v>46</v>
      </c>
      <c r="P939" s="46" t="s">
        <v>37</v>
      </c>
      <c r="Q939" s="46" t="s">
        <v>59</v>
      </c>
      <c r="R939" s="46" t="s">
        <v>59</v>
      </c>
      <c r="S939" s="46" t="s">
        <v>46</v>
      </c>
      <c r="T939" s="46" t="s">
        <v>46</v>
      </c>
      <c r="U939" s="46" t="s">
        <v>59</v>
      </c>
      <c r="V939" s="46" t="s">
        <v>46</v>
      </c>
      <c r="W939" s="46" t="s">
        <v>37</v>
      </c>
      <c r="X939" s="46" t="s">
        <v>36</v>
      </c>
      <c r="Y939" s="46" t="s">
        <v>36</v>
      </c>
      <c r="Z939" s="46" t="s">
        <v>36</v>
      </c>
      <c r="AA939" s="46" t="s">
        <v>36</v>
      </c>
      <c r="AB939" s="46" t="s">
        <v>36</v>
      </c>
      <c r="AC939" s="46" t="s">
        <v>36</v>
      </c>
      <c r="AD939" s="46" t="s">
        <v>37</v>
      </c>
      <c r="AE939" s="46" t="s">
        <v>59</v>
      </c>
      <c r="AF939" s="46" t="s">
        <v>59</v>
      </c>
      <c r="AG939" s="46" t="s">
        <v>59</v>
      </c>
      <c r="AH939" s="46" t="s">
        <v>43</v>
      </c>
      <c r="AI939" s="46" t="s">
        <v>46</v>
      </c>
      <c r="AJ939" s="46">
        <f>=SUM(E940:AI940)</f>
      </c>
      <c r="AK939" s="46">
        <f>=+AY939</f>
      </c>
      <c r="AL939" s="46"/>
      <c r="AM939" s="1"/>
      <c r="AN939" s="1">
        <f>=COUNTIF(E939:AI939,"A")+COUNTIF(E939:AI939,"B")+COUNTIF(E939:AI939,"C")+COUNTIF(E939:AI939,"D")+COUNTIF(E939:AI939,"E")+COUNTIF(E939:AI939,"F")+COUNTIF(E939:AI939,"M")+COUNTIF(E939:AI939,"AB")+COUNTIF(E939:AI939,"UZ")+COUNTIF(E939:AI939,"G")+(COUNTIF(E939:AI939,"RT.")/2)+(COUNTIF(E939:AI939,"ÇRT.")/2)</f>
      </c>
      <c r="AO939" s="1">
        <f>=COUNTIF(E939:AI939,"O")</f>
      </c>
      <c r="AP939" s="1">
        <f>=COUNTIF(E939:AI939,"RT")+(COUNTIF(E939:AI939,"RT.")/2)</f>
      </c>
      <c r="AQ939" s="1">
        <f>=COUNTIF(E939:AI939,"ÇRT")+(COUNTIF(E939:AI939,"ÇRT.")/2)</f>
      </c>
      <c r="AR939" s="1">
        <f>=COUNTIF(E939:AI939,"ÇHT")</f>
      </c>
      <c r="AS939" s="1">
        <f>=COUNTIF(E939:AI939,"Ö")+COUNTIF(E939:AI939,"T")</f>
      </c>
      <c r="AT939" s="1">
        <f>=COUNTIF(E939:AI939,"Y")</f>
      </c>
      <c r="AU939" s="1">
        <f>=COUNTIF(E939:AI939,"R.")</f>
      </c>
      <c r="AV939" s="1">
        <f>=COUNTIF(E939:AI939,"Ü")</f>
      </c>
      <c r="AW939" s="1">
        <f>=COUNTIF(E939:AI939,"R")</f>
      </c>
      <c r="AX939" s="1">
        <f>=COUNTIF(E939:AI939,"DV")</f>
      </c>
      <c r="AY939" s="1">
        <f>=+AN939+AO939+AP939+AQ939+AR939+AS939+AT939+AU939</f>
      </c>
    </row>
    <row r="940" ht="16" customHeight="1" spans="1:51" x14ac:dyDescent="0.25">
      <c r="A940" s="45"/>
      <c r="B940" s="46"/>
      <c r="C940" s="46"/>
      <c r="D940" s="46" t="s">
        <v>33</v>
      </c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  <c r="AC940" s="46"/>
      <c r="AD940" s="46"/>
      <c r="AE940" s="46"/>
      <c r="AF940" s="46"/>
      <c r="AG940" s="46"/>
      <c r="AH940" s="46"/>
      <c r="AI940" s="46"/>
      <c r="AJ940" s="46"/>
      <c r="AK940" s="46"/>
      <c r="AL940" s="46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</row>
    <row r="941" ht="16" customHeight="1" spans="1:51" x14ac:dyDescent="0.25">
      <c r="A941" s="45"/>
      <c r="B941" s="46" t="s">
        <v>986</v>
      </c>
      <c r="C941" s="46" t="s">
        <v>987</v>
      </c>
      <c r="D941" s="46" t="s">
        <v>29</v>
      </c>
      <c r="E941" s="46" t="s">
        <v>59</v>
      </c>
      <c r="F941" s="46" t="s">
        <v>59</v>
      </c>
      <c r="G941" s="46" t="s">
        <v>59</v>
      </c>
      <c r="H941" s="46" t="s">
        <v>59</v>
      </c>
      <c r="I941" s="46" t="s">
        <v>59</v>
      </c>
      <c r="J941" s="46" t="s">
        <v>59</v>
      </c>
      <c r="K941" s="46" t="s">
        <v>37</v>
      </c>
      <c r="L941" s="46" t="s">
        <v>59</v>
      </c>
      <c r="M941" s="46" t="s">
        <v>59</v>
      </c>
      <c r="N941" s="46" t="s">
        <v>37</v>
      </c>
      <c r="O941" s="46" t="s">
        <v>30</v>
      </c>
      <c r="P941" s="46" t="s">
        <v>30</v>
      </c>
      <c r="Q941" s="46" t="s">
        <v>30</v>
      </c>
      <c r="R941" s="46" t="s">
        <v>30</v>
      </c>
      <c r="S941" s="46" t="s">
        <v>30</v>
      </c>
      <c r="T941" s="46" t="s">
        <v>30</v>
      </c>
      <c r="U941" s="46" t="s">
        <v>37</v>
      </c>
      <c r="V941" s="46" t="s">
        <v>30</v>
      </c>
      <c r="W941" s="46" t="s">
        <v>30</v>
      </c>
      <c r="X941" s="46" t="s">
        <v>30</v>
      </c>
      <c r="Y941" s="46" t="s">
        <v>30</v>
      </c>
      <c r="Z941" s="46" t="s">
        <v>30</v>
      </c>
      <c r="AA941" s="46" t="s">
        <v>30</v>
      </c>
      <c r="AB941" s="46" t="s">
        <v>37</v>
      </c>
      <c r="AC941" s="46" t="s">
        <v>30</v>
      </c>
      <c r="AD941" s="46" t="s">
        <v>30</v>
      </c>
      <c r="AE941" s="46" t="s">
        <v>30</v>
      </c>
      <c r="AF941" s="46" t="s">
        <v>30</v>
      </c>
      <c r="AG941" s="46" t="s">
        <v>30</v>
      </c>
      <c r="AH941" s="46" t="s">
        <v>43</v>
      </c>
      <c r="AI941" s="46" t="s">
        <v>37</v>
      </c>
      <c r="AJ941" s="46">
        <f>=SUM(E942:AI942)</f>
      </c>
      <c r="AK941" s="46">
        <f>=+AY941</f>
      </c>
      <c r="AL941" s="46"/>
      <c r="AM941" s="1"/>
      <c r="AN941" s="1">
        <f>=COUNTIF(E941:AI941,"A")+COUNTIF(E941:AI941,"B")+COUNTIF(E941:AI941,"C")+COUNTIF(E941:AI941,"D")+COUNTIF(E941:AI941,"E")+COUNTIF(E941:AI941,"F")+COUNTIF(E941:AI941,"M")+COUNTIF(E941:AI941,"AB")+COUNTIF(E941:AI941,"UZ")+COUNTIF(E941:AI941,"G")+(COUNTIF(E941:AI941,"RT.")/2)+(COUNTIF(E941:AI941,"ÇRT.")/2)</f>
      </c>
      <c r="AO941" s="1">
        <f>=COUNTIF(E941:AI941,"O")</f>
      </c>
      <c r="AP941" s="1">
        <f>=COUNTIF(E941:AI941,"RT")+(COUNTIF(E941:AI941,"RT.")/2)</f>
      </c>
      <c r="AQ941" s="1">
        <f>=COUNTIF(E941:AI941,"ÇRT")+(COUNTIF(E941:AI941,"ÇRT.")/2)</f>
      </c>
      <c r="AR941" s="1">
        <f>=COUNTIF(E941:AI941,"ÇHT")</f>
      </c>
      <c r="AS941" s="1">
        <f>=COUNTIF(E941:AI941,"Ö")+COUNTIF(E941:AI941,"T")</f>
      </c>
      <c r="AT941" s="1">
        <f>=COUNTIF(E941:AI941,"Y")</f>
      </c>
      <c r="AU941" s="1">
        <f>=COUNTIF(E941:AI941,"R.")</f>
      </c>
      <c r="AV941" s="1">
        <f>=COUNTIF(E941:AI941,"Ü")</f>
      </c>
      <c r="AW941" s="1">
        <f>=COUNTIF(E941:AI941,"R")</f>
      </c>
      <c r="AX941" s="1">
        <f>=COUNTIF(E941:AI941,"DV")</f>
      </c>
      <c r="AY941" s="1">
        <f>=+AN941+AO941+AP941+AQ941+AR941+AS941+AT941+AU941</f>
      </c>
    </row>
    <row r="942" ht="16" customHeight="1" spans="1:51" x14ac:dyDescent="0.25">
      <c r="A942" s="45"/>
      <c r="B942" s="46"/>
      <c r="C942" s="46"/>
      <c r="D942" s="46" t="s">
        <v>33</v>
      </c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  <c r="AB942" s="46"/>
      <c r="AC942" s="46"/>
      <c r="AD942" s="46"/>
      <c r="AE942" s="46"/>
      <c r="AF942" s="46"/>
      <c r="AG942" s="46"/>
      <c r="AH942" s="46"/>
      <c r="AI942" s="46"/>
      <c r="AJ942" s="46"/>
      <c r="AK942" s="46"/>
      <c r="AL942" s="46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</row>
    <row r="943" ht="16" customHeight="1" spans="1:51" x14ac:dyDescent="0.25">
      <c r="A943" s="45"/>
      <c r="B943" s="46" t="s">
        <v>988</v>
      </c>
      <c r="C943" s="46" t="s">
        <v>989</v>
      </c>
      <c r="D943" s="46" t="s">
        <v>29</v>
      </c>
      <c r="E943" s="46" t="s">
        <v>36</v>
      </c>
      <c r="F943" s="46" t="s">
        <v>46</v>
      </c>
      <c r="G943" s="46" t="s">
        <v>36</v>
      </c>
      <c r="H943" s="46" t="s">
        <v>36</v>
      </c>
      <c r="I943" s="46" t="s">
        <v>46</v>
      </c>
      <c r="J943" s="46" t="s">
        <v>46</v>
      </c>
      <c r="K943" s="46" t="s">
        <v>46</v>
      </c>
      <c r="L943" s="46" t="s">
        <v>59</v>
      </c>
      <c r="M943" s="46" t="s">
        <v>37</v>
      </c>
      <c r="N943" s="46" t="s">
        <v>36</v>
      </c>
      <c r="O943" s="46" t="s">
        <v>36</v>
      </c>
      <c r="P943" s="46" t="s">
        <v>36</v>
      </c>
      <c r="Q943" s="46" t="s">
        <v>36</v>
      </c>
      <c r="R943" s="46" t="s">
        <v>36</v>
      </c>
      <c r="S943" s="46" t="s">
        <v>37</v>
      </c>
      <c r="T943" s="46" t="s">
        <v>30</v>
      </c>
      <c r="U943" s="46" t="s">
        <v>30</v>
      </c>
      <c r="V943" s="46" t="s">
        <v>30</v>
      </c>
      <c r="W943" s="46" t="s">
        <v>30</v>
      </c>
      <c r="X943" s="46" t="s">
        <v>30</v>
      </c>
      <c r="Y943" s="46" t="s">
        <v>30</v>
      </c>
      <c r="Z943" s="46" t="s">
        <v>30</v>
      </c>
      <c r="AA943" s="46" t="s">
        <v>37</v>
      </c>
      <c r="AB943" s="46" t="s">
        <v>30</v>
      </c>
      <c r="AC943" s="46" t="s">
        <v>30</v>
      </c>
      <c r="AD943" s="46" t="s">
        <v>30</v>
      </c>
      <c r="AE943" s="46" t="s">
        <v>30</v>
      </c>
      <c r="AF943" s="46" t="s">
        <v>30</v>
      </c>
      <c r="AG943" s="46" t="s">
        <v>30</v>
      </c>
      <c r="AH943" s="46" t="s">
        <v>37</v>
      </c>
      <c r="AI943" s="46" t="s">
        <v>30</v>
      </c>
      <c r="AJ943" s="46">
        <f>=SUM(E944:AI944)</f>
      </c>
      <c r="AK943" s="46">
        <f>=+AY943</f>
      </c>
      <c r="AL943" s="46"/>
      <c r="AM943" s="1"/>
      <c r="AN943" s="1">
        <f>=COUNTIF(E943:AI943,"A")+COUNTIF(E943:AI943,"B")+COUNTIF(E943:AI943,"C")+COUNTIF(E943:AI943,"D")+COUNTIF(E943:AI943,"E")+COUNTIF(E943:AI943,"F")+COUNTIF(E943:AI943,"M")+COUNTIF(E943:AI943,"AB")+COUNTIF(E943:AI943,"UZ")+COUNTIF(E943:AI943,"G")+(COUNTIF(E943:AI943,"RT.")/2)+(COUNTIF(E943:AI943,"ÇRT.")/2)</f>
      </c>
      <c r="AO943" s="1">
        <f>=COUNTIF(E943:AI943,"O")</f>
      </c>
      <c r="AP943" s="1">
        <f>=COUNTIF(E943:AI943,"RT")+(COUNTIF(E943:AI943,"RT.")/2)</f>
      </c>
      <c r="AQ943" s="1">
        <f>=COUNTIF(E943:AI943,"ÇRT")+(COUNTIF(E943:AI943,"ÇRT.")/2)</f>
      </c>
      <c r="AR943" s="1">
        <f>=COUNTIF(E943:AI943,"ÇHT")</f>
      </c>
      <c r="AS943" s="1">
        <f>=COUNTIF(E943:AI943,"Ö")+COUNTIF(E943:AI943,"T")</f>
      </c>
      <c r="AT943" s="1">
        <f>=COUNTIF(E943:AI943,"Y")</f>
      </c>
      <c r="AU943" s="1">
        <f>=COUNTIF(E943:AI943,"R.")</f>
      </c>
      <c r="AV943" s="1">
        <f>=COUNTIF(E943:AI943,"Ü")</f>
      </c>
      <c r="AW943" s="1">
        <f>=COUNTIF(E943:AI943,"R")</f>
      </c>
      <c r="AX943" s="1">
        <f>=COUNTIF(E943:AI943,"DV")</f>
      </c>
      <c r="AY943" s="1">
        <f>=+AN943+AO943+AP943+AQ943+AR943+AS943+AT943+AU943</f>
      </c>
    </row>
    <row r="944" ht="16" customHeight="1" spans="1:51" x14ac:dyDescent="0.25">
      <c r="A944" s="45"/>
      <c r="B944" s="46"/>
      <c r="C944" s="46"/>
      <c r="D944" s="46" t="s">
        <v>33</v>
      </c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  <c r="AB944" s="46"/>
      <c r="AC944" s="46"/>
      <c r="AD944" s="46"/>
      <c r="AE944" s="46"/>
      <c r="AF944" s="46"/>
      <c r="AG944" s="46"/>
      <c r="AH944" s="46"/>
      <c r="AI944" s="46"/>
      <c r="AJ944" s="46"/>
      <c r="AK944" s="46"/>
      <c r="AL944" s="46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</row>
    <row r="945" ht="16" customHeight="1" spans="1:51" x14ac:dyDescent="0.25">
      <c r="A945" s="45"/>
      <c r="B945" s="46" t="s">
        <v>990</v>
      </c>
      <c r="C945" s="46" t="s">
        <v>991</v>
      </c>
      <c r="D945" s="46" t="s">
        <v>29</v>
      </c>
      <c r="E945" s="46" t="s">
        <v>36</v>
      </c>
      <c r="F945" s="46" t="s">
        <v>37</v>
      </c>
      <c r="G945" s="46" t="s">
        <v>36</v>
      </c>
      <c r="H945" s="46" t="s">
        <v>36</v>
      </c>
      <c r="I945" s="46" t="s">
        <v>36</v>
      </c>
      <c r="J945" s="46" t="s">
        <v>36</v>
      </c>
      <c r="K945" s="46" t="s">
        <v>36</v>
      </c>
      <c r="L945" s="46" t="s">
        <v>36</v>
      </c>
      <c r="M945" s="46" t="s">
        <v>37</v>
      </c>
      <c r="N945" s="46" t="s">
        <v>36</v>
      </c>
      <c r="O945" s="46" t="s">
        <v>36</v>
      </c>
      <c r="P945" s="46" t="s">
        <v>36</v>
      </c>
      <c r="Q945" s="46" t="s">
        <v>36</v>
      </c>
      <c r="R945" s="46" t="s">
        <v>36</v>
      </c>
      <c r="S945" s="46" t="s">
        <v>36</v>
      </c>
      <c r="T945" s="46" t="s">
        <v>37</v>
      </c>
      <c r="U945" s="46" t="s">
        <v>36</v>
      </c>
      <c r="V945" s="46" t="s">
        <v>36</v>
      </c>
      <c r="W945" s="46" t="s">
        <v>36</v>
      </c>
      <c r="X945" s="46" t="s">
        <v>36</v>
      </c>
      <c r="Y945" s="46" t="s">
        <v>36</v>
      </c>
      <c r="Z945" s="46" t="s">
        <v>36</v>
      </c>
      <c r="AA945" s="46" t="s">
        <v>37</v>
      </c>
      <c r="AB945" s="46" t="s">
        <v>36</v>
      </c>
      <c r="AC945" s="46" t="s">
        <v>36</v>
      </c>
      <c r="AD945" s="46" t="s">
        <v>36</v>
      </c>
      <c r="AE945" s="46" t="s">
        <v>36</v>
      </c>
      <c r="AF945" s="46" t="s">
        <v>36</v>
      </c>
      <c r="AG945" s="46" t="s">
        <v>36</v>
      </c>
      <c r="AH945" s="46" t="s">
        <v>37</v>
      </c>
      <c r="AI945" s="46" t="s">
        <v>36</v>
      </c>
      <c r="AJ945" s="46">
        <f>=SUM(E946:AI946)</f>
      </c>
      <c r="AK945" s="46">
        <f>=+AY945</f>
      </c>
      <c r="AL945" s="46"/>
      <c r="AM945" s="1"/>
      <c r="AN945" s="1">
        <f>=COUNTIF(E945:AI945,"A")+COUNTIF(E945:AI945,"B")+COUNTIF(E945:AI945,"C")+COUNTIF(E945:AI945,"D")+COUNTIF(E945:AI945,"E")+COUNTIF(E945:AI945,"F")+COUNTIF(E945:AI945,"M")+COUNTIF(E945:AI945,"AB")+COUNTIF(E945:AI945,"UZ")+COUNTIF(E945:AI945,"G")+(COUNTIF(E945:AI945,"RT.")/2)+(COUNTIF(E945:AI945,"ÇRT.")/2)</f>
      </c>
      <c r="AO945" s="1">
        <f>=COUNTIF(E945:AI945,"O")</f>
      </c>
      <c r="AP945" s="1">
        <f>=COUNTIF(E945:AI945,"RT")+(COUNTIF(E945:AI945,"RT.")/2)</f>
      </c>
      <c r="AQ945" s="1">
        <f>=COUNTIF(E945:AI945,"ÇRT")+(COUNTIF(E945:AI945,"ÇRT.")/2)</f>
      </c>
      <c r="AR945" s="1">
        <f>=COUNTIF(E945:AI945,"ÇHT")</f>
      </c>
      <c r="AS945" s="1">
        <f>=COUNTIF(E945:AI945,"Ö")+COUNTIF(E945:AI945,"T")</f>
      </c>
      <c r="AT945" s="1">
        <f>=COUNTIF(E945:AI945,"Y")</f>
      </c>
      <c r="AU945" s="1">
        <f>=COUNTIF(E945:AI945,"R.")</f>
      </c>
      <c r="AV945" s="1">
        <f>=COUNTIF(E945:AI945,"Ü")</f>
      </c>
      <c r="AW945" s="1">
        <f>=COUNTIF(E945:AI945,"R")</f>
      </c>
      <c r="AX945" s="1">
        <f>=COUNTIF(E945:AI945,"DV")</f>
      </c>
      <c r="AY945" s="1">
        <f>=+AN945+AO945+AP945+AQ945+AR945+AS945+AT945+AU945</f>
      </c>
    </row>
    <row r="946" ht="16" customHeight="1" spans="1:51" x14ac:dyDescent="0.25">
      <c r="A946" s="45"/>
      <c r="B946" s="46"/>
      <c r="C946" s="46"/>
      <c r="D946" s="46" t="s">
        <v>33</v>
      </c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  <c r="AB946" s="46"/>
      <c r="AC946" s="46"/>
      <c r="AD946" s="46"/>
      <c r="AE946" s="46"/>
      <c r="AF946" s="46"/>
      <c r="AG946" s="46"/>
      <c r="AH946" s="46"/>
      <c r="AI946" s="46"/>
      <c r="AJ946" s="46"/>
      <c r="AK946" s="46"/>
      <c r="AL946" s="46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</row>
    <row r="947" ht="16" customHeight="1" spans="1:51" x14ac:dyDescent="0.25">
      <c r="A947" s="45"/>
      <c r="B947" s="46" t="s">
        <v>992</v>
      </c>
      <c r="C947" s="46" t="s">
        <v>993</v>
      </c>
      <c r="D947" s="46" t="s">
        <v>29</v>
      </c>
      <c r="E947" s="46" t="s">
        <v>36</v>
      </c>
      <c r="F947" s="46" t="s">
        <v>37</v>
      </c>
      <c r="G947" s="46" t="s">
        <v>46</v>
      </c>
      <c r="H947" s="46" t="s">
        <v>46</v>
      </c>
      <c r="I947" s="46" t="s">
        <v>37</v>
      </c>
      <c r="J947" s="46" t="s">
        <v>59</v>
      </c>
      <c r="K947" s="46" t="s">
        <v>59</v>
      </c>
      <c r="L947" s="46" t="s">
        <v>46</v>
      </c>
      <c r="M947" s="46" t="s">
        <v>36</v>
      </c>
      <c r="N947" s="46" t="s">
        <v>46</v>
      </c>
      <c r="O947" s="46" t="s">
        <v>46</v>
      </c>
      <c r="P947" s="46" t="s">
        <v>37</v>
      </c>
      <c r="Q947" s="46" t="s">
        <v>36</v>
      </c>
      <c r="R947" s="46" t="s">
        <v>36</v>
      </c>
      <c r="S947" s="46" t="s">
        <v>36</v>
      </c>
      <c r="T947" s="46" t="s">
        <v>36</v>
      </c>
      <c r="U947" s="46" t="s">
        <v>36</v>
      </c>
      <c r="V947" s="46" t="s">
        <v>36</v>
      </c>
      <c r="W947" s="46" t="s">
        <v>37</v>
      </c>
      <c r="X947" s="46" t="s">
        <v>36</v>
      </c>
      <c r="Y947" s="46" t="s">
        <v>36</v>
      </c>
      <c r="Z947" s="46" t="s">
        <v>36</v>
      </c>
      <c r="AA947" s="46" t="s">
        <v>36</v>
      </c>
      <c r="AB947" s="46" t="s">
        <v>36</v>
      </c>
      <c r="AC947" s="46" t="s">
        <v>36</v>
      </c>
      <c r="AD947" s="46" t="s">
        <v>36</v>
      </c>
      <c r="AE947" s="46" t="s">
        <v>37</v>
      </c>
      <c r="AF947" s="46" t="s">
        <v>30</v>
      </c>
      <c r="AG947" s="46" t="s">
        <v>30</v>
      </c>
      <c r="AH947" s="46" t="s">
        <v>43</v>
      </c>
      <c r="AI947" s="46" t="s">
        <v>30</v>
      </c>
      <c r="AJ947" s="46">
        <f>=SUM(E948:AI948)</f>
      </c>
      <c r="AK947" s="46">
        <f>=+AY947</f>
      </c>
      <c r="AL947" s="46"/>
      <c r="AM947" s="1"/>
      <c r="AN947" s="1">
        <f>=COUNTIF(E947:AI947,"A")+COUNTIF(E947:AI947,"B")+COUNTIF(E947:AI947,"C")+COUNTIF(E947:AI947,"D")+COUNTIF(E947:AI947,"E")+COUNTIF(E947:AI947,"F")+COUNTIF(E947:AI947,"M")+COUNTIF(E947:AI947,"AB")+COUNTIF(E947:AI947,"UZ")+COUNTIF(E947:AI947,"G")+(COUNTIF(E947:AI947,"RT.")/2)+(COUNTIF(E947:AI947,"ÇRT.")/2)</f>
      </c>
      <c r="AO947" s="1">
        <f>=COUNTIF(E947:AI947,"O")</f>
      </c>
      <c r="AP947" s="1">
        <f>=COUNTIF(E947:AI947,"RT")+(COUNTIF(E947:AI947,"RT.")/2)</f>
      </c>
      <c r="AQ947" s="1">
        <f>=COUNTIF(E947:AI947,"ÇRT")+(COUNTIF(E947:AI947,"ÇRT.")/2)</f>
      </c>
      <c r="AR947" s="1">
        <f>=COUNTIF(E947:AI947,"ÇHT")</f>
      </c>
      <c r="AS947" s="1">
        <f>=COUNTIF(E947:AI947,"Ö")+COUNTIF(E947:AI947,"T")</f>
      </c>
      <c r="AT947" s="1">
        <f>=COUNTIF(E947:AI947,"Y")</f>
      </c>
      <c r="AU947" s="1">
        <f>=COUNTIF(E947:AI947,"R.")</f>
      </c>
      <c r="AV947" s="1">
        <f>=COUNTIF(E947:AI947,"Ü")</f>
      </c>
      <c r="AW947" s="1">
        <f>=COUNTIF(E947:AI947,"R")</f>
      </c>
      <c r="AX947" s="1">
        <f>=COUNTIF(E947:AI947,"DV")</f>
      </c>
      <c r="AY947" s="1">
        <f>=+AN947+AO947+AP947+AQ947+AR947+AS947+AT947+AU947</f>
      </c>
    </row>
    <row r="948" ht="16" customHeight="1" spans="1:51" x14ac:dyDescent="0.25">
      <c r="A948" s="45"/>
      <c r="B948" s="46"/>
      <c r="C948" s="46"/>
      <c r="D948" s="46" t="s">
        <v>33</v>
      </c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  <c r="AB948" s="46"/>
      <c r="AC948" s="46"/>
      <c r="AD948" s="46"/>
      <c r="AE948" s="46"/>
      <c r="AF948" s="46"/>
      <c r="AG948" s="46"/>
      <c r="AH948" s="46"/>
      <c r="AI948" s="46"/>
      <c r="AJ948" s="46"/>
      <c r="AK948" s="46"/>
      <c r="AL948" s="46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</row>
    <row r="949" ht="16" customHeight="1" spans="1:51" x14ac:dyDescent="0.25">
      <c r="A949" s="45"/>
      <c r="B949" s="46" t="s">
        <v>994</v>
      </c>
      <c r="C949" s="46" t="s">
        <v>995</v>
      </c>
      <c r="D949" s="46" t="s">
        <v>29</v>
      </c>
      <c r="E949" s="46" t="s">
        <v>42</v>
      </c>
      <c r="F949" s="46" t="s">
        <v>37</v>
      </c>
      <c r="G949" s="46" t="s">
        <v>42</v>
      </c>
      <c r="H949" s="46" t="s">
        <v>42</v>
      </c>
      <c r="I949" s="46" t="s">
        <v>41</v>
      </c>
      <c r="J949" s="46" t="s">
        <v>41</v>
      </c>
      <c r="K949" s="46" t="s">
        <v>42</v>
      </c>
      <c r="L949" s="46" t="s">
        <v>42</v>
      </c>
      <c r="M949" s="46" t="s">
        <v>37</v>
      </c>
      <c r="N949" s="46" t="s">
        <v>42</v>
      </c>
      <c r="O949" s="46" t="s">
        <v>42</v>
      </c>
      <c r="P949" s="46" t="s">
        <v>42</v>
      </c>
      <c r="Q949" s="46" t="s">
        <v>41</v>
      </c>
      <c r="R949" s="46" t="s">
        <v>41</v>
      </c>
      <c r="S949" s="46" t="s">
        <v>42</v>
      </c>
      <c r="T949" s="46" t="s">
        <v>37</v>
      </c>
      <c r="U949" s="46" t="s">
        <v>42</v>
      </c>
      <c r="V949" s="46" t="s">
        <v>42</v>
      </c>
      <c r="W949" s="46" t="s">
        <v>42</v>
      </c>
      <c r="X949" s="46" t="s">
        <v>42</v>
      </c>
      <c r="Y949" s="46" t="s">
        <v>41</v>
      </c>
      <c r="Z949" s="46" t="s">
        <v>41</v>
      </c>
      <c r="AA949" s="46" t="s">
        <v>37</v>
      </c>
      <c r="AB949" s="46" t="s">
        <v>42</v>
      </c>
      <c r="AC949" s="46" t="s">
        <v>42</v>
      </c>
      <c r="AD949" s="46" t="s">
        <v>42</v>
      </c>
      <c r="AE949" s="46" t="s">
        <v>41</v>
      </c>
      <c r="AF949" s="46" t="s">
        <v>42</v>
      </c>
      <c r="AG949" s="46" t="s">
        <v>42</v>
      </c>
      <c r="AH949" s="46" t="s">
        <v>37</v>
      </c>
      <c r="AI949" s="46" t="s">
        <v>42</v>
      </c>
      <c r="AJ949" s="46">
        <f>=SUM(E950:AI950)</f>
      </c>
      <c r="AK949" s="46">
        <f>=+AY949</f>
      </c>
      <c r="AL949" s="46"/>
      <c r="AM949" s="1"/>
      <c r="AN949" s="1">
        <f>=COUNTIF(E949:AI949,"A")+COUNTIF(E949:AI949,"B")+COUNTIF(E949:AI949,"C")+COUNTIF(E949:AI949,"D")+COUNTIF(E949:AI949,"E")+COUNTIF(E949:AI949,"F")+COUNTIF(E949:AI949,"M")+COUNTIF(E949:AI949,"AB")+COUNTIF(E949:AI949,"UZ")+COUNTIF(E949:AI949,"G")+(COUNTIF(E949:AI949,"RT.")/2)+(COUNTIF(E949:AI949,"ÇRT.")/2)</f>
      </c>
      <c r="AO949" s="1">
        <f>=COUNTIF(E949:AI949,"O")</f>
      </c>
      <c r="AP949" s="1">
        <f>=COUNTIF(E949:AI949,"RT")+(COUNTIF(E949:AI949,"RT.")/2)</f>
      </c>
      <c r="AQ949" s="1">
        <f>=COUNTIF(E949:AI949,"ÇRT")+(COUNTIF(E949:AI949,"ÇRT.")/2)</f>
      </c>
      <c r="AR949" s="1">
        <f>=COUNTIF(E949:AI949,"ÇHT")</f>
      </c>
      <c r="AS949" s="1">
        <f>=COUNTIF(E949:AI949,"Ö")+COUNTIF(E949:AI949,"T")</f>
      </c>
      <c r="AT949" s="1">
        <f>=COUNTIF(E949:AI949,"Y")</f>
      </c>
      <c r="AU949" s="1">
        <f>=COUNTIF(E949:AI949,"R.")</f>
      </c>
      <c r="AV949" s="1">
        <f>=COUNTIF(E949:AI949,"Ü")</f>
      </c>
      <c r="AW949" s="1">
        <f>=COUNTIF(E949:AI949,"R")</f>
      </c>
      <c r="AX949" s="1">
        <f>=COUNTIF(E949:AI949,"DV")</f>
      </c>
      <c r="AY949" s="1">
        <f>=+AN949+AO949+AP949+AQ949+AR949+AS949+AT949+AU949</f>
      </c>
    </row>
    <row r="950" ht="16" customHeight="1" spans="1:51" x14ac:dyDescent="0.25">
      <c r="A950" s="45"/>
      <c r="B950" s="46"/>
      <c r="C950" s="46"/>
      <c r="D950" s="46" t="s">
        <v>33</v>
      </c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  <c r="AB950" s="46"/>
      <c r="AC950" s="46"/>
      <c r="AD950" s="46"/>
      <c r="AE950" s="46"/>
      <c r="AF950" s="46"/>
      <c r="AG950" s="46"/>
      <c r="AH950" s="46"/>
      <c r="AI950" s="46"/>
      <c r="AJ950" s="46"/>
      <c r="AK950" s="46"/>
      <c r="AL950" s="46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</row>
    <row r="951" ht="16" customHeight="1" spans="1:51" x14ac:dyDescent="0.25">
      <c r="A951" s="45"/>
      <c r="B951" s="46" t="s">
        <v>996</v>
      </c>
      <c r="C951" s="46" t="s">
        <v>997</v>
      </c>
      <c r="D951" s="46" t="s">
        <v>29</v>
      </c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 t="s">
        <v>36</v>
      </c>
      <c r="R951" s="46" t="s">
        <v>36</v>
      </c>
      <c r="S951" s="46" t="s">
        <v>36</v>
      </c>
      <c r="T951" s="46" t="s">
        <v>36</v>
      </c>
      <c r="U951" s="46" t="s">
        <v>46</v>
      </c>
      <c r="V951" s="46" t="s">
        <v>59</v>
      </c>
      <c r="W951" s="46" t="s">
        <v>59</v>
      </c>
      <c r="X951" s="46" t="s">
        <v>37</v>
      </c>
      <c r="Y951" s="46" t="s">
        <v>36</v>
      </c>
      <c r="Z951" s="46" t="s">
        <v>36</v>
      </c>
      <c r="AA951" s="46" t="s">
        <v>59</v>
      </c>
      <c r="AB951" s="46" t="s">
        <v>37</v>
      </c>
      <c r="AC951" s="46" t="s">
        <v>59</v>
      </c>
      <c r="AD951" s="46" t="s">
        <v>59</v>
      </c>
      <c r="AE951" s="46" t="s">
        <v>59</v>
      </c>
      <c r="AF951" s="46" t="s">
        <v>59</v>
      </c>
      <c r="AG951" s="46" t="s">
        <v>59</v>
      </c>
      <c r="AH951" s="46" t="s">
        <v>43</v>
      </c>
      <c r="AI951" s="46" t="s">
        <v>59</v>
      </c>
      <c r="AJ951" s="46">
        <f>=SUM(E952:AI952)</f>
      </c>
      <c r="AK951" s="46">
        <f>=+AY951</f>
      </c>
      <c r="AL951" s="46"/>
      <c r="AM951" s="1"/>
      <c r="AN951" s="1">
        <f>=COUNTIF(E951:AI951,"A")+COUNTIF(E951:AI951,"B")+COUNTIF(E951:AI951,"C")+COUNTIF(E951:AI951,"D")+COUNTIF(E951:AI951,"E")+COUNTIF(E951:AI951,"F")+COUNTIF(E951:AI951,"M")+COUNTIF(E951:AI951,"AB")+COUNTIF(E951:AI951,"UZ")+COUNTIF(E951:AI951,"G")+(COUNTIF(E951:AI951,"RT.")/2)+(COUNTIF(E951:AI951,"ÇRT.")/2)</f>
      </c>
      <c r="AO951" s="1">
        <f>=COUNTIF(E951:AI951,"O")</f>
      </c>
      <c r="AP951" s="1">
        <f>=COUNTIF(E951:AI951,"RT")+(COUNTIF(E951:AI951,"RT.")/2)</f>
      </c>
      <c r="AQ951" s="1">
        <f>=COUNTIF(E951:AI951,"ÇRT")+(COUNTIF(E951:AI951,"ÇRT.")/2)</f>
      </c>
      <c r="AR951" s="1">
        <f>=COUNTIF(E951:AI951,"ÇHT")</f>
      </c>
      <c r="AS951" s="1">
        <f>=COUNTIF(E951:AI951,"Ö")+COUNTIF(E951:AI951,"T")</f>
      </c>
      <c r="AT951" s="1">
        <f>=COUNTIF(E951:AI951,"Y")</f>
      </c>
      <c r="AU951" s="1">
        <f>=COUNTIF(E951:AI951,"R.")</f>
      </c>
      <c r="AV951" s="1">
        <f>=COUNTIF(E951:AI951,"Ü")</f>
      </c>
      <c r="AW951" s="1">
        <f>=COUNTIF(E951:AI951,"R")</f>
      </c>
      <c r="AX951" s="1">
        <f>=COUNTIF(E951:AI951,"DV")</f>
      </c>
      <c r="AY951" s="1">
        <f>=+AN951+AO951+AP951+AQ951+AR951+AS951+AT951+AU951</f>
      </c>
    </row>
    <row r="952" ht="16" customHeight="1" spans="1:51" x14ac:dyDescent="0.25">
      <c r="A952" s="45"/>
      <c r="B952" s="46"/>
      <c r="C952" s="46"/>
      <c r="D952" s="46" t="s">
        <v>33</v>
      </c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  <c r="AB952" s="46"/>
      <c r="AC952" s="46"/>
      <c r="AD952" s="46"/>
      <c r="AE952" s="46"/>
      <c r="AF952" s="46"/>
      <c r="AG952" s="46"/>
      <c r="AH952" s="46"/>
      <c r="AI952" s="46"/>
      <c r="AJ952" s="46"/>
      <c r="AK952" s="46"/>
      <c r="AL952" s="46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</row>
    <row r="953" ht="16" customHeight="1" spans="1:51" x14ac:dyDescent="0.25">
      <c r="A953" s="45"/>
      <c r="B953" s="46" t="s">
        <v>998</v>
      </c>
      <c r="C953" s="46" t="s">
        <v>999</v>
      </c>
      <c r="D953" s="46" t="s">
        <v>29</v>
      </c>
      <c r="E953" s="46" t="s">
        <v>37</v>
      </c>
      <c r="F953" s="46" t="s">
        <v>36</v>
      </c>
      <c r="G953" s="46" t="s">
        <v>36</v>
      </c>
      <c r="H953" s="46" t="s">
        <v>36</v>
      </c>
      <c r="I953" s="46" t="s">
        <v>36</v>
      </c>
      <c r="J953" s="46" t="s">
        <v>37</v>
      </c>
      <c r="K953" s="46" t="s">
        <v>36</v>
      </c>
      <c r="L953" s="46" t="s">
        <v>36</v>
      </c>
      <c r="M953" s="46" t="s">
        <v>36</v>
      </c>
      <c r="N953" s="46" t="s">
        <v>36</v>
      </c>
      <c r="O953" s="46" t="s">
        <v>36</v>
      </c>
      <c r="P953" s="46" t="s">
        <v>36</v>
      </c>
      <c r="Q953" s="46" t="s">
        <v>36</v>
      </c>
      <c r="R953" s="46" t="s">
        <v>37</v>
      </c>
      <c r="S953" s="46" t="s">
        <v>36</v>
      </c>
      <c r="T953" s="46" t="s">
        <v>36</v>
      </c>
      <c r="U953" s="46" t="s">
        <v>36</v>
      </c>
      <c r="V953" s="46" t="s">
        <v>36</v>
      </c>
      <c r="W953" s="46" t="s">
        <v>37</v>
      </c>
      <c r="X953" s="46" t="s">
        <v>36</v>
      </c>
      <c r="Y953" s="46" t="s">
        <v>36</v>
      </c>
      <c r="Z953" s="46" t="s">
        <v>36</v>
      </c>
      <c r="AA953" s="46" t="s">
        <v>36</v>
      </c>
      <c r="AB953" s="46" t="s">
        <v>36</v>
      </c>
      <c r="AC953" s="46" t="s">
        <v>36</v>
      </c>
      <c r="AD953" s="46" t="s">
        <v>36</v>
      </c>
      <c r="AE953" s="46" t="s">
        <v>36</v>
      </c>
      <c r="AF953" s="46" t="s">
        <v>36</v>
      </c>
      <c r="AG953" s="46" t="s">
        <v>37</v>
      </c>
      <c r="AH953" s="46" t="s">
        <v>43</v>
      </c>
      <c r="AI953" s="46" t="s">
        <v>36</v>
      </c>
      <c r="AJ953" s="46">
        <f>=SUM(E954:AI954)</f>
      </c>
      <c r="AK953" s="46">
        <f>=+AY953</f>
      </c>
      <c r="AL953" s="46"/>
      <c r="AM953" s="1"/>
      <c r="AN953" s="1">
        <f>=COUNTIF(E953:AI953,"A")+COUNTIF(E953:AI953,"B")+COUNTIF(E953:AI953,"C")+COUNTIF(E953:AI953,"D")+COUNTIF(E953:AI953,"E")+COUNTIF(E953:AI953,"F")+COUNTIF(E953:AI953,"M")+COUNTIF(E953:AI953,"AB")+COUNTIF(E953:AI953,"UZ")+COUNTIF(E953:AI953,"G")+(COUNTIF(E953:AI953,"RT.")/2)+(COUNTIF(E953:AI953,"ÇRT.")/2)</f>
      </c>
      <c r="AO953" s="1">
        <f>=COUNTIF(E953:AI953,"O")</f>
      </c>
      <c r="AP953" s="1">
        <f>=COUNTIF(E953:AI953,"RT")+(COUNTIF(E953:AI953,"RT.")/2)</f>
      </c>
      <c r="AQ953" s="1">
        <f>=COUNTIF(E953:AI953,"ÇRT")+(COUNTIF(E953:AI953,"ÇRT.")/2)</f>
      </c>
      <c r="AR953" s="1">
        <f>=COUNTIF(E953:AI953,"ÇHT")</f>
      </c>
      <c r="AS953" s="1">
        <f>=COUNTIF(E953:AI953,"Ö")+COUNTIF(E953:AI953,"T")</f>
      </c>
      <c r="AT953" s="1">
        <f>=COUNTIF(E953:AI953,"Y")</f>
      </c>
      <c r="AU953" s="1">
        <f>=COUNTIF(E953:AI953,"R.")</f>
      </c>
      <c r="AV953" s="1">
        <f>=COUNTIF(E953:AI953,"Ü")</f>
      </c>
      <c r="AW953" s="1">
        <f>=COUNTIF(E953:AI953,"R")</f>
      </c>
      <c r="AX953" s="1">
        <f>=COUNTIF(E953:AI953,"DV")</f>
      </c>
      <c r="AY953" s="1">
        <f>=+AN953+AO953+AP953+AQ953+AR953+AS953+AT953+AU953</f>
      </c>
    </row>
    <row r="954" ht="16" customHeight="1" spans="1:51" x14ac:dyDescent="0.25">
      <c r="A954" s="45"/>
      <c r="B954" s="46"/>
      <c r="C954" s="46"/>
      <c r="D954" s="46" t="s">
        <v>33</v>
      </c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  <c r="AB954" s="46"/>
      <c r="AC954" s="46"/>
      <c r="AD954" s="46"/>
      <c r="AE954" s="46"/>
      <c r="AF954" s="46"/>
      <c r="AG954" s="46"/>
      <c r="AH954" s="46"/>
      <c r="AI954" s="46"/>
      <c r="AJ954" s="46"/>
      <c r="AK954" s="46"/>
      <c r="AL954" s="46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</row>
    <row r="955" ht="16" customHeight="1" spans="1:51" x14ac:dyDescent="0.25">
      <c r="A955" s="45"/>
      <c r="B955" s="46" t="s">
        <v>1000</v>
      </c>
      <c r="C955" s="46" t="s">
        <v>1001</v>
      </c>
      <c r="D955" s="46" t="s">
        <v>29</v>
      </c>
      <c r="E955" s="46" t="s">
        <v>59</v>
      </c>
      <c r="F955" s="46" t="s">
        <v>37</v>
      </c>
      <c r="G955" s="46" t="s">
        <v>36</v>
      </c>
      <c r="H955" s="46" t="s">
        <v>36</v>
      </c>
      <c r="I955" s="46" t="s">
        <v>36</v>
      </c>
      <c r="J955" s="46" t="s">
        <v>36</v>
      </c>
      <c r="K955" s="46" t="s">
        <v>36</v>
      </c>
      <c r="L955" s="46" t="s">
        <v>37</v>
      </c>
      <c r="M955" s="46" t="s">
        <v>36</v>
      </c>
      <c r="N955" s="46" t="s">
        <v>36</v>
      </c>
      <c r="O955" s="46" t="s">
        <v>36</v>
      </c>
      <c r="P955" s="46" t="s">
        <v>36</v>
      </c>
      <c r="Q955" s="46" t="s">
        <v>36</v>
      </c>
      <c r="R955" s="46" t="s">
        <v>36</v>
      </c>
      <c r="S955" s="46" t="s">
        <v>37</v>
      </c>
      <c r="T955" s="46" t="s">
        <v>36</v>
      </c>
      <c r="U955" s="46" t="s">
        <v>36</v>
      </c>
      <c r="V955" s="46" t="s">
        <v>36</v>
      </c>
      <c r="W955" s="46" t="s">
        <v>36</v>
      </c>
      <c r="X955" s="46" t="s">
        <v>36</v>
      </c>
      <c r="Y955" s="46" t="s">
        <v>36</v>
      </c>
      <c r="Z955" s="46" t="s">
        <v>37</v>
      </c>
      <c r="AA955" s="46" t="s">
        <v>36</v>
      </c>
      <c r="AB955" s="46" t="s">
        <v>36</v>
      </c>
      <c r="AC955" s="46" t="s">
        <v>36</v>
      </c>
      <c r="AD955" s="46" t="s">
        <v>36</v>
      </c>
      <c r="AE955" s="46" t="s">
        <v>37</v>
      </c>
      <c r="AF955" s="46" t="s">
        <v>36</v>
      </c>
      <c r="AG955" s="46" t="s">
        <v>36</v>
      </c>
      <c r="AH955" s="46" t="s">
        <v>43</v>
      </c>
      <c r="AI955" s="46" t="s">
        <v>36</v>
      </c>
      <c r="AJ955" s="46">
        <f>=SUM(E956:AI956)</f>
      </c>
      <c r="AK955" s="46">
        <f>=+AY955</f>
      </c>
      <c r="AL955" s="46"/>
      <c r="AM955" s="1"/>
      <c r="AN955" s="1">
        <f>=COUNTIF(E955:AI955,"A")+COUNTIF(E955:AI955,"B")+COUNTIF(E955:AI955,"C")+COUNTIF(E955:AI955,"D")+COUNTIF(E955:AI955,"E")+COUNTIF(E955:AI955,"F")+COUNTIF(E955:AI955,"M")+COUNTIF(E955:AI955,"AB")+COUNTIF(E955:AI955,"UZ")+COUNTIF(E955:AI955,"G")+(COUNTIF(E955:AI955,"RT.")/2)+(COUNTIF(E955:AI955,"ÇRT.")/2)</f>
      </c>
      <c r="AO955" s="1">
        <f>=COUNTIF(E955:AI955,"O")</f>
      </c>
      <c r="AP955" s="1">
        <f>=COUNTIF(E955:AI955,"RT")+(COUNTIF(E955:AI955,"RT.")/2)</f>
      </c>
      <c r="AQ955" s="1">
        <f>=COUNTIF(E955:AI955,"ÇRT")+(COUNTIF(E955:AI955,"ÇRT.")/2)</f>
      </c>
      <c r="AR955" s="1">
        <f>=COUNTIF(E955:AI955,"ÇHT")</f>
      </c>
      <c r="AS955" s="1">
        <f>=COUNTIF(E955:AI955,"Ö")+COUNTIF(E955:AI955,"T")</f>
      </c>
      <c r="AT955" s="1">
        <f>=COUNTIF(E955:AI955,"Y")</f>
      </c>
      <c r="AU955" s="1">
        <f>=COUNTIF(E955:AI955,"R.")</f>
      </c>
      <c r="AV955" s="1">
        <f>=COUNTIF(E955:AI955,"Ü")</f>
      </c>
      <c r="AW955" s="1">
        <f>=COUNTIF(E955:AI955,"R")</f>
      </c>
      <c r="AX955" s="1">
        <f>=COUNTIF(E955:AI955,"DV")</f>
      </c>
      <c r="AY955" s="1">
        <f>=+AN955+AO955+AP955+AQ955+AR955+AS955+AT955+AU955</f>
      </c>
    </row>
    <row r="956" ht="16" customHeight="1" spans="1:51" x14ac:dyDescent="0.25">
      <c r="A956" s="45"/>
      <c r="B956" s="46"/>
      <c r="C956" s="46"/>
      <c r="D956" s="46" t="s">
        <v>33</v>
      </c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  <c r="AB956" s="46"/>
      <c r="AC956" s="46"/>
      <c r="AD956" s="46"/>
      <c r="AE956" s="46"/>
      <c r="AF956" s="46"/>
      <c r="AG956" s="46"/>
      <c r="AH956" s="46"/>
      <c r="AI956" s="46"/>
      <c r="AJ956" s="46"/>
      <c r="AK956" s="46"/>
      <c r="AL956" s="46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</row>
    <row r="957" ht="16" customHeight="1" spans="1:51" x14ac:dyDescent="0.25">
      <c r="A957" s="45"/>
      <c r="B957" s="46" t="s">
        <v>1002</v>
      </c>
      <c r="C957" s="46" t="s">
        <v>1003</v>
      </c>
      <c r="D957" s="46" t="s">
        <v>29</v>
      </c>
      <c r="E957" s="46" t="s">
        <v>59</v>
      </c>
      <c r="F957" s="46" t="s">
        <v>59</v>
      </c>
      <c r="G957" s="46" t="s">
        <v>46</v>
      </c>
      <c r="H957" s="46" t="s">
        <v>37</v>
      </c>
      <c r="I957" s="46" t="s">
        <v>46</v>
      </c>
      <c r="J957" s="46" t="s">
        <v>36</v>
      </c>
      <c r="K957" s="46" t="s">
        <v>36</v>
      </c>
      <c r="L957" s="46" t="s">
        <v>36</v>
      </c>
      <c r="M957" s="46" t="s">
        <v>36</v>
      </c>
      <c r="N957" s="46" t="s">
        <v>36</v>
      </c>
      <c r="O957" s="46" t="s">
        <v>36</v>
      </c>
      <c r="P957" s="46" t="s">
        <v>36</v>
      </c>
      <c r="Q957" s="46" t="s">
        <v>36</v>
      </c>
      <c r="R957" s="46" t="s">
        <v>36</v>
      </c>
      <c r="S957" s="46" t="s">
        <v>37</v>
      </c>
      <c r="T957" s="46" t="s">
        <v>36</v>
      </c>
      <c r="U957" s="46" t="s">
        <v>59</v>
      </c>
      <c r="V957" s="46" t="s">
        <v>37</v>
      </c>
      <c r="W957" s="46" t="s">
        <v>59</v>
      </c>
      <c r="X957" s="46" t="s">
        <v>59</v>
      </c>
      <c r="Y957" s="46" t="s">
        <v>59</v>
      </c>
      <c r="Z957" s="46" t="s">
        <v>59</v>
      </c>
      <c r="AA957" s="46" t="s">
        <v>46</v>
      </c>
      <c r="AB957" s="46" t="s">
        <v>36</v>
      </c>
      <c r="AC957" s="46" t="s">
        <v>37</v>
      </c>
      <c r="AD957" s="46" t="s">
        <v>36</v>
      </c>
      <c r="AE957" s="46" t="s">
        <v>36</v>
      </c>
      <c r="AF957" s="46" t="s">
        <v>46</v>
      </c>
      <c r="AG957" s="46" t="s">
        <v>59</v>
      </c>
      <c r="AH957" s="46" t="s">
        <v>43</v>
      </c>
      <c r="AI957" s="46" t="s">
        <v>59</v>
      </c>
      <c r="AJ957" s="46">
        <f>=SUM(E958:AI958)</f>
      </c>
      <c r="AK957" s="46">
        <f>=+AY957</f>
      </c>
      <c r="AL957" s="46"/>
      <c r="AM957" s="1"/>
      <c r="AN957" s="1">
        <f>=COUNTIF(E957:AI957,"A")+COUNTIF(E957:AI957,"B")+COUNTIF(E957:AI957,"C")+COUNTIF(E957:AI957,"D")+COUNTIF(E957:AI957,"E")+COUNTIF(E957:AI957,"F")+COUNTIF(E957:AI957,"M")+COUNTIF(E957:AI957,"AB")+COUNTIF(E957:AI957,"UZ")+COUNTIF(E957:AI957,"G")+(COUNTIF(E957:AI957,"RT.")/2)+(COUNTIF(E957:AI957,"ÇRT.")/2)</f>
      </c>
      <c r="AO957" s="1">
        <f>=COUNTIF(E957:AI957,"O")</f>
      </c>
      <c r="AP957" s="1">
        <f>=COUNTIF(E957:AI957,"RT")+(COUNTIF(E957:AI957,"RT.")/2)</f>
      </c>
      <c r="AQ957" s="1">
        <f>=COUNTIF(E957:AI957,"ÇRT")+(COUNTIF(E957:AI957,"ÇRT.")/2)</f>
      </c>
      <c r="AR957" s="1">
        <f>=COUNTIF(E957:AI957,"ÇHT")</f>
      </c>
      <c r="AS957" s="1">
        <f>=COUNTIF(E957:AI957,"Ö")+COUNTIF(E957:AI957,"T")</f>
      </c>
      <c r="AT957" s="1">
        <f>=COUNTIF(E957:AI957,"Y")</f>
      </c>
      <c r="AU957" s="1">
        <f>=COUNTIF(E957:AI957,"R.")</f>
      </c>
      <c r="AV957" s="1">
        <f>=COUNTIF(E957:AI957,"Ü")</f>
      </c>
      <c r="AW957" s="1">
        <f>=COUNTIF(E957:AI957,"R")</f>
      </c>
      <c r="AX957" s="1">
        <f>=COUNTIF(E957:AI957,"DV")</f>
      </c>
      <c r="AY957" s="1">
        <f>=+AN957+AO957+AP957+AQ957+AR957+AS957+AT957+AU957</f>
      </c>
    </row>
    <row r="958" ht="16" customHeight="1" spans="1:51" x14ac:dyDescent="0.25">
      <c r="A958" s="45"/>
      <c r="B958" s="46"/>
      <c r="C958" s="46"/>
      <c r="D958" s="46" t="s">
        <v>33</v>
      </c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  <c r="AB958" s="46"/>
      <c r="AC958" s="46"/>
      <c r="AD958" s="46"/>
      <c r="AE958" s="46"/>
      <c r="AF958" s="46"/>
      <c r="AG958" s="46"/>
      <c r="AH958" s="46"/>
      <c r="AI958" s="46"/>
      <c r="AJ958" s="46"/>
      <c r="AK958" s="46"/>
      <c r="AL958" s="46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</row>
    <row r="959" ht="16" customHeight="1" spans="1:51" x14ac:dyDescent="0.25">
      <c r="A959" s="45"/>
      <c r="B959" s="46" t="s">
        <v>1004</v>
      </c>
      <c r="C959" s="46" t="s">
        <v>1005</v>
      </c>
      <c r="D959" s="46" t="s">
        <v>29</v>
      </c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  <c r="AB959" s="46"/>
      <c r="AC959" s="46"/>
      <c r="AD959" s="46"/>
      <c r="AE959" s="46"/>
      <c r="AF959" s="46"/>
      <c r="AG959" s="46"/>
      <c r="AH959" s="46"/>
      <c r="AI959" s="46"/>
      <c r="AJ959" s="46">
        <f>=SUM(E960:AI960)</f>
      </c>
      <c r="AK959" s="46">
        <f>=+AY959</f>
      </c>
      <c r="AL959" s="46"/>
      <c r="AM959" s="1"/>
      <c r="AN959" s="1">
        <f>=COUNTIF(E959:AI959,"A")+COUNTIF(E959:AI959,"B")+COUNTIF(E959:AI959,"C")+COUNTIF(E959:AI959,"D")+COUNTIF(E959:AI959,"E")+COUNTIF(E959:AI959,"F")+COUNTIF(E959:AI959,"M")+COUNTIF(E959:AI959,"AB")+COUNTIF(E959:AI959,"UZ")+COUNTIF(E959:AI959,"G")+(COUNTIF(E959:AI959,"RT.")/2)+(COUNTIF(E959:AI959,"ÇRT.")/2)</f>
      </c>
      <c r="AO959" s="1">
        <f>=COUNTIF(E959:AI959,"O")</f>
      </c>
      <c r="AP959" s="1">
        <f>=COUNTIF(E959:AI959,"RT")+(COUNTIF(E959:AI959,"RT.")/2)</f>
      </c>
      <c r="AQ959" s="1">
        <f>=COUNTIF(E959:AI959,"ÇRT")+(COUNTIF(E959:AI959,"ÇRT.")/2)</f>
      </c>
      <c r="AR959" s="1">
        <f>=COUNTIF(E959:AI959,"ÇHT")</f>
      </c>
      <c r="AS959" s="1">
        <f>=COUNTIF(E959:AI959,"Ö")+COUNTIF(E959:AI959,"T")</f>
      </c>
      <c r="AT959" s="1">
        <f>=COUNTIF(E959:AI959,"Y")</f>
      </c>
      <c r="AU959" s="1">
        <f>=COUNTIF(E959:AI959,"R.")</f>
      </c>
      <c r="AV959" s="1">
        <f>=COUNTIF(E959:AI959,"Ü")</f>
      </c>
      <c r="AW959" s="1">
        <f>=COUNTIF(E959:AI959,"R")</f>
      </c>
      <c r="AX959" s="1">
        <f>=COUNTIF(E959:AI959,"DV")</f>
      </c>
      <c r="AY959" s="1">
        <f>=+AN959+AO959+AP959+AQ959+AR959+AS959+AT959+AU959</f>
      </c>
    </row>
    <row r="960" ht="16" customHeight="1" spans="1:51" x14ac:dyDescent="0.25">
      <c r="A960" s="45"/>
      <c r="B960" s="46"/>
      <c r="C960" s="46"/>
      <c r="D960" s="46" t="s">
        <v>33</v>
      </c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  <c r="AB960" s="46"/>
      <c r="AC960" s="46"/>
      <c r="AD960" s="46"/>
      <c r="AE960" s="46"/>
      <c r="AF960" s="46"/>
      <c r="AG960" s="46"/>
      <c r="AH960" s="46"/>
      <c r="AI960" s="46"/>
      <c r="AJ960" s="46"/>
      <c r="AK960" s="46"/>
      <c r="AL960" s="46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</row>
    <row r="961" ht="16" customHeight="1" spans="1:51" x14ac:dyDescent="0.25">
      <c r="A961" s="45"/>
      <c r="B961" s="46" t="s">
        <v>1006</v>
      </c>
      <c r="C961" s="46" t="s">
        <v>1007</v>
      </c>
      <c r="D961" s="46" t="s">
        <v>29</v>
      </c>
      <c r="E961" s="46" t="s">
        <v>59</v>
      </c>
      <c r="F961" s="46" t="s">
        <v>46</v>
      </c>
      <c r="G961" s="46" t="s">
        <v>59</v>
      </c>
      <c r="H961" s="46" t="s">
        <v>37</v>
      </c>
      <c r="I961" s="46" t="s">
        <v>36</v>
      </c>
      <c r="J961" s="46" t="s">
        <v>36</v>
      </c>
      <c r="K961" s="46" t="s">
        <v>36</v>
      </c>
      <c r="L961" s="46" t="s">
        <v>36</v>
      </c>
      <c r="M961" s="46" t="s">
        <v>36</v>
      </c>
      <c r="N961" s="46" t="s">
        <v>36</v>
      </c>
      <c r="O961" s="46" t="s">
        <v>36</v>
      </c>
      <c r="P961" s="46" t="s">
        <v>36</v>
      </c>
      <c r="Q961" s="46" t="s">
        <v>36</v>
      </c>
      <c r="R961" s="46" t="s">
        <v>36</v>
      </c>
      <c r="S961" s="46" t="s">
        <v>37</v>
      </c>
      <c r="T961" s="46" t="s">
        <v>36</v>
      </c>
      <c r="U961" s="46" t="s">
        <v>59</v>
      </c>
      <c r="V961" s="46" t="s">
        <v>37</v>
      </c>
      <c r="W961" s="46" t="s">
        <v>59</v>
      </c>
      <c r="X961" s="46" t="s">
        <v>59</v>
      </c>
      <c r="Y961" s="46" t="s">
        <v>59</v>
      </c>
      <c r="Z961" s="46" t="s">
        <v>59</v>
      </c>
      <c r="AA961" s="46" t="s">
        <v>59</v>
      </c>
      <c r="AB961" s="46" t="s">
        <v>59</v>
      </c>
      <c r="AC961" s="46" t="s">
        <v>37</v>
      </c>
      <c r="AD961" s="46" t="s">
        <v>36</v>
      </c>
      <c r="AE961" s="46" t="s">
        <v>36</v>
      </c>
      <c r="AF961" s="46" t="s">
        <v>36</v>
      </c>
      <c r="AG961" s="46" t="s">
        <v>46</v>
      </c>
      <c r="AH961" s="46" t="s">
        <v>43</v>
      </c>
      <c r="AI961" s="46" t="s">
        <v>59</v>
      </c>
      <c r="AJ961" s="46">
        <f>=SUM(E962:AI962)</f>
      </c>
      <c r="AK961" s="46">
        <f>=+AY961</f>
      </c>
      <c r="AL961" s="46"/>
      <c r="AM961" s="1"/>
      <c r="AN961" s="1">
        <f>=COUNTIF(E961:AI961,"A")+COUNTIF(E961:AI961,"B")+COUNTIF(E961:AI961,"C")+COUNTIF(E961:AI961,"D")+COUNTIF(E961:AI961,"E")+COUNTIF(E961:AI961,"F")+COUNTIF(E961:AI961,"M")+COUNTIF(E961:AI961,"AB")+COUNTIF(E961:AI961,"UZ")+COUNTIF(E961:AI961,"G")+(COUNTIF(E961:AI961,"RT.")/2)+(COUNTIF(E961:AI961,"ÇRT.")/2)</f>
      </c>
      <c r="AO961" s="1">
        <f>=COUNTIF(E961:AI961,"O")</f>
      </c>
      <c r="AP961" s="1">
        <f>=COUNTIF(E961:AI961,"RT")+(COUNTIF(E961:AI961,"RT.")/2)</f>
      </c>
      <c r="AQ961" s="1">
        <f>=COUNTIF(E961:AI961,"ÇRT")+(COUNTIF(E961:AI961,"ÇRT.")/2)</f>
      </c>
      <c r="AR961" s="1">
        <f>=COUNTIF(E961:AI961,"ÇHT")</f>
      </c>
      <c r="AS961" s="1">
        <f>=COUNTIF(E961:AI961,"Ö")+COUNTIF(E961:AI961,"T")</f>
      </c>
      <c r="AT961" s="1">
        <f>=COUNTIF(E961:AI961,"Y")</f>
      </c>
      <c r="AU961" s="1">
        <f>=COUNTIF(E961:AI961,"R.")</f>
      </c>
      <c r="AV961" s="1">
        <f>=COUNTIF(E961:AI961,"Ü")</f>
      </c>
      <c r="AW961" s="1">
        <f>=COUNTIF(E961:AI961,"R")</f>
      </c>
      <c r="AX961" s="1">
        <f>=COUNTIF(E961:AI961,"DV")</f>
      </c>
      <c r="AY961" s="1">
        <f>=+AN961+AO961+AP961+AQ961+AR961+AS961+AT961+AU961</f>
      </c>
    </row>
    <row r="962" ht="16" customHeight="1" spans="1:51" x14ac:dyDescent="0.25">
      <c r="A962" s="45"/>
      <c r="B962" s="46"/>
      <c r="C962" s="46"/>
      <c r="D962" s="46" t="s">
        <v>33</v>
      </c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  <c r="AB962" s="46"/>
      <c r="AC962" s="46"/>
      <c r="AD962" s="46"/>
      <c r="AE962" s="46"/>
      <c r="AF962" s="46"/>
      <c r="AG962" s="46"/>
      <c r="AH962" s="46"/>
      <c r="AI962" s="46"/>
      <c r="AJ962" s="46"/>
      <c r="AK962" s="46"/>
      <c r="AL962" s="46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</row>
    <row r="963" ht="16" customHeight="1" spans="1:51" x14ac:dyDescent="0.25">
      <c r="A963" s="45"/>
      <c r="B963" s="46" t="s">
        <v>1008</v>
      </c>
      <c r="C963" s="46" t="s">
        <v>1009</v>
      </c>
      <c r="D963" s="46" t="s">
        <v>29</v>
      </c>
      <c r="E963" s="46" t="s">
        <v>42</v>
      </c>
      <c r="F963" s="46" t="s">
        <v>37</v>
      </c>
      <c r="G963" s="46" t="s">
        <v>42</v>
      </c>
      <c r="H963" s="46" t="s">
        <v>42</v>
      </c>
      <c r="I963" s="46" t="s">
        <v>42</v>
      </c>
      <c r="J963" s="46" t="s">
        <v>42</v>
      </c>
      <c r="K963" s="46" t="s">
        <v>42</v>
      </c>
      <c r="L963" s="46" t="s">
        <v>42</v>
      </c>
      <c r="M963" s="46" t="s">
        <v>37</v>
      </c>
      <c r="N963" s="46" t="s">
        <v>42</v>
      </c>
      <c r="O963" s="46" t="s">
        <v>42</v>
      </c>
      <c r="P963" s="46" t="s">
        <v>42</v>
      </c>
      <c r="Q963" s="46" t="s">
        <v>42</v>
      </c>
      <c r="R963" s="46" t="s">
        <v>42</v>
      </c>
      <c r="S963" s="46" t="s">
        <v>42</v>
      </c>
      <c r="T963" s="46" t="s">
        <v>37</v>
      </c>
      <c r="U963" s="46" t="s">
        <v>42</v>
      </c>
      <c r="V963" s="46" t="s">
        <v>42</v>
      </c>
      <c r="W963" s="46" t="s">
        <v>42</v>
      </c>
      <c r="X963" s="46" t="s">
        <v>42</v>
      </c>
      <c r="Y963" s="46" t="s">
        <v>42</v>
      </c>
      <c r="Z963" s="46" t="s">
        <v>42</v>
      </c>
      <c r="AA963" s="46" t="s">
        <v>37</v>
      </c>
      <c r="AB963" s="46" t="s">
        <v>42</v>
      </c>
      <c r="AC963" s="46" t="s">
        <v>42</v>
      </c>
      <c r="AD963" s="46" t="s">
        <v>37</v>
      </c>
      <c r="AE963" s="46" t="s">
        <v>42</v>
      </c>
      <c r="AF963" s="46" t="s">
        <v>42</v>
      </c>
      <c r="AG963" s="46" t="s">
        <v>42</v>
      </c>
      <c r="AH963" s="46" t="s">
        <v>43</v>
      </c>
      <c r="AI963" s="46" t="s">
        <v>42</v>
      </c>
      <c r="AJ963" s="46">
        <f>=SUM(E964:AI964)</f>
      </c>
      <c r="AK963" s="46">
        <f>=+AY963</f>
      </c>
      <c r="AL963" s="46"/>
      <c r="AM963" s="1"/>
      <c r="AN963" s="1">
        <f>=COUNTIF(E963:AI963,"A")+COUNTIF(E963:AI963,"B")+COUNTIF(E963:AI963,"C")+COUNTIF(E963:AI963,"D")+COUNTIF(E963:AI963,"E")+COUNTIF(E963:AI963,"F")+COUNTIF(E963:AI963,"M")+COUNTIF(E963:AI963,"AB")+COUNTIF(E963:AI963,"UZ")+COUNTIF(E963:AI963,"G")+(COUNTIF(E963:AI963,"RT.")/2)+(COUNTIF(E963:AI963,"ÇRT.")/2)</f>
      </c>
      <c r="AO963" s="1">
        <f>=COUNTIF(E963:AI963,"O")</f>
      </c>
      <c r="AP963" s="1">
        <f>=COUNTIF(E963:AI963,"RT")+(COUNTIF(E963:AI963,"RT.")/2)</f>
      </c>
      <c r="AQ963" s="1">
        <f>=COUNTIF(E963:AI963,"ÇRT")+(COUNTIF(E963:AI963,"ÇRT.")/2)</f>
      </c>
      <c r="AR963" s="1">
        <f>=COUNTIF(E963:AI963,"ÇHT")</f>
      </c>
      <c r="AS963" s="1">
        <f>=COUNTIF(E963:AI963,"Ö")+COUNTIF(E963:AI963,"T")</f>
      </c>
      <c r="AT963" s="1">
        <f>=COUNTIF(E963:AI963,"Y")</f>
      </c>
      <c r="AU963" s="1">
        <f>=COUNTIF(E963:AI963,"R.")</f>
      </c>
      <c r="AV963" s="1">
        <f>=COUNTIF(E963:AI963,"Ü")</f>
      </c>
      <c r="AW963" s="1">
        <f>=COUNTIF(E963:AI963,"R")</f>
      </c>
      <c r="AX963" s="1">
        <f>=COUNTIF(E963:AI963,"DV")</f>
      </c>
      <c r="AY963" s="1">
        <f>=+AN963+AO963+AP963+AQ963+AR963+AS963+AT963+AU963</f>
      </c>
    </row>
    <row r="964" ht="16" customHeight="1" spans="1:51" x14ac:dyDescent="0.25">
      <c r="A964" s="45"/>
      <c r="B964" s="46"/>
      <c r="C964" s="46"/>
      <c r="D964" s="46" t="s">
        <v>33</v>
      </c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  <c r="AB964" s="46"/>
      <c r="AC964" s="46"/>
      <c r="AD964" s="46"/>
      <c r="AE964" s="46"/>
      <c r="AF964" s="46"/>
      <c r="AG964" s="46"/>
      <c r="AH964" s="46"/>
      <c r="AI964" s="46"/>
      <c r="AJ964" s="46"/>
      <c r="AK964" s="46"/>
      <c r="AL964" s="46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</row>
    <row r="965" ht="16" customHeight="1" spans="1:51" x14ac:dyDescent="0.25">
      <c r="A965" s="45"/>
      <c r="B965" s="46" t="s">
        <v>1010</v>
      </c>
      <c r="C965" s="46" t="s">
        <v>1011</v>
      </c>
      <c r="D965" s="46" t="s">
        <v>29</v>
      </c>
      <c r="E965" s="46" t="s">
        <v>36</v>
      </c>
      <c r="F965" s="46" t="s">
        <v>36</v>
      </c>
      <c r="G965" s="46" t="s">
        <v>36</v>
      </c>
      <c r="H965" s="46" t="s">
        <v>37</v>
      </c>
      <c r="I965" s="46" t="s">
        <v>36</v>
      </c>
      <c r="J965" s="46" t="s">
        <v>36</v>
      </c>
      <c r="K965" s="46" t="s">
        <v>36</v>
      </c>
      <c r="L965" s="46" t="s">
        <v>36</v>
      </c>
      <c r="M965" s="46" t="s">
        <v>46</v>
      </c>
      <c r="N965" s="46" t="s">
        <v>36</v>
      </c>
      <c r="O965" s="46" t="s">
        <v>37</v>
      </c>
      <c r="P965" s="46" t="s">
        <v>36</v>
      </c>
      <c r="Q965" s="46" t="s">
        <v>36</v>
      </c>
      <c r="R965" s="46" t="s">
        <v>36</v>
      </c>
      <c r="S965" s="46" t="s">
        <v>36</v>
      </c>
      <c r="T965" s="46" t="s">
        <v>36</v>
      </c>
      <c r="U965" s="46" t="s">
        <v>36</v>
      </c>
      <c r="V965" s="46" t="s">
        <v>36</v>
      </c>
      <c r="W965" s="46" t="s">
        <v>36</v>
      </c>
      <c r="X965" s="46" t="s">
        <v>37</v>
      </c>
      <c r="Y965" s="46" t="s">
        <v>36</v>
      </c>
      <c r="Z965" s="46" t="s">
        <v>36</v>
      </c>
      <c r="AA965" s="46" t="s">
        <v>36</v>
      </c>
      <c r="AB965" s="46" t="s">
        <v>46</v>
      </c>
      <c r="AC965" s="46" t="s">
        <v>59</v>
      </c>
      <c r="AD965" s="46" t="s">
        <v>37</v>
      </c>
      <c r="AE965" s="46" t="s">
        <v>59</v>
      </c>
      <c r="AF965" s="46" t="s">
        <v>59</v>
      </c>
      <c r="AG965" s="46" t="s">
        <v>59</v>
      </c>
      <c r="AH965" s="46" t="s">
        <v>43</v>
      </c>
      <c r="AI965" s="46" t="s">
        <v>59</v>
      </c>
      <c r="AJ965" s="46">
        <f>=SUM(E966:AI966)</f>
      </c>
      <c r="AK965" s="46">
        <f>=+AY965</f>
      </c>
      <c r="AL965" s="46"/>
      <c r="AM965" s="1"/>
      <c r="AN965" s="1">
        <f>=COUNTIF(E965:AI965,"A")+COUNTIF(E965:AI965,"B")+COUNTIF(E965:AI965,"C")+COUNTIF(E965:AI965,"D")+COUNTIF(E965:AI965,"E")+COUNTIF(E965:AI965,"F")+COUNTIF(E965:AI965,"M")+COUNTIF(E965:AI965,"AB")+COUNTIF(E965:AI965,"UZ")+COUNTIF(E965:AI965,"G")+(COUNTIF(E965:AI965,"RT.")/2)+(COUNTIF(E965:AI965,"ÇRT.")/2)</f>
      </c>
      <c r="AO965" s="1">
        <f>=COUNTIF(E965:AI965,"O")</f>
      </c>
      <c r="AP965" s="1">
        <f>=COUNTIF(E965:AI965,"RT")+(COUNTIF(E965:AI965,"RT.")/2)</f>
      </c>
      <c r="AQ965" s="1">
        <f>=COUNTIF(E965:AI965,"ÇRT")+(COUNTIF(E965:AI965,"ÇRT.")/2)</f>
      </c>
      <c r="AR965" s="1">
        <f>=COUNTIF(E965:AI965,"ÇHT")</f>
      </c>
      <c r="AS965" s="1">
        <f>=COUNTIF(E965:AI965,"Ö")+COUNTIF(E965:AI965,"T")</f>
      </c>
      <c r="AT965" s="1">
        <f>=COUNTIF(E965:AI965,"Y")</f>
      </c>
      <c r="AU965" s="1">
        <f>=COUNTIF(E965:AI965,"R.")</f>
      </c>
      <c r="AV965" s="1">
        <f>=COUNTIF(E965:AI965,"Ü")</f>
      </c>
      <c r="AW965" s="1">
        <f>=COUNTIF(E965:AI965,"R")</f>
      </c>
      <c r="AX965" s="1">
        <f>=COUNTIF(E965:AI965,"DV")</f>
      </c>
      <c r="AY965" s="1">
        <f>=+AN965+AO965+AP965+AQ965+AR965+AS965+AT965+AU965</f>
      </c>
    </row>
    <row r="966" ht="16" customHeight="1" spans="1:51" x14ac:dyDescent="0.25">
      <c r="A966" s="45"/>
      <c r="B966" s="46"/>
      <c r="C966" s="46"/>
      <c r="D966" s="46" t="s">
        <v>33</v>
      </c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  <c r="AB966" s="46"/>
      <c r="AC966" s="46"/>
      <c r="AD966" s="46"/>
      <c r="AE966" s="46"/>
      <c r="AF966" s="46"/>
      <c r="AG966" s="46"/>
      <c r="AH966" s="46"/>
      <c r="AI966" s="46"/>
      <c r="AJ966" s="46"/>
      <c r="AK966" s="46"/>
      <c r="AL966" s="46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</row>
    <row r="967" ht="16" customHeight="1" spans="1:51" x14ac:dyDescent="0.25">
      <c r="A967" s="45"/>
      <c r="B967" s="46" t="s">
        <v>1012</v>
      </c>
      <c r="C967" s="46" t="s">
        <v>1013</v>
      </c>
      <c r="D967" s="46" t="s">
        <v>29</v>
      </c>
      <c r="E967" s="46" t="s">
        <v>36</v>
      </c>
      <c r="F967" s="46" t="s">
        <v>37</v>
      </c>
      <c r="G967" s="46" t="s">
        <v>36</v>
      </c>
      <c r="H967" s="46" t="s">
        <v>36</v>
      </c>
      <c r="I967" s="46" t="s">
        <v>36</v>
      </c>
      <c r="J967" s="46" t="s">
        <v>36</v>
      </c>
      <c r="K967" s="46" t="s">
        <v>37</v>
      </c>
      <c r="L967" s="46" t="s">
        <v>36</v>
      </c>
      <c r="M967" s="46" t="s">
        <v>36</v>
      </c>
      <c r="N967" s="46" t="s">
        <v>59</v>
      </c>
      <c r="O967" s="46" t="s">
        <v>59</v>
      </c>
      <c r="P967" s="46" t="s">
        <v>59</v>
      </c>
      <c r="Q967" s="46" t="s">
        <v>59</v>
      </c>
      <c r="R967" s="46" t="s">
        <v>31</v>
      </c>
      <c r="S967" s="46" t="s">
        <v>31</v>
      </c>
      <c r="T967" s="46" t="s">
        <v>37</v>
      </c>
      <c r="U967" s="46" t="s">
        <v>59</v>
      </c>
      <c r="V967" s="46" t="s">
        <v>37</v>
      </c>
      <c r="W967" s="46" t="s">
        <v>59</v>
      </c>
      <c r="X967" s="46" t="s">
        <v>59</v>
      </c>
      <c r="Y967" s="46" t="s">
        <v>59</v>
      </c>
      <c r="Z967" s="46" t="s">
        <v>59</v>
      </c>
      <c r="AA967" s="46" t="s">
        <v>59</v>
      </c>
      <c r="AB967" s="46" t="s">
        <v>59</v>
      </c>
      <c r="AC967" s="46" t="s">
        <v>59</v>
      </c>
      <c r="AD967" s="46" t="s">
        <v>59</v>
      </c>
      <c r="AE967" s="46" t="s">
        <v>59</v>
      </c>
      <c r="AF967" s="46" t="s">
        <v>59</v>
      </c>
      <c r="AG967" s="46" t="s">
        <v>37</v>
      </c>
      <c r="AH967" s="46" t="s">
        <v>43</v>
      </c>
      <c r="AI967" s="46" t="s">
        <v>59</v>
      </c>
      <c r="AJ967" s="46">
        <f>=SUM(E968:AI968)</f>
      </c>
      <c r="AK967" s="46">
        <f>=+AY967</f>
      </c>
      <c r="AL967" s="46"/>
      <c r="AM967" s="1"/>
      <c r="AN967" s="1">
        <f>=COUNTIF(E967:AI967,"A")+COUNTIF(E967:AI967,"B")+COUNTIF(E967:AI967,"C")+COUNTIF(E967:AI967,"D")+COUNTIF(E967:AI967,"E")+COUNTIF(E967:AI967,"F")+COUNTIF(E967:AI967,"M")+COUNTIF(E967:AI967,"AB")+COUNTIF(E967:AI967,"UZ")+COUNTIF(E967:AI967,"G")+(COUNTIF(E967:AI967,"RT.")/2)+(COUNTIF(E967:AI967,"ÇRT.")/2)</f>
      </c>
      <c r="AO967" s="1">
        <f>=COUNTIF(E967:AI967,"O")</f>
      </c>
      <c r="AP967" s="1">
        <f>=COUNTIF(E967:AI967,"RT")+(COUNTIF(E967:AI967,"RT.")/2)</f>
      </c>
      <c r="AQ967" s="1">
        <f>=COUNTIF(E967:AI967,"ÇRT")+(COUNTIF(E967:AI967,"ÇRT.")/2)</f>
      </c>
      <c r="AR967" s="1">
        <f>=COUNTIF(E967:AI967,"ÇHT")</f>
      </c>
      <c r="AS967" s="1">
        <f>=COUNTIF(E967:AI967,"Ö")+COUNTIF(E967:AI967,"T")</f>
      </c>
      <c r="AT967" s="1">
        <f>=COUNTIF(E967:AI967,"Y")</f>
      </c>
      <c r="AU967" s="1">
        <f>=COUNTIF(E967:AI967,"R.")</f>
      </c>
      <c r="AV967" s="1">
        <f>=COUNTIF(E967:AI967,"Ü")</f>
      </c>
      <c r="AW967" s="1">
        <f>=COUNTIF(E967:AI967,"R")</f>
      </c>
      <c r="AX967" s="1">
        <f>=COUNTIF(E967:AI967,"DV")</f>
      </c>
      <c r="AY967" s="1">
        <f>=+AN967+AO967+AP967+AQ967+AR967+AS967+AT967+AU967</f>
      </c>
    </row>
    <row r="968" ht="16" customHeight="1" spans="1:51" x14ac:dyDescent="0.25">
      <c r="A968" s="45"/>
      <c r="B968" s="46"/>
      <c r="C968" s="46"/>
      <c r="D968" s="46" t="s">
        <v>33</v>
      </c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  <c r="AB968" s="46"/>
      <c r="AC968" s="46"/>
      <c r="AD968" s="46"/>
      <c r="AE968" s="46"/>
      <c r="AF968" s="46"/>
      <c r="AG968" s="46"/>
      <c r="AH968" s="46"/>
      <c r="AI968" s="46"/>
      <c r="AJ968" s="46"/>
      <c r="AK968" s="46"/>
      <c r="AL968" s="46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</row>
    <row r="969" ht="16" customHeight="1" spans="1:51" x14ac:dyDescent="0.25">
      <c r="A969" s="45"/>
      <c r="B969" s="46" t="s">
        <v>1014</v>
      </c>
      <c r="C969" s="46" t="s">
        <v>1015</v>
      </c>
      <c r="D969" s="46" t="s">
        <v>29</v>
      </c>
      <c r="E969" s="46" t="s">
        <v>30</v>
      </c>
      <c r="F969" s="46" t="s">
        <v>30</v>
      </c>
      <c r="G969" s="46" t="s">
        <v>30</v>
      </c>
      <c r="H969" s="46" t="s">
        <v>30</v>
      </c>
      <c r="I969" s="46" t="s">
        <v>30</v>
      </c>
      <c r="J969" s="46" t="s">
        <v>30</v>
      </c>
      <c r="K969" s="46" t="s">
        <v>30</v>
      </c>
      <c r="L969" s="46" t="s">
        <v>30</v>
      </c>
      <c r="M969" s="46" t="s">
        <v>37</v>
      </c>
      <c r="N969" s="46" t="s">
        <v>30</v>
      </c>
      <c r="O969" s="46" t="s">
        <v>30</v>
      </c>
      <c r="P969" s="46" t="s">
        <v>30</v>
      </c>
      <c r="Q969" s="46" t="s">
        <v>30</v>
      </c>
      <c r="R969" s="46" t="s">
        <v>30</v>
      </c>
      <c r="S969" s="46" t="s">
        <v>30</v>
      </c>
      <c r="T969" s="46" t="s">
        <v>37</v>
      </c>
      <c r="U969" s="46" t="s">
        <v>36</v>
      </c>
      <c r="V969" s="46" t="s">
        <v>37</v>
      </c>
      <c r="W969" s="46" t="s">
        <v>36</v>
      </c>
      <c r="X969" s="46" t="s">
        <v>36</v>
      </c>
      <c r="Y969" s="46" t="s">
        <v>36</v>
      </c>
      <c r="Z969" s="46" t="s">
        <v>36</v>
      </c>
      <c r="AA969" s="46" t="s">
        <v>36</v>
      </c>
      <c r="AB969" s="46" t="s">
        <v>36</v>
      </c>
      <c r="AC969" s="46" t="s">
        <v>36</v>
      </c>
      <c r="AD969" s="46" t="s">
        <v>37</v>
      </c>
      <c r="AE969" s="46" t="s">
        <v>36</v>
      </c>
      <c r="AF969" s="46" t="s">
        <v>36</v>
      </c>
      <c r="AG969" s="46" t="s">
        <v>36</v>
      </c>
      <c r="AH969" s="46" t="s">
        <v>43</v>
      </c>
      <c r="AI969" s="46" t="s">
        <v>36</v>
      </c>
      <c r="AJ969" s="46">
        <f>=SUM(E970:AI970)</f>
      </c>
      <c r="AK969" s="46">
        <f>=+AY969</f>
      </c>
      <c r="AL969" s="46"/>
      <c r="AM969" s="1"/>
      <c r="AN969" s="1">
        <f>=COUNTIF(E969:AI969,"A")+COUNTIF(E969:AI969,"B")+COUNTIF(E969:AI969,"C")+COUNTIF(E969:AI969,"D")+COUNTIF(E969:AI969,"E")+COUNTIF(E969:AI969,"F")+COUNTIF(E969:AI969,"M")+COUNTIF(E969:AI969,"AB")+COUNTIF(E969:AI969,"UZ")+COUNTIF(E969:AI969,"G")+(COUNTIF(E969:AI969,"RT.")/2)+(COUNTIF(E969:AI969,"ÇRT.")/2)</f>
      </c>
      <c r="AO969" s="1">
        <f>=COUNTIF(E969:AI969,"O")</f>
      </c>
      <c r="AP969" s="1">
        <f>=COUNTIF(E969:AI969,"RT")+(COUNTIF(E969:AI969,"RT.")/2)</f>
      </c>
      <c r="AQ969" s="1">
        <f>=COUNTIF(E969:AI969,"ÇRT")+(COUNTIF(E969:AI969,"ÇRT.")/2)</f>
      </c>
      <c r="AR969" s="1">
        <f>=COUNTIF(E969:AI969,"ÇHT")</f>
      </c>
      <c r="AS969" s="1">
        <f>=COUNTIF(E969:AI969,"Ö")+COUNTIF(E969:AI969,"T")</f>
      </c>
      <c r="AT969" s="1">
        <f>=COUNTIF(E969:AI969,"Y")</f>
      </c>
      <c r="AU969" s="1">
        <f>=COUNTIF(E969:AI969,"R.")</f>
      </c>
      <c r="AV969" s="1">
        <f>=COUNTIF(E969:AI969,"Ü")</f>
      </c>
      <c r="AW969" s="1">
        <f>=COUNTIF(E969:AI969,"R")</f>
      </c>
      <c r="AX969" s="1">
        <f>=COUNTIF(E969:AI969,"DV")</f>
      </c>
      <c r="AY969" s="1">
        <f>=+AN969+AO969+AP969+AQ969+AR969+AS969+AT969+AU969</f>
      </c>
    </row>
    <row r="970" ht="16" customHeight="1" spans="1:51" x14ac:dyDescent="0.25">
      <c r="A970" s="45"/>
      <c r="B970" s="46"/>
      <c r="C970" s="46"/>
      <c r="D970" s="46" t="s">
        <v>33</v>
      </c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  <c r="AB970" s="46"/>
      <c r="AC970" s="46"/>
      <c r="AD970" s="46"/>
      <c r="AE970" s="46"/>
      <c r="AF970" s="46"/>
      <c r="AG970" s="46"/>
      <c r="AH970" s="46"/>
      <c r="AI970" s="46"/>
      <c r="AJ970" s="46"/>
      <c r="AK970" s="46"/>
      <c r="AL970" s="46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</row>
    <row r="971" ht="16" customHeight="1" spans="1:51" x14ac:dyDescent="0.25">
      <c r="A971" s="45"/>
      <c r="B971" s="46" t="s">
        <v>1016</v>
      </c>
      <c r="C971" s="46" t="s">
        <v>1017</v>
      </c>
      <c r="D971" s="46" t="s">
        <v>29</v>
      </c>
      <c r="E971" s="46" t="s">
        <v>37</v>
      </c>
      <c r="F971" s="46" t="s">
        <v>36</v>
      </c>
      <c r="G971" s="46" t="s">
        <v>59</v>
      </c>
      <c r="H971" s="46" t="s">
        <v>59</v>
      </c>
      <c r="I971" s="46" t="s">
        <v>37</v>
      </c>
      <c r="J971" s="46" t="s">
        <v>59</v>
      </c>
      <c r="K971" s="46" t="s">
        <v>46</v>
      </c>
      <c r="L971" s="46" t="s">
        <v>36</v>
      </c>
      <c r="M971" s="46" t="s">
        <v>36</v>
      </c>
      <c r="N971" s="46" t="s">
        <v>36</v>
      </c>
      <c r="O971" s="46" t="s">
        <v>36</v>
      </c>
      <c r="P971" s="46" t="s">
        <v>36</v>
      </c>
      <c r="Q971" s="46" t="s">
        <v>36</v>
      </c>
      <c r="R971" s="46" t="s">
        <v>37</v>
      </c>
      <c r="S971" s="46" t="s">
        <v>31</v>
      </c>
      <c r="T971" s="46" t="s">
        <v>32</v>
      </c>
      <c r="U971" s="46" t="s">
        <v>32</v>
      </c>
      <c r="V971" s="46" t="s">
        <v>32</v>
      </c>
      <c r="W971" s="46" t="s">
        <v>36</v>
      </c>
      <c r="X971" s="46" t="s">
        <v>36</v>
      </c>
      <c r="Y971" s="46" t="s">
        <v>37</v>
      </c>
      <c r="Z971" s="46" t="s">
        <v>36</v>
      </c>
      <c r="AA971" s="46" t="s">
        <v>36</v>
      </c>
      <c r="AB971" s="46" t="s">
        <v>36</v>
      </c>
      <c r="AC971" s="46" t="s">
        <v>36</v>
      </c>
      <c r="AD971" s="46" t="s">
        <v>36</v>
      </c>
      <c r="AE971" s="46" t="s">
        <v>37</v>
      </c>
      <c r="AF971" s="46" t="s">
        <v>59</v>
      </c>
      <c r="AG971" s="46" t="s">
        <v>59</v>
      </c>
      <c r="AH971" s="46" t="s">
        <v>43</v>
      </c>
      <c r="AI971" s="46" t="s">
        <v>59</v>
      </c>
      <c r="AJ971" s="46">
        <f>=SUM(E972:AI972)</f>
      </c>
      <c r="AK971" s="46">
        <f>=+AY971</f>
      </c>
      <c r="AL971" s="46"/>
      <c r="AM971" s="1"/>
      <c r="AN971" s="1">
        <f>=COUNTIF(E971:AI971,"A")+COUNTIF(E971:AI971,"B")+COUNTIF(E971:AI971,"C")+COUNTIF(E971:AI971,"D")+COUNTIF(E971:AI971,"E")+COUNTIF(E971:AI971,"F")+COUNTIF(E971:AI971,"M")+COUNTIF(E971:AI971,"AB")+COUNTIF(E971:AI971,"UZ")+COUNTIF(E971:AI971,"G")+(COUNTIF(E971:AI971,"RT.")/2)+(COUNTIF(E971:AI971,"ÇRT.")/2)</f>
      </c>
      <c r="AO971" s="1">
        <f>=COUNTIF(E971:AI971,"O")</f>
      </c>
      <c r="AP971" s="1">
        <f>=COUNTIF(E971:AI971,"RT")+(COUNTIF(E971:AI971,"RT.")/2)</f>
      </c>
      <c r="AQ971" s="1">
        <f>=COUNTIF(E971:AI971,"ÇRT")+(COUNTIF(E971:AI971,"ÇRT.")/2)</f>
      </c>
      <c r="AR971" s="1">
        <f>=COUNTIF(E971:AI971,"ÇHT")</f>
      </c>
      <c r="AS971" s="1">
        <f>=COUNTIF(E971:AI971,"Ö")+COUNTIF(E971:AI971,"T")</f>
      </c>
      <c r="AT971" s="1">
        <f>=COUNTIF(E971:AI971,"Y")</f>
      </c>
      <c r="AU971" s="1">
        <f>=COUNTIF(E971:AI971,"R.")</f>
      </c>
      <c r="AV971" s="1">
        <f>=COUNTIF(E971:AI971,"Ü")</f>
      </c>
      <c r="AW971" s="1">
        <f>=COUNTIF(E971:AI971,"R")</f>
      </c>
      <c r="AX971" s="1">
        <f>=COUNTIF(E971:AI971,"DV")</f>
      </c>
      <c r="AY971" s="1">
        <f>=+AN971+AO971+AP971+AQ971+AR971+AS971+AT971+AU971</f>
      </c>
    </row>
    <row r="972" ht="16" customHeight="1" spans="1:51" x14ac:dyDescent="0.25">
      <c r="A972" s="45"/>
      <c r="B972" s="46"/>
      <c r="C972" s="46"/>
      <c r="D972" s="46" t="s">
        <v>33</v>
      </c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  <c r="AB972" s="46"/>
      <c r="AC972" s="46"/>
      <c r="AD972" s="46"/>
      <c r="AE972" s="46"/>
      <c r="AF972" s="46"/>
      <c r="AG972" s="46"/>
      <c r="AH972" s="46"/>
      <c r="AI972" s="46"/>
      <c r="AJ972" s="46"/>
      <c r="AK972" s="46"/>
      <c r="AL972" s="46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</row>
    <row r="973" ht="16" customHeight="1" spans="1:51" x14ac:dyDescent="0.25">
      <c r="A973" s="45"/>
      <c r="B973" s="46" t="s">
        <v>1018</v>
      </c>
      <c r="C973" s="46" t="s">
        <v>1019</v>
      </c>
      <c r="D973" s="46" t="s">
        <v>29</v>
      </c>
      <c r="E973" s="46" t="s">
        <v>46</v>
      </c>
      <c r="F973" s="46" t="s">
        <v>36</v>
      </c>
      <c r="G973" s="46" t="s">
        <v>59</v>
      </c>
      <c r="H973" s="46" t="s">
        <v>59</v>
      </c>
      <c r="I973" s="46" t="s">
        <v>59</v>
      </c>
      <c r="J973" s="46" t="s">
        <v>37</v>
      </c>
      <c r="K973" s="46" t="s">
        <v>59</v>
      </c>
      <c r="L973" s="46" t="s">
        <v>46</v>
      </c>
      <c r="M973" s="46" t="s">
        <v>59</v>
      </c>
      <c r="N973" s="46" t="s">
        <v>59</v>
      </c>
      <c r="O973" s="46" t="s">
        <v>59</v>
      </c>
      <c r="P973" s="46" t="s">
        <v>37</v>
      </c>
      <c r="Q973" s="46" t="s">
        <v>46</v>
      </c>
      <c r="R973" s="46" t="s">
        <v>46</v>
      </c>
      <c r="S973" s="46" t="s">
        <v>59</v>
      </c>
      <c r="T973" s="46" t="s">
        <v>59</v>
      </c>
      <c r="U973" s="46" t="s">
        <v>59</v>
      </c>
      <c r="V973" s="46" t="s">
        <v>59</v>
      </c>
      <c r="W973" s="46" t="s">
        <v>37</v>
      </c>
      <c r="X973" s="46" t="s">
        <v>59</v>
      </c>
      <c r="Y973" s="46" t="s">
        <v>59</v>
      </c>
      <c r="Z973" s="46" t="s">
        <v>59</v>
      </c>
      <c r="AA973" s="46" t="s">
        <v>59</v>
      </c>
      <c r="AB973" s="46" t="s">
        <v>46</v>
      </c>
      <c r="AC973" s="46" t="s">
        <v>59</v>
      </c>
      <c r="AD973" s="46" t="s">
        <v>37</v>
      </c>
      <c r="AE973" s="46" t="s">
        <v>36</v>
      </c>
      <c r="AF973" s="46" t="s">
        <v>36</v>
      </c>
      <c r="AG973" s="46" t="s">
        <v>36</v>
      </c>
      <c r="AH973" s="46" t="s">
        <v>43</v>
      </c>
      <c r="AI973" s="46" t="s">
        <v>36</v>
      </c>
      <c r="AJ973" s="46">
        <f>=SUM(E974:AI974)</f>
      </c>
      <c r="AK973" s="46">
        <f>=+AY973</f>
      </c>
      <c r="AL973" s="46"/>
      <c r="AM973" s="1"/>
      <c r="AN973" s="1">
        <f>=COUNTIF(E973:AI973,"A")+COUNTIF(E973:AI973,"B")+COUNTIF(E973:AI973,"C")+COUNTIF(E973:AI973,"D")+COUNTIF(E973:AI973,"E")+COUNTIF(E973:AI973,"F")+COUNTIF(E973:AI973,"M")+COUNTIF(E973:AI973,"AB")+COUNTIF(E973:AI973,"UZ")+COUNTIF(E973:AI973,"G")+(COUNTIF(E973:AI973,"RT.")/2)+(COUNTIF(E973:AI973,"ÇRT.")/2)</f>
      </c>
      <c r="AO973" s="1">
        <f>=COUNTIF(E973:AI973,"O")</f>
      </c>
      <c r="AP973" s="1">
        <f>=COUNTIF(E973:AI973,"RT")+(COUNTIF(E973:AI973,"RT.")/2)</f>
      </c>
      <c r="AQ973" s="1">
        <f>=COUNTIF(E973:AI973,"ÇRT")+(COUNTIF(E973:AI973,"ÇRT.")/2)</f>
      </c>
      <c r="AR973" s="1">
        <f>=COUNTIF(E973:AI973,"ÇHT")</f>
      </c>
      <c r="AS973" s="1">
        <f>=COUNTIF(E973:AI973,"Ö")+COUNTIF(E973:AI973,"T")</f>
      </c>
      <c r="AT973" s="1">
        <f>=COUNTIF(E973:AI973,"Y")</f>
      </c>
      <c r="AU973" s="1">
        <f>=COUNTIF(E973:AI973,"R.")</f>
      </c>
      <c r="AV973" s="1">
        <f>=COUNTIF(E973:AI973,"Ü")</f>
      </c>
      <c r="AW973" s="1">
        <f>=COUNTIF(E973:AI973,"R")</f>
      </c>
      <c r="AX973" s="1">
        <f>=COUNTIF(E973:AI973,"DV")</f>
      </c>
      <c r="AY973" s="1">
        <f>=+AN973+AO973+AP973+AQ973+AR973+AS973+AT973+AU973</f>
      </c>
    </row>
    <row r="974" ht="16" customHeight="1" spans="1:51" x14ac:dyDescent="0.25">
      <c r="A974" s="45"/>
      <c r="B974" s="46"/>
      <c r="C974" s="46"/>
      <c r="D974" s="46" t="s">
        <v>33</v>
      </c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  <c r="AB974" s="46"/>
      <c r="AC974" s="46"/>
      <c r="AD974" s="46"/>
      <c r="AE974" s="46"/>
      <c r="AF974" s="46"/>
      <c r="AG974" s="46"/>
      <c r="AH974" s="46"/>
      <c r="AI974" s="46"/>
      <c r="AJ974" s="46"/>
      <c r="AK974" s="46"/>
      <c r="AL974" s="46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</row>
    <row r="975" ht="16" customHeight="1" spans="1:51" x14ac:dyDescent="0.25">
      <c r="A975" s="45"/>
      <c r="B975" s="46"/>
      <c r="C975" s="46" t="s">
        <v>1020</v>
      </c>
      <c r="D975" s="46" t="s">
        <v>29</v>
      </c>
      <c r="E975" s="46" t="s">
        <v>46</v>
      </c>
      <c r="F975" s="46" t="s">
        <v>37</v>
      </c>
      <c r="G975" s="46" t="s">
        <v>46</v>
      </c>
      <c r="H975" s="46" t="s">
        <v>46</v>
      </c>
      <c r="I975" s="46" t="s">
        <v>46</v>
      </c>
      <c r="J975" s="46" t="s">
        <v>46</v>
      </c>
      <c r="K975" s="46" t="s">
        <v>46</v>
      </c>
      <c r="L975" s="46" t="s">
        <v>46</v>
      </c>
      <c r="M975" s="46" t="s">
        <v>37</v>
      </c>
      <c r="N975" s="46" t="s">
        <v>46</v>
      </c>
      <c r="O975" s="46" t="s">
        <v>46</v>
      </c>
      <c r="P975" s="46" t="s">
        <v>46</v>
      </c>
      <c r="Q975" s="46" t="s">
        <v>46</v>
      </c>
      <c r="R975" s="46" t="s">
        <v>46</v>
      </c>
      <c r="S975" s="46" t="s">
        <v>46</v>
      </c>
      <c r="T975" s="46" t="s">
        <v>37</v>
      </c>
      <c r="U975" s="46" t="s">
        <v>46</v>
      </c>
      <c r="V975" s="46" t="s">
        <v>46</v>
      </c>
      <c r="W975" s="46" t="s">
        <v>46</v>
      </c>
      <c r="X975" s="46" t="s">
        <v>46</v>
      </c>
      <c r="Y975" s="46" t="s">
        <v>46</v>
      </c>
      <c r="Z975" s="46" t="s">
        <v>46</v>
      </c>
      <c r="AA975" s="46" t="s">
        <v>37</v>
      </c>
      <c r="AB975" s="46" t="s">
        <v>46</v>
      </c>
      <c r="AC975" s="46" t="s">
        <v>46</v>
      </c>
      <c r="AD975" s="46" t="s">
        <v>46</v>
      </c>
      <c r="AE975" s="46" t="s">
        <v>46</v>
      </c>
      <c r="AF975" s="46" t="s">
        <v>46</v>
      </c>
      <c r="AG975" s="46" t="s">
        <v>46</v>
      </c>
      <c r="AH975" s="46" t="s">
        <v>37</v>
      </c>
      <c r="AI975" s="46" t="s">
        <v>46</v>
      </c>
      <c r="AJ975" s="46">
        <f>=SUM(E976:AI976)</f>
      </c>
      <c r="AK975" s="46">
        <f>=+AY975</f>
      </c>
      <c r="AL975" s="46"/>
      <c r="AM975" s="1"/>
      <c r="AN975" s="1">
        <f>=COUNTIF(E975:AI975,"A")+COUNTIF(E975:AI975,"B")+COUNTIF(E975:AI975,"C")+COUNTIF(E975:AI975,"D")+COUNTIF(E975:AI975,"E")+COUNTIF(E975:AI975,"F")+COUNTIF(E975:AI975,"M")+COUNTIF(E975:AI975,"AB")+COUNTIF(E975:AI975,"UZ")+COUNTIF(E975:AI975,"G")+(COUNTIF(E975:AI975,"RT.")/2)+(COUNTIF(E975:AI975,"ÇRT.")/2)</f>
      </c>
      <c r="AO975" s="1">
        <f>=COUNTIF(E975:AI975,"O")</f>
      </c>
      <c r="AP975" s="1">
        <f>=COUNTIF(E975:AI975,"RT")+(COUNTIF(E975:AI975,"RT.")/2)</f>
      </c>
      <c r="AQ975" s="1">
        <f>=COUNTIF(E975:AI975,"ÇRT")+(COUNTIF(E975:AI975,"ÇRT.")/2)</f>
      </c>
      <c r="AR975" s="1">
        <f>=COUNTIF(E975:AI975,"ÇHT")</f>
      </c>
      <c r="AS975" s="1">
        <f>=COUNTIF(E975:AI975,"Ö")+COUNTIF(E975:AI975,"T")</f>
      </c>
      <c r="AT975" s="1">
        <f>=COUNTIF(E975:AI975,"Y")</f>
      </c>
      <c r="AU975" s="1">
        <f>=COUNTIF(E975:AI975,"R.")</f>
      </c>
      <c r="AV975" s="1">
        <f>=COUNTIF(E975:AI975,"Ü")</f>
      </c>
      <c r="AW975" s="1">
        <f>=COUNTIF(E975:AI975,"R")</f>
      </c>
      <c r="AX975" s="1">
        <f>=COUNTIF(E975:AI975,"DV")</f>
      </c>
      <c r="AY975" s="1">
        <f>=+AN975+AO975+AP975+AQ975+AR975+AS975+AT975+AU975</f>
      </c>
    </row>
    <row r="976" ht="16" customHeight="1" spans="1:51" x14ac:dyDescent="0.25">
      <c r="A976" s="45"/>
      <c r="B976" s="46"/>
      <c r="C976" s="46"/>
      <c r="D976" s="46" t="s">
        <v>33</v>
      </c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  <c r="AB976" s="46"/>
      <c r="AC976" s="46"/>
      <c r="AD976" s="46"/>
      <c r="AE976" s="46"/>
      <c r="AF976" s="46"/>
      <c r="AG976" s="46"/>
      <c r="AH976" s="46"/>
      <c r="AI976" s="46"/>
      <c r="AJ976" s="46"/>
      <c r="AK976" s="46"/>
      <c r="AL976" s="46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</row>
    <row r="977" ht="16" customHeight="1" spans="1:51" x14ac:dyDescent="0.25">
      <c r="A977" s="45"/>
      <c r="B977" s="46" t="s">
        <v>1021</v>
      </c>
      <c r="C977" s="46" t="s">
        <v>1022</v>
      </c>
      <c r="D977" s="46" t="s">
        <v>29</v>
      </c>
      <c r="E977" s="46" t="s">
        <v>59</v>
      </c>
      <c r="F977" s="46" t="s">
        <v>46</v>
      </c>
      <c r="G977" s="46" t="s">
        <v>37</v>
      </c>
      <c r="H977" s="46" t="s">
        <v>36</v>
      </c>
      <c r="I977" s="46" t="s">
        <v>36</v>
      </c>
      <c r="J977" s="46" t="s">
        <v>36</v>
      </c>
      <c r="K977" s="46" t="s">
        <v>36</v>
      </c>
      <c r="L977" s="46" t="s">
        <v>36</v>
      </c>
      <c r="M977" s="46" t="s">
        <v>36</v>
      </c>
      <c r="N977" s="46" t="s">
        <v>36</v>
      </c>
      <c r="O977" s="46" t="s">
        <v>36</v>
      </c>
      <c r="P977" s="46" t="s">
        <v>36</v>
      </c>
      <c r="Q977" s="46" t="s">
        <v>36</v>
      </c>
      <c r="R977" s="46" t="s">
        <v>37</v>
      </c>
      <c r="S977" s="46" t="s">
        <v>36</v>
      </c>
      <c r="T977" s="46" t="s">
        <v>36</v>
      </c>
      <c r="U977" s="46" t="s">
        <v>36</v>
      </c>
      <c r="V977" s="46" t="s">
        <v>36</v>
      </c>
      <c r="W977" s="46" t="s">
        <v>36</v>
      </c>
      <c r="X977" s="46" t="s">
        <v>36</v>
      </c>
      <c r="Y977" s="46" t="s">
        <v>37</v>
      </c>
      <c r="Z977" s="46" t="s">
        <v>36</v>
      </c>
      <c r="AA977" s="46" t="s">
        <v>36</v>
      </c>
      <c r="AB977" s="46" t="s">
        <v>59</v>
      </c>
      <c r="AC977" s="46" t="s">
        <v>37</v>
      </c>
      <c r="AD977" s="46" t="s">
        <v>59</v>
      </c>
      <c r="AE977" s="46" t="s">
        <v>59</v>
      </c>
      <c r="AF977" s="46" t="s">
        <v>59</v>
      </c>
      <c r="AG977" s="46" t="s">
        <v>59</v>
      </c>
      <c r="AH977" s="46" t="s">
        <v>43</v>
      </c>
      <c r="AI977" s="46" t="s">
        <v>59</v>
      </c>
      <c r="AJ977" s="46">
        <f>=SUM(E978:AI978)</f>
      </c>
      <c r="AK977" s="46">
        <f>=+AY977</f>
      </c>
      <c r="AL977" s="46"/>
      <c r="AM977" s="1"/>
      <c r="AN977" s="1">
        <f>=COUNTIF(E977:AI977,"A")+COUNTIF(E977:AI977,"B")+COUNTIF(E977:AI977,"C")+COUNTIF(E977:AI977,"D")+COUNTIF(E977:AI977,"E")+COUNTIF(E977:AI977,"F")+COUNTIF(E977:AI977,"M")+COUNTIF(E977:AI977,"AB")+COUNTIF(E977:AI977,"UZ")+COUNTIF(E977:AI977,"G")+(COUNTIF(E977:AI977,"RT.")/2)+(COUNTIF(E977:AI977,"ÇRT.")/2)</f>
      </c>
      <c r="AO977" s="1">
        <f>=COUNTIF(E977:AI977,"O")</f>
      </c>
      <c r="AP977" s="1">
        <f>=COUNTIF(E977:AI977,"RT")+(COUNTIF(E977:AI977,"RT.")/2)</f>
      </c>
      <c r="AQ977" s="1">
        <f>=COUNTIF(E977:AI977,"ÇRT")+(COUNTIF(E977:AI977,"ÇRT.")/2)</f>
      </c>
      <c r="AR977" s="1">
        <f>=COUNTIF(E977:AI977,"ÇHT")</f>
      </c>
      <c r="AS977" s="1">
        <f>=COUNTIF(E977:AI977,"Ö")+COUNTIF(E977:AI977,"T")</f>
      </c>
      <c r="AT977" s="1">
        <f>=COUNTIF(E977:AI977,"Y")</f>
      </c>
      <c r="AU977" s="1">
        <f>=COUNTIF(E977:AI977,"R.")</f>
      </c>
      <c r="AV977" s="1">
        <f>=COUNTIF(E977:AI977,"Ü")</f>
      </c>
      <c r="AW977" s="1">
        <f>=COUNTIF(E977:AI977,"R")</f>
      </c>
      <c r="AX977" s="1">
        <f>=COUNTIF(E977:AI977,"DV")</f>
      </c>
      <c r="AY977" s="1">
        <f>=+AN977+AO977+AP977+AQ977+AR977+AS977+AT977+AU977</f>
      </c>
    </row>
    <row r="978" ht="16" customHeight="1" spans="1:51" x14ac:dyDescent="0.25">
      <c r="A978" s="45"/>
      <c r="B978" s="46"/>
      <c r="C978" s="46"/>
      <c r="D978" s="46" t="s">
        <v>33</v>
      </c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  <c r="AB978" s="46"/>
      <c r="AC978" s="46"/>
      <c r="AD978" s="46"/>
      <c r="AE978" s="46"/>
      <c r="AF978" s="46"/>
      <c r="AG978" s="46"/>
      <c r="AH978" s="46"/>
      <c r="AI978" s="46"/>
      <c r="AJ978" s="46"/>
      <c r="AK978" s="46"/>
      <c r="AL978" s="46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</row>
    <row r="979" ht="16" customHeight="1" spans="1:51" x14ac:dyDescent="0.25">
      <c r="A979" s="45"/>
      <c r="B979" s="46" t="s">
        <v>1023</v>
      </c>
      <c r="C979" s="46" t="s">
        <v>1024</v>
      </c>
      <c r="D979" s="46" t="s">
        <v>29</v>
      </c>
      <c r="E979" s="46" t="s">
        <v>36</v>
      </c>
      <c r="F979" s="46" t="s">
        <v>36</v>
      </c>
      <c r="G979" s="46" t="s">
        <v>36</v>
      </c>
      <c r="H979" s="46" t="s">
        <v>36</v>
      </c>
      <c r="I979" s="46" t="s">
        <v>36</v>
      </c>
      <c r="J979" s="46" t="s">
        <v>37</v>
      </c>
      <c r="K979" s="46" t="s">
        <v>36</v>
      </c>
      <c r="L979" s="46" t="s">
        <v>36</v>
      </c>
      <c r="M979" s="46" t="s">
        <v>36</v>
      </c>
      <c r="N979" s="46" t="s">
        <v>36</v>
      </c>
      <c r="O979" s="46" t="s">
        <v>36</v>
      </c>
      <c r="P979" s="46" t="s">
        <v>36</v>
      </c>
      <c r="Q979" s="46" t="s">
        <v>37</v>
      </c>
      <c r="R979" s="46" t="s">
        <v>36</v>
      </c>
      <c r="S979" s="46" t="s">
        <v>36</v>
      </c>
      <c r="T979" s="46" t="s">
        <v>36</v>
      </c>
      <c r="U979" s="46" t="s">
        <v>36</v>
      </c>
      <c r="V979" s="46" t="s">
        <v>41</v>
      </c>
      <c r="W979" s="46" t="s">
        <v>41</v>
      </c>
      <c r="X979" s="46" t="s">
        <v>41</v>
      </c>
      <c r="Y979" s="46" t="s">
        <v>36</v>
      </c>
      <c r="Z979" s="46" t="s">
        <v>37</v>
      </c>
      <c r="AA979" s="46" t="s">
        <v>36</v>
      </c>
      <c r="AB979" s="46" t="s">
        <v>41</v>
      </c>
      <c r="AC979" s="46" t="s">
        <v>41</v>
      </c>
      <c r="AD979" s="46" t="s">
        <v>41</v>
      </c>
      <c r="AE979" s="46" t="s">
        <v>37</v>
      </c>
      <c r="AF979" s="46" t="s">
        <v>36</v>
      </c>
      <c r="AG979" s="46" t="s">
        <v>36</v>
      </c>
      <c r="AH979" s="46" t="s">
        <v>43</v>
      </c>
      <c r="AI979" s="46" t="s">
        <v>36</v>
      </c>
      <c r="AJ979" s="46">
        <f>=SUM(E980:AI980)</f>
      </c>
      <c r="AK979" s="46">
        <f>=+AY979</f>
      </c>
      <c r="AL979" s="46"/>
      <c r="AM979" s="1"/>
      <c r="AN979" s="1">
        <f>=COUNTIF(E979:AI979,"A")+COUNTIF(E979:AI979,"B")+COUNTIF(E979:AI979,"C")+COUNTIF(E979:AI979,"D")+COUNTIF(E979:AI979,"E")+COUNTIF(E979:AI979,"F")+COUNTIF(E979:AI979,"M")+COUNTIF(E979:AI979,"AB")+COUNTIF(E979:AI979,"UZ")+COUNTIF(E979:AI979,"G")+(COUNTIF(E979:AI979,"RT.")/2)+(COUNTIF(E979:AI979,"ÇRT.")/2)</f>
      </c>
      <c r="AO979" s="1">
        <f>=COUNTIF(E979:AI979,"O")</f>
      </c>
      <c r="AP979" s="1">
        <f>=COUNTIF(E979:AI979,"RT")+(COUNTIF(E979:AI979,"RT.")/2)</f>
      </c>
      <c r="AQ979" s="1">
        <f>=COUNTIF(E979:AI979,"ÇRT")+(COUNTIF(E979:AI979,"ÇRT.")/2)</f>
      </c>
      <c r="AR979" s="1">
        <f>=COUNTIF(E979:AI979,"ÇHT")</f>
      </c>
      <c r="AS979" s="1">
        <f>=COUNTIF(E979:AI979,"Ö")+COUNTIF(E979:AI979,"T")</f>
      </c>
      <c r="AT979" s="1">
        <f>=COUNTIF(E979:AI979,"Y")</f>
      </c>
      <c r="AU979" s="1">
        <f>=COUNTIF(E979:AI979,"R.")</f>
      </c>
      <c r="AV979" s="1">
        <f>=COUNTIF(E979:AI979,"Ü")</f>
      </c>
      <c r="AW979" s="1">
        <f>=COUNTIF(E979:AI979,"R")</f>
      </c>
      <c r="AX979" s="1">
        <f>=COUNTIF(E979:AI979,"DV")</f>
      </c>
      <c r="AY979" s="1">
        <f>=+AN979+AO979+AP979+AQ979+AR979+AS979+AT979+AU979</f>
      </c>
    </row>
    <row r="980" ht="16" customHeight="1" spans="1:51" x14ac:dyDescent="0.25">
      <c r="A980" s="45"/>
      <c r="B980" s="46"/>
      <c r="C980" s="46"/>
      <c r="D980" s="46" t="s">
        <v>33</v>
      </c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  <c r="AB980" s="46"/>
      <c r="AC980" s="46"/>
      <c r="AD980" s="46"/>
      <c r="AE980" s="46"/>
      <c r="AF980" s="46"/>
      <c r="AG980" s="46"/>
      <c r="AH980" s="46"/>
      <c r="AI980" s="46"/>
      <c r="AJ980" s="46"/>
      <c r="AK980" s="46"/>
      <c r="AL980" s="46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</row>
    <row r="981" ht="16" customHeight="1" spans="1:51" x14ac:dyDescent="0.25">
      <c r="A981" s="45"/>
      <c r="B981" s="46" t="s">
        <v>1025</v>
      </c>
      <c r="C981" s="46" t="s">
        <v>1026</v>
      </c>
      <c r="D981" s="46" t="s">
        <v>29</v>
      </c>
      <c r="E981" s="46" t="s">
        <v>30</v>
      </c>
      <c r="F981" s="46" t="s">
        <v>30</v>
      </c>
      <c r="G981" s="46" t="s">
        <v>37</v>
      </c>
      <c r="H981" s="46" t="s">
        <v>59</v>
      </c>
      <c r="I981" s="46" t="s">
        <v>59</v>
      </c>
      <c r="J981" s="46" t="s">
        <v>46</v>
      </c>
      <c r="K981" s="46" t="s">
        <v>36</v>
      </c>
      <c r="L981" s="46" t="s">
        <v>36</v>
      </c>
      <c r="M981" s="46" t="s">
        <v>36</v>
      </c>
      <c r="N981" s="46" t="s">
        <v>36</v>
      </c>
      <c r="O981" s="46" t="s">
        <v>36</v>
      </c>
      <c r="P981" s="46" t="s">
        <v>36</v>
      </c>
      <c r="Q981" s="46" t="s">
        <v>36</v>
      </c>
      <c r="R981" s="46" t="s">
        <v>37</v>
      </c>
      <c r="S981" s="46" t="s">
        <v>36</v>
      </c>
      <c r="T981" s="46" t="s">
        <v>36</v>
      </c>
      <c r="U981" s="46" t="s">
        <v>36</v>
      </c>
      <c r="V981" s="46" t="s">
        <v>36</v>
      </c>
      <c r="W981" s="46" t="s">
        <v>36</v>
      </c>
      <c r="X981" s="46" t="s">
        <v>37</v>
      </c>
      <c r="Y981" s="46" t="s">
        <v>59</v>
      </c>
      <c r="Z981" s="46" t="s">
        <v>46</v>
      </c>
      <c r="AA981" s="46" t="s">
        <v>46</v>
      </c>
      <c r="AB981" s="46" t="s">
        <v>46</v>
      </c>
      <c r="AC981" s="46" t="s">
        <v>36</v>
      </c>
      <c r="AD981" s="46" t="s">
        <v>37</v>
      </c>
      <c r="AE981" s="46" t="s">
        <v>36</v>
      </c>
      <c r="AF981" s="46" t="s">
        <v>36</v>
      </c>
      <c r="AG981" s="46" t="s">
        <v>36</v>
      </c>
      <c r="AH981" s="46" t="s">
        <v>43</v>
      </c>
      <c r="AI981" s="46" t="s">
        <v>37</v>
      </c>
      <c r="AJ981" s="46">
        <f>=SUM(E982:AI982)</f>
      </c>
      <c r="AK981" s="46">
        <f>=+AY981</f>
      </c>
      <c r="AL981" s="46"/>
      <c r="AM981" s="1"/>
      <c r="AN981" s="1">
        <f>=COUNTIF(E981:AI981,"A")+COUNTIF(E981:AI981,"B")+COUNTIF(E981:AI981,"C")+COUNTIF(E981:AI981,"D")+COUNTIF(E981:AI981,"E")+COUNTIF(E981:AI981,"F")+COUNTIF(E981:AI981,"M")+COUNTIF(E981:AI981,"AB")+COUNTIF(E981:AI981,"UZ")+COUNTIF(E981:AI981,"G")+(COUNTIF(E981:AI981,"RT.")/2)+(COUNTIF(E981:AI981,"ÇRT.")/2)</f>
      </c>
      <c r="AO981" s="1">
        <f>=COUNTIF(E981:AI981,"O")</f>
      </c>
      <c r="AP981" s="1">
        <f>=COUNTIF(E981:AI981,"RT")+(COUNTIF(E981:AI981,"RT.")/2)</f>
      </c>
      <c r="AQ981" s="1">
        <f>=COUNTIF(E981:AI981,"ÇRT")+(COUNTIF(E981:AI981,"ÇRT.")/2)</f>
      </c>
      <c r="AR981" s="1">
        <f>=COUNTIF(E981:AI981,"ÇHT")</f>
      </c>
      <c r="AS981" s="1">
        <f>=COUNTIF(E981:AI981,"Ö")+COUNTIF(E981:AI981,"T")</f>
      </c>
      <c r="AT981" s="1">
        <f>=COUNTIF(E981:AI981,"Y")</f>
      </c>
      <c r="AU981" s="1">
        <f>=COUNTIF(E981:AI981,"R.")</f>
      </c>
      <c r="AV981" s="1">
        <f>=COUNTIF(E981:AI981,"Ü")</f>
      </c>
      <c r="AW981" s="1">
        <f>=COUNTIF(E981:AI981,"R")</f>
      </c>
      <c r="AX981" s="1">
        <f>=COUNTIF(E981:AI981,"DV")</f>
      </c>
      <c r="AY981" s="1">
        <f>=+AN981+AO981+AP981+AQ981+AR981+AS981+AT981+AU981</f>
      </c>
    </row>
    <row r="982" ht="16" customHeight="1" spans="1:51" x14ac:dyDescent="0.25">
      <c r="A982" s="45"/>
      <c r="B982" s="46"/>
      <c r="C982" s="46"/>
      <c r="D982" s="46" t="s">
        <v>33</v>
      </c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  <c r="AB982" s="46"/>
      <c r="AC982" s="46"/>
      <c r="AD982" s="46"/>
      <c r="AE982" s="46"/>
      <c r="AF982" s="46"/>
      <c r="AG982" s="46"/>
      <c r="AH982" s="46"/>
      <c r="AI982" s="46"/>
      <c r="AJ982" s="46"/>
      <c r="AK982" s="46"/>
      <c r="AL982" s="46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</row>
    <row r="983" ht="16" customHeight="1" spans="1:51" x14ac:dyDescent="0.25">
      <c r="A983" s="45"/>
      <c r="B983" s="46" t="s">
        <v>1027</v>
      </c>
      <c r="C983" s="46" t="s">
        <v>1028</v>
      </c>
      <c r="D983" s="46" t="s">
        <v>29</v>
      </c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6"/>
      <c r="AB983" s="46"/>
      <c r="AC983" s="46"/>
      <c r="AD983" s="46"/>
      <c r="AE983" s="46" t="s">
        <v>36</v>
      </c>
      <c r="AF983" s="46" t="s">
        <v>59</v>
      </c>
      <c r="AG983" s="46" t="s">
        <v>59</v>
      </c>
      <c r="AH983" s="46" t="s">
        <v>43</v>
      </c>
      <c r="AI983" s="46" t="s">
        <v>59</v>
      </c>
      <c r="AJ983" s="46">
        <f>=SUM(E984:AI984)</f>
      </c>
      <c r="AK983" s="46">
        <f>=+AY983</f>
      </c>
      <c r="AL983" s="46"/>
      <c r="AM983" s="1"/>
      <c r="AN983" s="1">
        <f>=COUNTIF(E983:AI983,"A")+COUNTIF(E983:AI983,"B")+COUNTIF(E983:AI983,"C")+COUNTIF(E983:AI983,"D")+COUNTIF(E983:AI983,"E")+COUNTIF(E983:AI983,"F")+COUNTIF(E983:AI983,"M")+COUNTIF(E983:AI983,"AB")+COUNTIF(E983:AI983,"UZ")+COUNTIF(E983:AI983,"G")+(COUNTIF(E983:AI983,"RT.")/2)+(COUNTIF(E983:AI983,"ÇRT.")/2)</f>
      </c>
      <c r="AO983" s="1">
        <f>=COUNTIF(E983:AI983,"O")</f>
      </c>
      <c r="AP983" s="1">
        <f>=COUNTIF(E983:AI983,"RT")+(COUNTIF(E983:AI983,"RT.")/2)</f>
      </c>
      <c r="AQ983" s="1">
        <f>=COUNTIF(E983:AI983,"ÇRT")+(COUNTIF(E983:AI983,"ÇRT.")/2)</f>
      </c>
      <c r="AR983" s="1">
        <f>=COUNTIF(E983:AI983,"ÇHT")</f>
      </c>
      <c r="AS983" s="1">
        <f>=COUNTIF(E983:AI983,"Ö")+COUNTIF(E983:AI983,"T")</f>
      </c>
      <c r="AT983" s="1">
        <f>=COUNTIF(E983:AI983,"Y")</f>
      </c>
      <c r="AU983" s="1">
        <f>=COUNTIF(E983:AI983,"R.")</f>
      </c>
      <c r="AV983" s="1">
        <f>=COUNTIF(E983:AI983,"Ü")</f>
      </c>
      <c r="AW983" s="1">
        <f>=COUNTIF(E983:AI983,"R")</f>
      </c>
      <c r="AX983" s="1">
        <f>=COUNTIF(E983:AI983,"DV")</f>
      </c>
      <c r="AY983" s="1">
        <f>=+AN983+AO983+AP983+AQ983+AR983+AS983+AT983+AU983</f>
      </c>
    </row>
    <row r="984" ht="16" customHeight="1" spans="1:51" x14ac:dyDescent="0.25">
      <c r="A984" s="45"/>
      <c r="B984" s="46"/>
      <c r="C984" s="46"/>
      <c r="D984" s="46" t="s">
        <v>33</v>
      </c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  <c r="AA984" s="46"/>
      <c r="AB984" s="46"/>
      <c r="AC984" s="46"/>
      <c r="AD984" s="46"/>
      <c r="AE984" s="46"/>
      <c r="AF984" s="46"/>
      <c r="AG984" s="46"/>
      <c r="AH984" s="46"/>
      <c r="AI984" s="46"/>
      <c r="AJ984" s="46"/>
      <c r="AK984" s="46"/>
      <c r="AL984" s="46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</row>
    <row r="985" ht="16" customHeight="1" spans="1:51" x14ac:dyDescent="0.25">
      <c r="A985" s="45"/>
      <c r="B985" s="46" t="s">
        <v>1029</v>
      </c>
      <c r="C985" s="46" t="s">
        <v>1030</v>
      </c>
      <c r="D985" s="46" t="s">
        <v>29</v>
      </c>
      <c r="E985" s="46" t="s">
        <v>46</v>
      </c>
      <c r="F985" s="46" t="s">
        <v>36</v>
      </c>
      <c r="G985" s="46" t="s">
        <v>36</v>
      </c>
      <c r="H985" s="46" t="s">
        <v>36</v>
      </c>
      <c r="I985" s="46" t="s">
        <v>37</v>
      </c>
      <c r="J985" s="46" t="s">
        <v>59</v>
      </c>
      <c r="K985" s="46" t="s">
        <v>59</v>
      </c>
      <c r="L985" s="46" t="s">
        <v>59</v>
      </c>
      <c r="M985" s="46" t="s">
        <v>59</v>
      </c>
      <c r="N985" s="46" t="s">
        <v>46</v>
      </c>
      <c r="O985" s="46" t="s">
        <v>59</v>
      </c>
      <c r="P985" s="46" t="s">
        <v>37</v>
      </c>
      <c r="Q985" s="46" t="s">
        <v>46</v>
      </c>
      <c r="R985" s="46" t="s">
        <v>59</v>
      </c>
      <c r="S985" s="46" t="s">
        <v>59</v>
      </c>
      <c r="T985" s="46" t="s">
        <v>46</v>
      </c>
      <c r="U985" s="46" t="s">
        <v>46</v>
      </c>
      <c r="V985" s="46" t="s">
        <v>59</v>
      </c>
      <c r="W985" s="46" t="s">
        <v>37</v>
      </c>
      <c r="X985" s="46" t="s">
        <v>36</v>
      </c>
      <c r="Y985" s="46" t="s">
        <v>36</v>
      </c>
      <c r="Z985" s="46" t="s">
        <v>36</v>
      </c>
      <c r="AA985" s="46" t="s">
        <v>36</v>
      </c>
      <c r="AB985" s="46" t="s">
        <v>36</v>
      </c>
      <c r="AC985" s="46" t="s">
        <v>36</v>
      </c>
      <c r="AD985" s="46" t="s">
        <v>37</v>
      </c>
      <c r="AE985" s="46" t="s">
        <v>59</v>
      </c>
      <c r="AF985" s="46" t="s">
        <v>59</v>
      </c>
      <c r="AG985" s="46" t="s">
        <v>59</v>
      </c>
      <c r="AH985" s="46" t="s">
        <v>43</v>
      </c>
      <c r="AI985" s="46" t="s">
        <v>36</v>
      </c>
      <c r="AJ985" s="46">
        <f>=SUM(E986:AI986)</f>
      </c>
      <c r="AK985" s="46">
        <f>=+AY985</f>
      </c>
      <c r="AL985" s="46"/>
      <c r="AM985" s="1"/>
      <c r="AN985" s="1">
        <f>=COUNTIF(E985:AI985,"A")+COUNTIF(E985:AI985,"B")+COUNTIF(E985:AI985,"C")+COUNTIF(E985:AI985,"D")+COUNTIF(E985:AI985,"E")+COUNTIF(E985:AI985,"F")+COUNTIF(E985:AI985,"M")+COUNTIF(E985:AI985,"AB")+COUNTIF(E985:AI985,"UZ")+COUNTIF(E985:AI985,"G")+(COUNTIF(E985:AI985,"RT.")/2)+(COUNTIF(E985:AI985,"ÇRT.")/2)</f>
      </c>
      <c r="AO985" s="1">
        <f>=COUNTIF(E985:AI985,"O")</f>
      </c>
      <c r="AP985" s="1">
        <f>=COUNTIF(E985:AI985,"RT")+(COUNTIF(E985:AI985,"RT.")/2)</f>
      </c>
      <c r="AQ985" s="1">
        <f>=COUNTIF(E985:AI985,"ÇRT")+(COUNTIF(E985:AI985,"ÇRT.")/2)</f>
      </c>
      <c r="AR985" s="1">
        <f>=COUNTIF(E985:AI985,"ÇHT")</f>
      </c>
      <c r="AS985" s="1">
        <f>=COUNTIF(E985:AI985,"Ö")+COUNTIF(E985:AI985,"T")</f>
      </c>
      <c r="AT985" s="1">
        <f>=COUNTIF(E985:AI985,"Y")</f>
      </c>
      <c r="AU985" s="1">
        <f>=COUNTIF(E985:AI985,"R.")</f>
      </c>
      <c r="AV985" s="1">
        <f>=COUNTIF(E985:AI985,"Ü")</f>
      </c>
      <c r="AW985" s="1">
        <f>=COUNTIF(E985:AI985,"R")</f>
      </c>
      <c r="AX985" s="1">
        <f>=COUNTIF(E985:AI985,"DV")</f>
      </c>
      <c r="AY985" s="1">
        <f>=+AN985+AO985+AP985+AQ985+AR985+AS985+AT985+AU985</f>
      </c>
    </row>
    <row r="986" ht="16" customHeight="1" spans="1:51" x14ac:dyDescent="0.25">
      <c r="A986" s="45"/>
      <c r="B986" s="46"/>
      <c r="C986" s="46"/>
      <c r="D986" s="46" t="s">
        <v>33</v>
      </c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6"/>
      <c r="AB986" s="46"/>
      <c r="AC986" s="46"/>
      <c r="AD986" s="46"/>
      <c r="AE986" s="46"/>
      <c r="AF986" s="46"/>
      <c r="AG986" s="46"/>
      <c r="AH986" s="46"/>
      <c r="AI986" s="46"/>
      <c r="AJ986" s="46"/>
      <c r="AK986" s="46"/>
      <c r="AL986" s="46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</row>
    <row r="987" ht="16" customHeight="1" spans="1:51" x14ac:dyDescent="0.25">
      <c r="A987" s="45"/>
      <c r="B987" s="46" t="s">
        <v>1031</v>
      </c>
      <c r="C987" s="46" t="s">
        <v>1032</v>
      </c>
      <c r="D987" s="46" t="s">
        <v>29</v>
      </c>
      <c r="E987" s="46" t="s">
        <v>37</v>
      </c>
      <c r="F987" s="46" t="s">
        <v>42</v>
      </c>
      <c r="G987" s="46" t="s">
        <v>42</v>
      </c>
      <c r="H987" s="46" t="s">
        <v>42</v>
      </c>
      <c r="I987" s="46" t="s">
        <v>42</v>
      </c>
      <c r="J987" s="46" t="s">
        <v>42</v>
      </c>
      <c r="K987" s="46" t="s">
        <v>42</v>
      </c>
      <c r="L987" s="46" t="s">
        <v>37</v>
      </c>
      <c r="M987" s="46" t="s">
        <v>42</v>
      </c>
      <c r="N987" s="46" t="s">
        <v>42</v>
      </c>
      <c r="O987" s="46" t="s">
        <v>42</v>
      </c>
      <c r="P987" s="46" t="s">
        <v>42</v>
      </c>
      <c r="Q987" s="46" t="s">
        <v>42</v>
      </c>
      <c r="R987" s="46" t="s">
        <v>42</v>
      </c>
      <c r="S987" s="46" t="s">
        <v>37</v>
      </c>
      <c r="T987" s="46" t="s">
        <v>42</v>
      </c>
      <c r="U987" s="46" t="s">
        <v>42</v>
      </c>
      <c r="V987" s="46" t="s">
        <v>42</v>
      </c>
      <c r="W987" s="46" t="s">
        <v>42</v>
      </c>
      <c r="X987" s="46" t="s">
        <v>42</v>
      </c>
      <c r="Y987" s="46" t="s">
        <v>42</v>
      </c>
      <c r="Z987" s="46" t="s">
        <v>37</v>
      </c>
      <c r="AA987" s="46" t="s">
        <v>42</v>
      </c>
      <c r="AB987" s="46" t="s">
        <v>42</v>
      </c>
      <c r="AC987" s="46" t="s">
        <v>42</v>
      </c>
      <c r="AD987" s="46" t="s">
        <v>42</v>
      </c>
      <c r="AE987" s="46" t="s">
        <v>42</v>
      </c>
      <c r="AF987" s="46" t="s">
        <v>42</v>
      </c>
      <c r="AG987" s="46" t="s">
        <v>37</v>
      </c>
      <c r="AH987" s="46" t="s">
        <v>43</v>
      </c>
      <c r="AI987" s="46" t="s">
        <v>42</v>
      </c>
      <c r="AJ987" s="46">
        <f>=SUM(E988:AI988)</f>
      </c>
      <c r="AK987" s="46">
        <f>=+AY987</f>
      </c>
      <c r="AL987" s="46"/>
      <c r="AM987" s="1"/>
      <c r="AN987" s="1">
        <f>=COUNTIF(E987:AI987,"A")+COUNTIF(E987:AI987,"B")+COUNTIF(E987:AI987,"C")+COUNTIF(E987:AI987,"D")+COUNTIF(E987:AI987,"E")+COUNTIF(E987:AI987,"F")+COUNTIF(E987:AI987,"M")+COUNTIF(E987:AI987,"AB")+COUNTIF(E987:AI987,"UZ")+COUNTIF(E987:AI987,"G")+(COUNTIF(E987:AI987,"RT.")/2)+(COUNTIF(E987:AI987,"ÇRT.")/2)</f>
      </c>
      <c r="AO987" s="1">
        <f>=COUNTIF(E987:AI987,"O")</f>
      </c>
      <c r="AP987" s="1">
        <f>=COUNTIF(E987:AI987,"RT")+(COUNTIF(E987:AI987,"RT.")/2)</f>
      </c>
      <c r="AQ987" s="1">
        <f>=COUNTIF(E987:AI987,"ÇRT")+(COUNTIF(E987:AI987,"ÇRT.")/2)</f>
      </c>
      <c r="AR987" s="1">
        <f>=COUNTIF(E987:AI987,"ÇHT")</f>
      </c>
      <c r="AS987" s="1">
        <f>=COUNTIF(E987:AI987,"Ö")+COUNTIF(E987:AI987,"T")</f>
      </c>
      <c r="AT987" s="1">
        <f>=COUNTIF(E987:AI987,"Y")</f>
      </c>
      <c r="AU987" s="1">
        <f>=COUNTIF(E987:AI987,"R.")</f>
      </c>
      <c r="AV987" s="1">
        <f>=COUNTIF(E987:AI987,"Ü")</f>
      </c>
      <c r="AW987" s="1">
        <f>=COUNTIF(E987:AI987,"R")</f>
      </c>
      <c r="AX987" s="1">
        <f>=COUNTIF(E987:AI987,"DV")</f>
      </c>
      <c r="AY987" s="1">
        <f>=+AN987+AO987+AP987+AQ987+AR987+AS987+AT987+AU987</f>
      </c>
    </row>
    <row r="988" ht="16" customHeight="1" spans="1:51" x14ac:dyDescent="0.25">
      <c r="A988" s="45"/>
      <c r="B988" s="46"/>
      <c r="C988" s="46"/>
      <c r="D988" s="46" t="s">
        <v>33</v>
      </c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6"/>
      <c r="AB988" s="46"/>
      <c r="AC988" s="46"/>
      <c r="AD988" s="46"/>
      <c r="AE988" s="46"/>
      <c r="AF988" s="46"/>
      <c r="AG988" s="46"/>
      <c r="AH988" s="46"/>
      <c r="AI988" s="46"/>
      <c r="AJ988" s="46"/>
      <c r="AK988" s="46"/>
      <c r="AL988" s="46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</row>
    <row r="989" ht="16" customHeight="1" spans="1:51" x14ac:dyDescent="0.25">
      <c r="A989" s="45"/>
      <c r="B989" s="46" t="s">
        <v>1033</v>
      </c>
      <c r="C989" s="46" t="s">
        <v>1034</v>
      </c>
      <c r="D989" s="46" t="s">
        <v>29</v>
      </c>
      <c r="E989" s="46" t="s">
        <v>42</v>
      </c>
      <c r="F989" s="46" t="s">
        <v>42</v>
      </c>
      <c r="G989" s="46" t="s">
        <v>42</v>
      </c>
      <c r="H989" s="46" t="s">
        <v>42</v>
      </c>
      <c r="I989" s="46" t="s">
        <v>42</v>
      </c>
      <c r="J989" s="46" t="s">
        <v>42</v>
      </c>
      <c r="K989" s="46" t="s">
        <v>37</v>
      </c>
      <c r="L989" s="46" t="s">
        <v>42</v>
      </c>
      <c r="M989" s="46" t="s">
        <v>42</v>
      </c>
      <c r="N989" s="46" t="s">
        <v>42</v>
      </c>
      <c r="O989" s="46" t="s">
        <v>42</v>
      </c>
      <c r="P989" s="46" t="s">
        <v>42</v>
      </c>
      <c r="Q989" s="46" t="s">
        <v>42</v>
      </c>
      <c r="R989" s="46" t="s">
        <v>37</v>
      </c>
      <c r="S989" s="46" t="s">
        <v>42</v>
      </c>
      <c r="T989" s="46" t="s">
        <v>42</v>
      </c>
      <c r="U989" s="46" t="s">
        <v>42</v>
      </c>
      <c r="V989" s="46" t="s">
        <v>42</v>
      </c>
      <c r="W989" s="46" t="s">
        <v>42</v>
      </c>
      <c r="X989" s="46" t="s">
        <v>42</v>
      </c>
      <c r="Y989" s="46" t="s">
        <v>37</v>
      </c>
      <c r="Z989" s="46" t="s">
        <v>42</v>
      </c>
      <c r="AA989" s="46" t="s">
        <v>42</v>
      </c>
      <c r="AB989" s="46" t="s">
        <v>42</v>
      </c>
      <c r="AC989" s="46" t="s">
        <v>42</v>
      </c>
      <c r="AD989" s="46" t="s">
        <v>42</v>
      </c>
      <c r="AE989" s="46" t="s">
        <v>42</v>
      </c>
      <c r="AF989" s="46" t="s">
        <v>37</v>
      </c>
      <c r="AG989" s="46" t="s">
        <v>42</v>
      </c>
      <c r="AH989" s="46" t="s">
        <v>43</v>
      </c>
      <c r="AI989" s="46" t="s">
        <v>42</v>
      </c>
      <c r="AJ989" s="46">
        <f>=SUM(E990:AI990)</f>
      </c>
      <c r="AK989" s="46">
        <f>=+AY989</f>
      </c>
      <c r="AL989" s="46"/>
      <c r="AM989" s="1"/>
      <c r="AN989" s="1">
        <f>=COUNTIF(E989:AI989,"A")+COUNTIF(E989:AI989,"B")+COUNTIF(E989:AI989,"C")+COUNTIF(E989:AI989,"D")+COUNTIF(E989:AI989,"E")+COUNTIF(E989:AI989,"F")+COUNTIF(E989:AI989,"M")+COUNTIF(E989:AI989,"AB")+COUNTIF(E989:AI989,"UZ")+COUNTIF(E989:AI989,"G")+(COUNTIF(E989:AI989,"RT.")/2)+(COUNTIF(E989:AI989,"ÇRT.")/2)</f>
      </c>
      <c r="AO989" s="1">
        <f>=COUNTIF(E989:AI989,"O")</f>
      </c>
      <c r="AP989" s="1">
        <f>=COUNTIF(E989:AI989,"RT")+(COUNTIF(E989:AI989,"RT.")/2)</f>
      </c>
      <c r="AQ989" s="1">
        <f>=COUNTIF(E989:AI989,"ÇRT")+(COUNTIF(E989:AI989,"ÇRT.")/2)</f>
      </c>
      <c r="AR989" s="1">
        <f>=COUNTIF(E989:AI989,"ÇHT")</f>
      </c>
      <c r="AS989" s="1">
        <f>=COUNTIF(E989:AI989,"Ö")+COUNTIF(E989:AI989,"T")</f>
      </c>
      <c r="AT989" s="1">
        <f>=COUNTIF(E989:AI989,"Y")</f>
      </c>
      <c r="AU989" s="1">
        <f>=COUNTIF(E989:AI989,"R.")</f>
      </c>
      <c r="AV989" s="1">
        <f>=COUNTIF(E989:AI989,"Ü")</f>
      </c>
      <c r="AW989" s="1">
        <f>=COUNTIF(E989:AI989,"R")</f>
      </c>
      <c r="AX989" s="1">
        <f>=COUNTIF(E989:AI989,"DV")</f>
      </c>
      <c r="AY989" s="1">
        <f>=+AN989+AO989+AP989+AQ989+AR989+AS989+AT989+AU989</f>
      </c>
    </row>
    <row r="990" ht="16" customHeight="1" spans="1:51" x14ac:dyDescent="0.25">
      <c r="A990" s="45"/>
      <c r="B990" s="46"/>
      <c r="C990" s="46"/>
      <c r="D990" s="46" t="s">
        <v>33</v>
      </c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  <c r="AA990" s="46"/>
      <c r="AB990" s="46"/>
      <c r="AC990" s="46"/>
      <c r="AD990" s="46"/>
      <c r="AE990" s="46"/>
      <c r="AF990" s="46"/>
      <c r="AG990" s="46"/>
      <c r="AH990" s="46"/>
      <c r="AI990" s="46"/>
      <c r="AJ990" s="46"/>
      <c r="AK990" s="46"/>
      <c r="AL990" s="46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</row>
    <row r="991" ht="16" customHeight="1" spans="1:51" x14ac:dyDescent="0.25">
      <c r="A991" s="45"/>
      <c r="B991" s="46" t="s">
        <v>1035</v>
      </c>
      <c r="C991" s="46" t="s">
        <v>1036</v>
      </c>
      <c r="D991" s="46" t="s">
        <v>29</v>
      </c>
      <c r="E991" s="46" t="s">
        <v>59</v>
      </c>
      <c r="F991" s="46" t="s">
        <v>59</v>
      </c>
      <c r="G991" s="46" t="s">
        <v>59</v>
      </c>
      <c r="H991" s="46" t="s">
        <v>59</v>
      </c>
      <c r="I991" s="46" t="s">
        <v>59</v>
      </c>
      <c r="J991" s="46" t="s">
        <v>37</v>
      </c>
      <c r="K991" s="46" t="s">
        <v>59</v>
      </c>
      <c r="L991" s="46" t="s">
        <v>59</v>
      </c>
      <c r="M991" s="46" t="s">
        <v>59</v>
      </c>
      <c r="N991" s="46" t="s">
        <v>59</v>
      </c>
      <c r="O991" s="46" t="s">
        <v>59</v>
      </c>
      <c r="P991" s="46" t="s">
        <v>59</v>
      </c>
      <c r="Q991" s="46" t="s">
        <v>37</v>
      </c>
      <c r="R991" s="46" t="s">
        <v>59</v>
      </c>
      <c r="S991" s="46" t="s">
        <v>59</v>
      </c>
      <c r="T991" s="46" t="s">
        <v>59</v>
      </c>
      <c r="U991" s="46" t="s">
        <v>59</v>
      </c>
      <c r="V991" s="46" t="s">
        <v>37</v>
      </c>
      <c r="W991" s="46" t="s">
        <v>59</v>
      </c>
      <c r="X991" s="46" t="s">
        <v>59</v>
      </c>
      <c r="Y991" s="46" t="s">
        <v>59</v>
      </c>
      <c r="Z991" s="46" t="s">
        <v>59</v>
      </c>
      <c r="AA991" s="46" t="s">
        <v>59</v>
      </c>
      <c r="AB991" s="46" t="s">
        <v>59</v>
      </c>
      <c r="AC991" s="46" t="s">
        <v>59</v>
      </c>
      <c r="AD991" s="46" t="s">
        <v>59</v>
      </c>
      <c r="AE991" s="46" t="s">
        <v>59</v>
      </c>
      <c r="AF991" s="46" t="s">
        <v>37</v>
      </c>
      <c r="AG991" s="46" t="s">
        <v>59</v>
      </c>
      <c r="AH991" s="46" t="s">
        <v>43</v>
      </c>
      <c r="AI991" s="46" t="s">
        <v>59</v>
      </c>
      <c r="AJ991" s="46">
        <f>=SUM(E992:AI992)</f>
      </c>
      <c r="AK991" s="46">
        <f>=+AY991</f>
      </c>
      <c r="AL991" s="46"/>
      <c r="AM991" s="1"/>
      <c r="AN991" s="1">
        <f>=COUNTIF(E991:AI991,"A")+COUNTIF(E991:AI991,"B")+COUNTIF(E991:AI991,"C")+COUNTIF(E991:AI991,"D")+COUNTIF(E991:AI991,"E")+COUNTIF(E991:AI991,"F")+COUNTIF(E991:AI991,"M")+COUNTIF(E991:AI991,"AB")+COUNTIF(E991:AI991,"UZ")+COUNTIF(E991:AI991,"G")+(COUNTIF(E991:AI991,"RT.")/2)+(COUNTIF(E991:AI991,"ÇRT.")/2)</f>
      </c>
      <c r="AO991" s="1">
        <f>=COUNTIF(E991:AI991,"O")</f>
      </c>
      <c r="AP991" s="1">
        <f>=COUNTIF(E991:AI991,"RT")+(COUNTIF(E991:AI991,"RT.")/2)</f>
      </c>
      <c r="AQ991" s="1">
        <f>=COUNTIF(E991:AI991,"ÇRT")+(COUNTIF(E991:AI991,"ÇRT.")/2)</f>
      </c>
      <c r="AR991" s="1">
        <f>=COUNTIF(E991:AI991,"ÇHT")</f>
      </c>
      <c r="AS991" s="1">
        <f>=COUNTIF(E991:AI991,"Ö")+COUNTIF(E991:AI991,"T")</f>
      </c>
      <c r="AT991" s="1">
        <f>=COUNTIF(E991:AI991,"Y")</f>
      </c>
      <c r="AU991" s="1">
        <f>=COUNTIF(E991:AI991,"R.")</f>
      </c>
      <c r="AV991" s="1">
        <f>=COUNTIF(E991:AI991,"Ü")</f>
      </c>
      <c r="AW991" s="1">
        <f>=COUNTIF(E991:AI991,"R")</f>
      </c>
      <c r="AX991" s="1">
        <f>=COUNTIF(E991:AI991,"DV")</f>
      </c>
      <c r="AY991" s="1">
        <f>=+AN991+AO991+AP991+AQ991+AR991+AS991+AT991+AU991</f>
      </c>
    </row>
    <row r="992" ht="16" customHeight="1" spans="1:51" x14ac:dyDescent="0.25">
      <c r="A992" s="45"/>
      <c r="B992" s="46"/>
      <c r="C992" s="46"/>
      <c r="D992" s="46" t="s">
        <v>33</v>
      </c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  <c r="AA992" s="46"/>
      <c r="AB992" s="46"/>
      <c r="AC992" s="46"/>
      <c r="AD992" s="46"/>
      <c r="AE992" s="46"/>
      <c r="AF992" s="46"/>
      <c r="AG992" s="46"/>
      <c r="AH992" s="46"/>
      <c r="AI992" s="46"/>
      <c r="AJ992" s="46"/>
      <c r="AK992" s="46"/>
      <c r="AL992" s="46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</row>
    <row r="993" ht="16" customHeight="1" spans="1:51" x14ac:dyDescent="0.25">
      <c r="A993" s="45"/>
      <c r="B993" s="46" t="s">
        <v>1037</v>
      </c>
      <c r="C993" s="46" t="s">
        <v>1038</v>
      </c>
      <c r="D993" s="46" t="s">
        <v>29</v>
      </c>
      <c r="E993" s="46" t="s">
        <v>36</v>
      </c>
      <c r="F993" s="46" t="s">
        <v>36</v>
      </c>
      <c r="G993" s="46" t="s">
        <v>36</v>
      </c>
      <c r="H993" s="46" t="s">
        <v>36</v>
      </c>
      <c r="I993" s="46" t="s">
        <v>36</v>
      </c>
      <c r="J993" s="46" t="s">
        <v>36</v>
      </c>
      <c r="K993" s="46" t="s">
        <v>36</v>
      </c>
      <c r="L993" s="46" t="s">
        <v>36</v>
      </c>
      <c r="M993" s="46" t="s">
        <v>37</v>
      </c>
      <c r="N993" s="46" t="s">
        <v>36</v>
      </c>
      <c r="O993" s="46" t="s">
        <v>36</v>
      </c>
      <c r="P993" s="46" t="s">
        <v>37</v>
      </c>
      <c r="Q993" s="46" t="s">
        <v>36</v>
      </c>
      <c r="R993" s="46" t="s">
        <v>36</v>
      </c>
      <c r="S993" s="46" t="s">
        <v>36</v>
      </c>
      <c r="T993" s="46" t="s">
        <v>36</v>
      </c>
      <c r="U993" s="46" t="s">
        <v>36</v>
      </c>
      <c r="V993" s="46" t="s">
        <v>36</v>
      </c>
      <c r="W993" s="46" t="s">
        <v>36</v>
      </c>
      <c r="X993" s="46" t="s">
        <v>37</v>
      </c>
      <c r="Y993" s="46" t="s">
        <v>36</v>
      </c>
      <c r="Z993" s="46" t="s">
        <v>36</v>
      </c>
      <c r="AA993" s="46" t="s">
        <v>36</v>
      </c>
      <c r="AB993" s="46" t="s">
        <v>37</v>
      </c>
      <c r="AC993" s="46" t="s">
        <v>36</v>
      </c>
      <c r="AD993" s="46" t="s">
        <v>36</v>
      </c>
      <c r="AE993" s="46" t="s">
        <v>36</v>
      </c>
      <c r="AF993" s="46" t="s">
        <v>36</v>
      </c>
      <c r="AG993" s="46" t="s">
        <v>36</v>
      </c>
      <c r="AH993" s="46" t="s">
        <v>43</v>
      </c>
      <c r="AI993" s="46" t="s">
        <v>36</v>
      </c>
      <c r="AJ993" s="46">
        <f>=SUM(E994:AI994)</f>
      </c>
      <c r="AK993" s="46">
        <f>=+AY993</f>
      </c>
      <c r="AL993" s="46"/>
      <c r="AM993" s="1"/>
      <c r="AN993" s="1">
        <f>=COUNTIF(E993:AI993,"A")+COUNTIF(E993:AI993,"B")+COUNTIF(E993:AI993,"C")+COUNTIF(E993:AI993,"D")+COUNTIF(E993:AI993,"E")+COUNTIF(E993:AI993,"F")+COUNTIF(E993:AI993,"M")+COUNTIF(E993:AI993,"AB")+COUNTIF(E993:AI993,"UZ")+COUNTIF(E993:AI993,"G")+(COUNTIF(E993:AI993,"RT.")/2)+(COUNTIF(E993:AI993,"ÇRT.")/2)</f>
      </c>
      <c r="AO993" s="1">
        <f>=COUNTIF(E993:AI993,"O")</f>
      </c>
      <c r="AP993" s="1">
        <f>=COUNTIF(E993:AI993,"RT")+(COUNTIF(E993:AI993,"RT.")/2)</f>
      </c>
      <c r="AQ993" s="1">
        <f>=COUNTIF(E993:AI993,"ÇRT")+(COUNTIF(E993:AI993,"ÇRT.")/2)</f>
      </c>
      <c r="AR993" s="1">
        <f>=COUNTIF(E993:AI993,"ÇHT")</f>
      </c>
      <c r="AS993" s="1">
        <f>=COUNTIF(E993:AI993,"Ö")+COUNTIF(E993:AI993,"T")</f>
      </c>
      <c r="AT993" s="1">
        <f>=COUNTIF(E993:AI993,"Y")</f>
      </c>
      <c r="AU993" s="1">
        <f>=COUNTIF(E993:AI993,"R.")</f>
      </c>
      <c r="AV993" s="1">
        <f>=COUNTIF(E993:AI993,"Ü")</f>
      </c>
      <c r="AW993" s="1">
        <f>=COUNTIF(E993:AI993,"R")</f>
      </c>
      <c r="AX993" s="1">
        <f>=COUNTIF(E993:AI993,"DV")</f>
      </c>
      <c r="AY993" s="1">
        <f>=+AN993+AO993+AP993+AQ993+AR993+AS993+AT993+AU993</f>
      </c>
    </row>
    <row r="994" ht="16" customHeight="1" spans="1:51" x14ac:dyDescent="0.25">
      <c r="A994" s="45"/>
      <c r="B994" s="46"/>
      <c r="C994" s="46"/>
      <c r="D994" s="46" t="s">
        <v>33</v>
      </c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  <c r="AA994" s="46"/>
      <c r="AB994" s="46"/>
      <c r="AC994" s="46"/>
      <c r="AD994" s="46"/>
      <c r="AE994" s="46"/>
      <c r="AF994" s="46"/>
      <c r="AG994" s="46"/>
      <c r="AH994" s="46"/>
      <c r="AI994" s="46"/>
      <c r="AJ994" s="46"/>
      <c r="AK994" s="46"/>
      <c r="AL994" s="46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</row>
    <row r="995" ht="16" customHeight="1" spans="1:51" x14ac:dyDescent="0.25">
      <c r="A995" s="45"/>
      <c r="B995" s="46" t="s">
        <v>1039</v>
      </c>
      <c r="C995" s="46" t="s">
        <v>1040</v>
      </c>
      <c r="D995" s="46" t="s">
        <v>29</v>
      </c>
      <c r="E995" s="46" t="s">
        <v>42</v>
      </c>
      <c r="F995" s="46" t="s">
        <v>37</v>
      </c>
      <c r="G995" s="46" t="s">
        <v>46</v>
      </c>
      <c r="H995" s="46" t="s">
        <v>59</v>
      </c>
      <c r="I995" s="46" t="s">
        <v>59</v>
      </c>
      <c r="J995" s="46" t="s">
        <v>46</v>
      </c>
      <c r="K995" s="46" t="s">
        <v>46</v>
      </c>
      <c r="L995" s="46" t="s">
        <v>42</v>
      </c>
      <c r="M995" s="46" t="s">
        <v>37</v>
      </c>
      <c r="N995" s="46" t="s">
        <v>59</v>
      </c>
      <c r="O995" s="46" t="s">
        <v>59</v>
      </c>
      <c r="P995" s="46" t="s">
        <v>59</v>
      </c>
      <c r="Q995" s="46" t="s">
        <v>59</v>
      </c>
      <c r="R995" s="46" t="s">
        <v>46</v>
      </c>
      <c r="S995" s="46" t="s">
        <v>42</v>
      </c>
      <c r="T995" s="46" t="s">
        <v>37</v>
      </c>
      <c r="U995" s="46" t="s">
        <v>42</v>
      </c>
      <c r="V995" s="46" t="s">
        <v>42</v>
      </c>
      <c r="W995" s="46" t="s">
        <v>42</v>
      </c>
      <c r="X995" s="46" t="s">
        <v>46</v>
      </c>
      <c r="Y995" s="46" t="s">
        <v>46</v>
      </c>
      <c r="Z995" s="46" t="s">
        <v>42</v>
      </c>
      <c r="AA995" s="46" t="s">
        <v>37</v>
      </c>
      <c r="AB995" s="46" t="s">
        <v>59</v>
      </c>
      <c r="AC995" s="46" t="s">
        <v>59</v>
      </c>
      <c r="AD995" s="46" t="s">
        <v>59</v>
      </c>
      <c r="AE995" s="46" t="s">
        <v>59</v>
      </c>
      <c r="AF995" s="46" t="s">
        <v>46</v>
      </c>
      <c r="AG995" s="46" t="s">
        <v>42</v>
      </c>
      <c r="AH995" s="46" t="s">
        <v>37</v>
      </c>
      <c r="AI995" s="46" t="s">
        <v>42</v>
      </c>
      <c r="AJ995" s="46">
        <f>=SUM(E996:AI996)</f>
      </c>
      <c r="AK995" s="46">
        <f>=+AY995</f>
      </c>
      <c r="AL995" s="46"/>
      <c r="AM995" s="1"/>
      <c r="AN995" s="1">
        <f>=COUNTIF(E995:AI995,"A")+COUNTIF(E995:AI995,"B")+COUNTIF(E995:AI995,"C")+COUNTIF(E995:AI995,"D")+COUNTIF(E995:AI995,"E")+COUNTIF(E995:AI995,"F")+COUNTIF(E995:AI995,"M")+COUNTIF(E995:AI995,"AB")+COUNTIF(E995:AI995,"UZ")+COUNTIF(E995:AI995,"G")+(COUNTIF(E995:AI995,"RT.")/2)+(COUNTIF(E995:AI995,"ÇRT.")/2)</f>
      </c>
      <c r="AO995" s="1">
        <f>=COUNTIF(E995:AI995,"O")</f>
      </c>
      <c r="AP995" s="1">
        <f>=COUNTIF(E995:AI995,"RT")+(COUNTIF(E995:AI995,"RT.")/2)</f>
      </c>
      <c r="AQ995" s="1">
        <f>=COUNTIF(E995:AI995,"ÇRT")+(COUNTIF(E995:AI995,"ÇRT.")/2)</f>
      </c>
      <c r="AR995" s="1">
        <f>=COUNTIF(E995:AI995,"ÇHT")</f>
      </c>
      <c r="AS995" s="1">
        <f>=COUNTIF(E995:AI995,"Ö")+COUNTIF(E995:AI995,"T")</f>
      </c>
      <c r="AT995" s="1">
        <f>=COUNTIF(E995:AI995,"Y")</f>
      </c>
      <c r="AU995" s="1">
        <f>=COUNTIF(E995:AI995,"R.")</f>
      </c>
      <c r="AV995" s="1">
        <f>=COUNTIF(E995:AI995,"Ü")</f>
      </c>
      <c r="AW995" s="1">
        <f>=COUNTIF(E995:AI995,"R")</f>
      </c>
      <c r="AX995" s="1">
        <f>=COUNTIF(E995:AI995,"DV")</f>
      </c>
      <c r="AY995" s="1">
        <f>=+AN995+AO995+AP995+AQ995+AR995+AS995+AT995+AU995</f>
      </c>
    </row>
    <row r="996" ht="16" customHeight="1" spans="1:51" x14ac:dyDescent="0.25">
      <c r="A996" s="45"/>
      <c r="B996" s="46"/>
      <c r="C996" s="46"/>
      <c r="D996" s="46" t="s">
        <v>33</v>
      </c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  <c r="AA996" s="46"/>
      <c r="AB996" s="46"/>
      <c r="AC996" s="46"/>
      <c r="AD996" s="46"/>
      <c r="AE996" s="46"/>
      <c r="AF996" s="46"/>
      <c r="AG996" s="46"/>
      <c r="AH996" s="46"/>
      <c r="AI996" s="46">
        <v>0</v>
      </c>
      <c r="AJ996" s="46"/>
      <c r="AK996" s="46"/>
      <c r="AL996" s="46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</row>
    <row r="997" ht="16" customHeight="1" spans="1:51" x14ac:dyDescent="0.25">
      <c r="A997" s="45"/>
      <c r="B997" s="46" t="s">
        <v>1041</v>
      </c>
      <c r="C997" s="46" t="s">
        <v>1042</v>
      </c>
      <c r="D997" s="46" t="s">
        <v>29</v>
      </c>
      <c r="E997" s="46" t="s">
        <v>59</v>
      </c>
      <c r="F997" s="46" t="s">
        <v>59</v>
      </c>
      <c r="G997" s="46" t="s">
        <v>46</v>
      </c>
      <c r="H997" s="46" t="s">
        <v>36</v>
      </c>
      <c r="I997" s="46" t="s">
        <v>36</v>
      </c>
      <c r="J997" s="46" t="s">
        <v>37</v>
      </c>
      <c r="K997" s="46" t="s">
        <v>36</v>
      </c>
      <c r="L997" s="46" t="s">
        <v>36</v>
      </c>
      <c r="M997" s="46" t="s">
        <v>36</v>
      </c>
      <c r="N997" s="46" t="s">
        <v>36</v>
      </c>
      <c r="O997" s="46" t="s">
        <v>36</v>
      </c>
      <c r="P997" s="46" t="s">
        <v>37</v>
      </c>
      <c r="Q997" s="46" t="s">
        <v>36</v>
      </c>
      <c r="R997" s="46" t="s">
        <v>36</v>
      </c>
      <c r="S997" s="46" t="s">
        <v>36</v>
      </c>
      <c r="T997" s="46" t="s">
        <v>36</v>
      </c>
      <c r="U997" s="46" t="s">
        <v>36</v>
      </c>
      <c r="V997" s="46" t="s">
        <v>36</v>
      </c>
      <c r="W997" s="46" t="s">
        <v>36</v>
      </c>
      <c r="X997" s="46" t="s">
        <v>37</v>
      </c>
      <c r="Y997" s="46" t="s">
        <v>36</v>
      </c>
      <c r="Z997" s="46" t="s">
        <v>36</v>
      </c>
      <c r="AA997" s="46" t="s">
        <v>36</v>
      </c>
      <c r="AB997" s="46" t="s">
        <v>36</v>
      </c>
      <c r="AC997" s="46" t="s">
        <v>36</v>
      </c>
      <c r="AD997" s="46" t="s">
        <v>36</v>
      </c>
      <c r="AE997" s="46" t="s">
        <v>36</v>
      </c>
      <c r="AF997" s="46" t="s">
        <v>37</v>
      </c>
      <c r="AG997" s="46" t="s">
        <v>36</v>
      </c>
      <c r="AH997" s="46" t="s">
        <v>43</v>
      </c>
      <c r="AI997" s="46" t="s">
        <v>59</v>
      </c>
      <c r="AJ997" s="46">
        <f>=SUM(E998:AI998)</f>
      </c>
      <c r="AK997" s="46">
        <f>=+AY997</f>
      </c>
      <c r="AL997" s="46"/>
      <c r="AM997" s="1"/>
      <c r="AN997" s="1">
        <f>=COUNTIF(E997:AI997,"A")+COUNTIF(E997:AI997,"B")+COUNTIF(E997:AI997,"C")+COUNTIF(E997:AI997,"D")+COUNTIF(E997:AI997,"E")+COUNTIF(E997:AI997,"F")+COUNTIF(E997:AI997,"M")+COUNTIF(E997:AI997,"AB")+COUNTIF(E997:AI997,"UZ")+COUNTIF(E997:AI997,"G")+(COUNTIF(E997:AI997,"RT.")/2)+(COUNTIF(E997:AI997,"ÇRT.")/2)</f>
      </c>
      <c r="AO997" s="1">
        <f>=COUNTIF(E997:AI997,"O")</f>
      </c>
      <c r="AP997" s="1">
        <f>=COUNTIF(E997:AI997,"RT")+(COUNTIF(E997:AI997,"RT.")/2)</f>
      </c>
      <c r="AQ997" s="1">
        <f>=COUNTIF(E997:AI997,"ÇRT")+(COUNTIF(E997:AI997,"ÇRT.")/2)</f>
      </c>
      <c r="AR997" s="1">
        <f>=COUNTIF(E997:AI997,"ÇHT")</f>
      </c>
      <c r="AS997" s="1">
        <f>=COUNTIF(E997:AI997,"Ö")+COUNTIF(E997:AI997,"T")</f>
      </c>
      <c r="AT997" s="1">
        <f>=COUNTIF(E997:AI997,"Y")</f>
      </c>
      <c r="AU997" s="1">
        <f>=COUNTIF(E997:AI997,"R.")</f>
      </c>
      <c r="AV997" s="1">
        <f>=COUNTIF(E997:AI997,"Ü")</f>
      </c>
      <c r="AW997" s="1">
        <f>=COUNTIF(E997:AI997,"R")</f>
      </c>
      <c r="AX997" s="1">
        <f>=COUNTIF(E997:AI997,"DV")</f>
      </c>
      <c r="AY997" s="1">
        <f>=+AN997+AO997+AP997+AQ997+AR997+AS997+AT997+AU997</f>
      </c>
    </row>
    <row r="998" ht="16" customHeight="1" spans="1:51" x14ac:dyDescent="0.25">
      <c r="A998" s="45"/>
      <c r="B998" s="46"/>
      <c r="C998" s="46"/>
      <c r="D998" s="46" t="s">
        <v>33</v>
      </c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>
        <v>0</v>
      </c>
      <c r="Y998" s="46"/>
      <c r="Z998" s="46"/>
      <c r="AA998" s="46"/>
      <c r="AB998" s="46"/>
      <c r="AC998" s="46"/>
      <c r="AD998" s="46"/>
      <c r="AE998" s="46"/>
      <c r="AF998" s="46"/>
      <c r="AG998" s="46"/>
      <c r="AH998" s="46"/>
      <c r="AI998" s="46">
        <v>0</v>
      </c>
      <c r="AJ998" s="46"/>
      <c r="AK998" s="46"/>
      <c r="AL998" s="46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</row>
    <row r="999" ht="16" customHeight="1" spans="1:51" x14ac:dyDescent="0.25">
      <c r="A999" s="45"/>
      <c r="B999" s="46" t="s">
        <v>1043</v>
      </c>
      <c r="C999" s="46" t="s">
        <v>1044</v>
      </c>
      <c r="D999" s="46" t="s">
        <v>29</v>
      </c>
      <c r="E999" s="46" t="s">
        <v>59</v>
      </c>
      <c r="F999" s="46" t="s">
        <v>59</v>
      </c>
      <c r="G999" s="46" t="s">
        <v>37</v>
      </c>
      <c r="H999" s="46" t="s">
        <v>59</v>
      </c>
      <c r="I999" s="46" t="s">
        <v>59</v>
      </c>
      <c r="J999" s="46" t="s">
        <v>59</v>
      </c>
      <c r="K999" s="46" t="s">
        <v>59</v>
      </c>
      <c r="L999" s="46" t="s">
        <v>59</v>
      </c>
      <c r="M999" s="46" t="s">
        <v>59</v>
      </c>
      <c r="N999" s="46" t="s">
        <v>37</v>
      </c>
      <c r="O999" s="46" t="s">
        <v>59</v>
      </c>
      <c r="P999" s="46" t="s">
        <v>59</v>
      </c>
      <c r="Q999" s="46" t="s">
        <v>59</v>
      </c>
      <c r="R999" s="46" t="s">
        <v>59</v>
      </c>
      <c r="S999" s="46" t="s">
        <v>59</v>
      </c>
      <c r="T999" s="46" t="s">
        <v>59</v>
      </c>
      <c r="U999" s="46" t="s">
        <v>46</v>
      </c>
      <c r="V999" s="46" t="s">
        <v>46</v>
      </c>
      <c r="W999" s="46" t="s">
        <v>37</v>
      </c>
      <c r="X999" s="46" t="s">
        <v>59</v>
      </c>
      <c r="Y999" s="46" t="s">
        <v>59</v>
      </c>
      <c r="Z999" s="46" t="s">
        <v>59</v>
      </c>
      <c r="AA999" s="46" t="s">
        <v>59</v>
      </c>
      <c r="AB999" s="46" t="s">
        <v>46</v>
      </c>
      <c r="AC999" s="46" t="s">
        <v>36</v>
      </c>
      <c r="AD999" s="46" t="s">
        <v>37</v>
      </c>
      <c r="AE999" s="46" t="s">
        <v>36</v>
      </c>
      <c r="AF999" s="46" t="s">
        <v>36</v>
      </c>
      <c r="AG999" s="46" t="s">
        <v>36</v>
      </c>
      <c r="AH999" s="46" t="s">
        <v>43</v>
      </c>
      <c r="AI999" s="46" t="s">
        <v>36</v>
      </c>
      <c r="AJ999" s="46">
        <f>=SUM(E1000:AI1000)</f>
      </c>
      <c r="AK999" s="46">
        <f>=+AY999</f>
      </c>
      <c r="AL999" s="46"/>
      <c r="AM999" s="1"/>
      <c r="AN999" s="1">
        <f>=COUNTIF(E999:AI999,"A")+COUNTIF(E999:AI999,"B")+COUNTIF(E999:AI999,"C")+COUNTIF(E999:AI999,"D")+COUNTIF(E999:AI999,"E")+COUNTIF(E999:AI999,"F")+COUNTIF(E999:AI999,"M")+COUNTIF(E999:AI999,"AB")+COUNTIF(E999:AI999,"UZ")+COUNTIF(E999:AI999,"G")+(COUNTIF(E999:AI999,"RT.")/2)+(COUNTIF(E999:AI999,"ÇRT.")/2)</f>
      </c>
      <c r="AO999" s="1">
        <f>=COUNTIF(E999:AI999,"O")</f>
      </c>
      <c r="AP999" s="1">
        <f>=COUNTIF(E999:AI999,"RT")+(COUNTIF(E999:AI999,"RT.")/2)</f>
      </c>
      <c r="AQ999" s="1">
        <f>=COUNTIF(E999:AI999,"ÇRT")+(COUNTIF(E999:AI999,"ÇRT.")/2)</f>
      </c>
      <c r="AR999" s="1">
        <f>=COUNTIF(E999:AI999,"ÇHT")</f>
      </c>
      <c r="AS999" s="1">
        <f>=COUNTIF(E999:AI999,"Ö")+COUNTIF(E999:AI999,"T")</f>
      </c>
      <c r="AT999" s="1">
        <f>=COUNTIF(E999:AI999,"Y")</f>
      </c>
      <c r="AU999" s="1">
        <f>=COUNTIF(E999:AI999,"R.")</f>
      </c>
      <c r="AV999" s="1">
        <f>=COUNTIF(E999:AI999,"Ü")</f>
      </c>
      <c r="AW999" s="1">
        <f>=COUNTIF(E999:AI999,"R")</f>
      </c>
      <c r="AX999" s="1">
        <f>=COUNTIF(E999:AI999,"DV")</f>
      </c>
      <c r="AY999" s="1">
        <f>=+AN999+AO999+AP999+AQ999+AR999+AS999+AT999+AU999</f>
      </c>
    </row>
    <row r="1000" ht="16" customHeight="1" spans="1:51" x14ac:dyDescent="0.25">
      <c r="A1000" s="45"/>
      <c r="B1000" s="46"/>
      <c r="C1000" s="46"/>
      <c r="D1000" s="46" t="s">
        <v>33</v>
      </c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>
        <v>0</v>
      </c>
      <c r="U1000" s="46"/>
      <c r="V1000" s="46"/>
      <c r="W1000" s="46"/>
      <c r="X1000" s="46"/>
      <c r="Y1000" s="46"/>
      <c r="Z1000" s="46">
        <v>0</v>
      </c>
      <c r="AA1000" s="46">
        <v>0</v>
      </c>
      <c r="AB1000" s="46"/>
      <c r="AC1000" s="46"/>
      <c r="AD1000" s="46"/>
      <c r="AE1000" s="46"/>
      <c r="AF1000" s="46"/>
      <c r="AG1000" s="46"/>
      <c r="AH1000" s="46">
        <v>0</v>
      </c>
      <c r="AI1000" s="46"/>
      <c r="AJ1000" s="46"/>
      <c r="AK1000" s="46"/>
      <c r="AL1000" s="46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</row>
    <row r="1001" ht="16" customHeight="1" spans="1:51" x14ac:dyDescent="0.25">
      <c r="A1001" s="45" t="s">
        <v>1045</v>
      </c>
      <c r="B1001" s="46" t="s">
        <v>1046</v>
      </c>
      <c r="C1001" s="46" t="s">
        <v>1047</v>
      </c>
      <c r="D1001" s="46" t="s">
        <v>29</v>
      </c>
      <c r="E1001" s="46" t="s">
        <v>36</v>
      </c>
      <c r="F1001" s="46" t="s">
        <v>37</v>
      </c>
      <c r="G1001" s="46" t="s">
        <v>59</v>
      </c>
      <c r="H1001" s="46" t="s">
        <v>59</v>
      </c>
      <c r="I1001" s="46" t="s">
        <v>59</v>
      </c>
      <c r="J1001" s="46" t="s">
        <v>59</v>
      </c>
      <c r="K1001" s="46" t="s">
        <v>59</v>
      </c>
      <c r="L1001" s="46" t="s">
        <v>59</v>
      </c>
      <c r="M1001" s="46" t="s">
        <v>37</v>
      </c>
      <c r="N1001" s="46" t="s">
        <v>36</v>
      </c>
      <c r="O1001" s="46" t="s">
        <v>36</v>
      </c>
      <c r="P1001" s="46" t="s">
        <v>36</v>
      </c>
      <c r="Q1001" s="46" t="s">
        <v>36</v>
      </c>
      <c r="R1001" s="46" t="s">
        <v>36</v>
      </c>
      <c r="S1001" s="46" t="s">
        <v>36</v>
      </c>
      <c r="T1001" s="46" t="s">
        <v>37</v>
      </c>
      <c r="U1001" s="46" t="s">
        <v>36</v>
      </c>
      <c r="V1001" s="46" t="s">
        <v>36</v>
      </c>
      <c r="W1001" s="46" t="s">
        <v>36</v>
      </c>
      <c r="X1001" s="46" t="s">
        <v>36</v>
      </c>
      <c r="Y1001" s="46" t="s">
        <v>36</v>
      </c>
      <c r="Z1001" s="46" t="s">
        <v>36</v>
      </c>
      <c r="AA1001" s="46" t="s">
        <v>37</v>
      </c>
      <c r="AB1001" s="46" t="s">
        <v>59</v>
      </c>
      <c r="AC1001" s="46" t="s">
        <v>59</v>
      </c>
      <c r="AD1001" s="46" t="s">
        <v>59</v>
      </c>
      <c r="AE1001" s="46" t="s">
        <v>59</v>
      </c>
      <c r="AF1001" s="46" t="s">
        <v>59</v>
      </c>
      <c r="AG1001" s="46" t="s">
        <v>59</v>
      </c>
      <c r="AH1001" s="46" t="s">
        <v>37</v>
      </c>
      <c r="AI1001" s="46" t="s">
        <v>36</v>
      </c>
      <c r="AJ1001" s="46">
        <f>=SUM(E1002:AI1002)</f>
      </c>
      <c r="AK1001" s="46">
        <f>=+AY1001</f>
      </c>
      <c r="AL1001" s="46"/>
      <c r="AM1001" s="1"/>
      <c r="AN1001" s="1">
        <f>=COUNTIF(E1001:AI1001,"A")+COUNTIF(E1001:AI1001,"B")+COUNTIF(E1001:AI1001,"C")+COUNTIF(E1001:AI1001,"D")+COUNTIF(E1001:AI1001,"E")+COUNTIF(E1001:AI1001,"F")+COUNTIF(E1001:AI1001,"M")+COUNTIF(E1001:AI1001,"AB")+COUNTIF(E1001:AI1001,"UZ")+COUNTIF(E1001:AI1001,"G")+(COUNTIF(E1001:AI1001,"RT.")/2)+(COUNTIF(E1001:AI1001,"ÇRT.")/2)</f>
      </c>
      <c r="AO1001" s="1">
        <f>=COUNTIF(E1001:AI1001,"O")</f>
      </c>
      <c r="AP1001" s="1">
        <f>=COUNTIF(E1001:AI1001,"RT")+(COUNTIF(E1001:AI1001,"RT.")/2)</f>
      </c>
      <c r="AQ1001" s="1">
        <f>=COUNTIF(E1001:AI1001,"ÇRT")+(COUNTIF(E1001:AI1001,"ÇRT.")/2)</f>
      </c>
      <c r="AR1001" s="1">
        <f>=COUNTIF(E1001:AI1001,"ÇHT")</f>
      </c>
      <c r="AS1001" s="1">
        <f>=COUNTIF(E1001:AI1001,"Ö")+COUNTIF(E1001:AI1001,"T")</f>
      </c>
      <c r="AT1001" s="1">
        <f>=COUNTIF(E1001:AI1001,"Y")</f>
      </c>
      <c r="AU1001" s="1">
        <f>=COUNTIF(E1001:AI1001,"R.")</f>
      </c>
      <c r="AV1001" s="1">
        <f>=COUNTIF(E1001:AI1001,"Ü")</f>
      </c>
      <c r="AW1001" s="1">
        <f>=COUNTIF(E1001:AI1001,"R")</f>
      </c>
      <c r="AX1001" s="1">
        <f>=COUNTIF(E1001:AI1001,"DV")</f>
      </c>
      <c r="AY1001" s="1">
        <f>=+AN1001+AO1001+AP1001+AQ1001+AR1001+AS1001+AT1001+AU1001</f>
      </c>
    </row>
    <row r="1002" ht="16" customHeight="1" spans="1:51" x14ac:dyDescent="0.25">
      <c r="A1002" s="45"/>
      <c r="B1002" s="46"/>
      <c r="C1002" s="46"/>
      <c r="D1002" s="46" t="s">
        <v>33</v>
      </c>
      <c r="E1002" s="46"/>
      <c r="F1002" s="46"/>
      <c r="G1002" s="46"/>
      <c r="H1002" s="46"/>
      <c r="I1002" s="46"/>
      <c r="J1002" s="46"/>
      <c r="K1002" s="46"/>
      <c r="L1002" s="46"/>
      <c r="M1002" s="46"/>
      <c r="N1002" s="46"/>
      <c r="O1002" s="46"/>
      <c r="P1002" s="46"/>
      <c r="Q1002" s="46"/>
      <c r="R1002" s="46"/>
      <c r="S1002" s="46"/>
      <c r="T1002" s="46"/>
      <c r="U1002" s="46"/>
      <c r="V1002" s="46"/>
      <c r="W1002" s="46"/>
      <c r="X1002" s="46"/>
      <c r="Y1002" s="46"/>
      <c r="Z1002" s="46"/>
      <c r="AA1002" s="46"/>
      <c r="AB1002" s="46"/>
      <c r="AC1002" s="46"/>
      <c r="AD1002" s="46"/>
      <c r="AE1002" s="46"/>
      <c r="AF1002" s="46"/>
      <c r="AG1002" s="46"/>
      <c r="AH1002" s="46"/>
      <c r="AI1002" s="46"/>
      <c r="AJ1002" s="46"/>
      <c r="AK1002" s="46"/>
      <c r="AL1002" s="46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</row>
    <row r="1003" ht="16" customHeight="1" spans="1:51" x14ac:dyDescent="0.25">
      <c r="A1003" s="45"/>
      <c r="B1003" s="46" t="s">
        <v>1048</v>
      </c>
      <c r="C1003" s="46" t="s">
        <v>1049</v>
      </c>
      <c r="D1003" s="46" t="s">
        <v>29</v>
      </c>
      <c r="E1003" s="46" t="s">
        <v>59</v>
      </c>
      <c r="F1003" s="46" t="s">
        <v>59</v>
      </c>
      <c r="G1003" s="46" t="s">
        <v>46</v>
      </c>
      <c r="H1003" s="46" t="s">
        <v>37</v>
      </c>
      <c r="I1003" s="46" t="s">
        <v>36</v>
      </c>
      <c r="J1003" s="46" t="s">
        <v>36</v>
      </c>
      <c r="K1003" s="46" t="s">
        <v>36</v>
      </c>
      <c r="L1003" s="46" t="s">
        <v>36</v>
      </c>
      <c r="M1003" s="46" t="s">
        <v>59</v>
      </c>
      <c r="N1003" s="46" t="s">
        <v>46</v>
      </c>
      <c r="O1003" s="46" t="s">
        <v>37</v>
      </c>
      <c r="P1003" s="46" t="s">
        <v>36</v>
      </c>
      <c r="Q1003" s="46" t="s">
        <v>36</v>
      </c>
      <c r="R1003" s="46" t="s">
        <v>36</v>
      </c>
      <c r="S1003" s="46" t="s">
        <v>36</v>
      </c>
      <c r="T1003" s="46" t="s">
        <v>59</v>
      </c>
      <c r="U1003" s="46" t="s">
        <v>46</v>
      </c>
      <c r="V1003" s="46" t="s">
        <v>37</v>
      </c>
      <c r="W1003" s="46" t="s">
        <v>36</v>
      </c>
      <c r="X1003" s="46" t="s">
        <v>36</v>
      </c>
      <c r="Y1003" s="46" t="s">
        <v>36</v>
      </c>
      <c r="Z1003" s="46" t="s">
        <v>36</v>
      </c>
      <c r="AA1003" s="46" t="s">
        <v>59</v>
      </c>
      <c r="AB1003" s="46" t="s">
        <v>46</v>
      </c>
      <c r="AC1003" s="46" t="s">
        <v>37</v>
      </c>
      <c r="AD1003" s="46" t="s">
        <v>36</v>
      </c>
      <c r="AE1003" s="46" t="s">
        <v>36</v>
      </c>
      <c r="AF1003" s="46" t="s">
        <v>36</v>
      </c>
      <c r="AG1003" s="46" t="s">
        <v>36</v>
      </c>
      <c r="AH1003" s="46" t="s">
        <v>43</v>
      </c>
      <c r="AI1003" s="46" t="s">
        <v>46</v>
      </c>
      <c r="AJ1003" s="46">
        <f>=SUM(E1004:AI1004)</f>
      </c>
      <c r="AK1003" s="46">
        <f>=+AY1003</f>
      </c>
      <c r="AL1003" s="46"/>
      <c r="AM1003" s="1"/>
      <c r="AN1003" s="1">
        <f>=COUNTIF(E1003:AI1003,"A")+COUNTIF(E1003:AI1003,"B")+COUNTIF(E1003:AI1003,"C")+COUNTIF(E1003:AI1003,"D")+COUNTIF(E1003:AI1003,"E")+COUNTIF(E1003:AI1003,"F")+COUNTIF(E1003:AI1003,"M")+COUNTIF(E1003:AI1003,"AB")+COUNTIF(E1003:AI1003,"UZ")+COUNTIF(E1003:AI1003,"G")+(COUNTIF(E1003:AI1003,"RT.")/2)+(COUNTIF(E1003:AI1003,"ÇRT.")/2)</f>
      </c>
      <c r="AO1003" s="1">
        <f>=COUNTIF(E1003:AI1003,"O")</f>
      </c>
      <c r="AP1003" s="1">
        <f>=COUNTIF(E1003:AI1003,"RT")+(COUNTIF(E1003:AI1003,"RT.")/2)</f>
      </c>
      <c r="AQ1003" s="1">
        <f>=COUNTIF(E1003:AI1003,"ÇRT")+(COUNTIF(E1003:AI1003,"ÇRT.")/2)</f>
      </c>
      <c r="AR1003" s="1">
        <f>=COUNTIF(E1003:AI1003,"ÇHT")</f>
      </c>
      <c r="AS1003" s="1">
        <f>=COUNTIF(E1003:AI1003,"Ö")+COUNTIF(E1003:AI1003,"T")</f>
      </c>
      <c r="AT1003" s="1">
        <f>=COUNTIF(E1003:AI1003,"Y")</f>
      </c>
      <c r="AU1003" s="1">
        <f>=COUNTIF(E1003:AI1003,"R.")</f>
      </c>
      <c r="AV1003" s="1">
        <f>=COUNTIF(E1003:AI1003,"Ü")</f>
      </c>
      <c r="AW1003" s="1">
        <f>=COUNTIF(E1003:AI1003,"R")</f>
      </c>
      <c r="AX1003" s="1">
        <f>=COUNTIF(E1003:AI1003,"DV")</f>
      </c>
      <c r="AY1003" s="1">
        <f>=+AN1003+AO1003+AP1003+AQ1003+AR1003+AS1003+AT1003+AU1003</f>
      </c>
    </row>
    <row r="1004" ht="16" customHeight="1" spans="1:51" x14ac:dyDescent="0.25">
      <c r="A1004" s="45"/>
      <c r="B1004" s="46"/>
      <c r="C1004" s="46"/>
      <c r="D1004" s="46" t="s">
        <v>33</v>
      </c>
      <c r="E1004" s="46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  <c r="S1004" s="46"/>
      <c r="T1004" s="46"/>
      <c r="U1004" s="46"/>
      <c r="V1004" s="46"/>
      <c r="W1004" s="46"/>
      <c r="X1004" s="46"/>
      <c r="Y1004" s="46"/>
      <c r="Z1004" s="46"/>
      <c r="AA1004" s="46"/>
      <c r="AB1004" s="46"/>
      <c r="AC1004" s="46"/>
      <c r="AD1004" s="46"/>
      <c r="AE1004" s="46"/>
      <c r="AF1004" s="46"/>
      <c r="AG1004" s="46"/>
      <c r="AH1004" s="46"/>
      <c r="AI1004" s="46"/>
      <c r="AJ1004" s="46"/>
      <c r="AK1004" s="46"/>
      <c r="AL1004" s="46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</row>
    <row r="1005" ht="16" customHeight="1" spans="1:51" x14ac:dyDescent="0.25">
      <c r="A1005" s="45"/>
      <c r="B1005" s="46" t="s">
        <v>1050</v>
      </c>
      <c r="C1005" s="46" t="s">
        <v>1051</v>
      </c>
      <c r="D1005" s="46" t="s">
        <v>29</v>
      </c>
      <c r="E1005" s="46" t="s">
        <v>59</v>
      </c>
      <c r="F1005" s="46" t="s">
        <v>59</v>
      </c>
      <c r="G1005" s="46" t="s">
        <v>46</v>
      </c>
      <c r="H1005" s="46" t="s">
        <v>36</v>
      </c>
      <c r="I1005" s="46" t="s">
        <v>37</v>
      </c>
      <c r="J1005" s="46" t="s">
        <v>46</v>
      </c>
      <c r="K1005" s="46" t="s">
        <v>36</v>
      </c>
      <c r="L1005" s="46" t="s">
        <v>36</v>
      </c>
      <c r="M1005" s="46" t="s">
        <v>36</v>
      </c>
      <c r="N1005" s="46" t="s">
        <v>59</v>
      </c>
      <c r="O1005" s="46" t="s">
        <v>59</v>
      </c>
      <c r="P1005" s="46" t="s">
        <v>37</v>
      </c>
      <c r="Q1005" s="46" t="s">
        <v>46</v>
      </c>
      <c r="R1005" s="46" t="s">
        <v>59</v>
      </c>
      <c r="S1005" s="46" t="s">
        <v>46</v>
      </c>
      <c r="T1005" s="46" t="s">
        <v>36</v>
      </c>
      <c r="U1005" s="46" t="s">
        <v>36</v>
      </c>
      <c r="V1005" s="46" t="s">
        <v>36</v>
      </c>
      <c r="W1005" s="46" t="s">
        <v>37</v>
      </c>
      <c r="X1005" s="46" t="s">
        <v>46</v>
      </c>
      <c r="Y1005" s="46" t="s">
        <v>46</v>
      </c>
      <c r="Z1005" s="46" t="s">
        <v>36</v>
      </c>
      <c r="AA1005" s="46" t="s">
        <v>36</v>
      </c>
      <c r="AB1005" s="46" t="s">
        <v>59</v>
      </c>
      <c r="AC1005" s="46" t="s">
        <v>59</v>
      </c>
      <c r="AD1005" s="46" t="s">
        <v>37</v>
      </c>
      <c r="AE1005" s="46" t="s">
        <v>46</v>
      </c>
      <c r="AF1005" s="46" t="s">
        <v>46</v>
      </c>
      <c r="AG1005" s="46" t="s">
        <v>59</v>
      </c>
      <c r="AH1005" s="46" t="s">
        <v>43</v>
      </c>
      <c r="AI1005" s="46" t="s">
        <v>46</v>
      </c>
      <c r="AJ1005" s="46">
        <f>=SUM(E1006:AI1006)</f>
      </c>
      <c r="AK1005" s="46">
        <f>=+AY1005</f>
      </c>
      <c r="AL1005" s="46"/>
      <c r="AM1005" s="1"/>
      <c r="AN1005" s="1">
        <f>=COUNTIF(E1005:AI1005,"A")+COUNTIF(E1005:AI1005,"B")+COUNTIF(E1005:AI1005,"C")+COUNTIF(E1005:AI1005,"D")+COUNTIF(E1005:AI1005,"E")+COUNTIF(E1005:AI1005,"F")+COUNTIF(E1005:AI1005,"M")+COUNTIF(E1005:AI1005,"AB")+COUNTIF(E1005:AI1005,"UZ")+COUNTIF(E1005:AI1005,"G")+(COUNTIF(E1005:AI1005,"RT.")/2)+(COUNTIF(E1005:AI1005,"ÇRT.")/2)</f>
      </c>
      <c r="AO1005" s="1">
        <f>=COUNTIF(E1005:AI1005,"O")</f>
      </c>
      <c r="AP1005" s="1">
        <f>=COUNTIF(E1005:AI1005,"RT")+(COUNTIF(E1005:AI1005,"RT.")/2)</f>
      </c>
      <c r="AQ1005" s="1">
        <f>=COUNTIF(E1005:AI1005,"ÇRT")+(COUNTIF(E1005:AI1005,"ÇRT.")/2)</f>
      </c>
      <c r="AR1005" s="1">
        <f>=COUNTIF(E1005:AI1005,"ÇHT")</f>
      </c>
      <c r="AS1005" s="1">
        <f>=COUNTIF(E1005:AI1005,"Ö")+COUNTIF(E1005:AI1005,"T")</f>
      </c>
      <c r="AT1005" s="1">
        <f>=COUNTIF(E1005:AI1005,"Y")</f>
      </c>
      <c r="AU1005" s="1">
        <f>=COUNTIF(E1005:AI1005,"R.")</f>
      </c>
      <c r="AV1005" s="1">
        <f>=COUNTIF(E1005:AI1005,"Ü")</f>
      </c>
      <c r="AW1005" s="1">
        <f>=COUNTIF(E1005:AI1005,"R")</f>
      </c>
      <c r="AX1005" s="1">
        <f>=COUNTIF(E1005:AI1005,"DV")</f>
      </c>
      <c r="AY1005" s="1">
        <f>=+AN1005+AO1005+AP1005+AQ1005+AR1005+AS1005+AT1005+AU1005</f>
      </c>
    </row>
    <row r="1006" ht="16" customHeight="1" spans="1:51" x14ac:dyDescent="0.25">
      <c r="A1006" s="45"/>
      <c r="B1006" s="46"/>
      <c r="C1006" s="46"/>
      <c r="D1006" s="46" t="s">
        <v>33</v>
      </c>
      <c r="E1006" s="46"/>
      <c r="F1006" s="46"/>
      <c r="G1006" s="46"/>
      <c r="H1006" s="46"/>
      <c r="I1006" s="46"/>
      <c r="J1006" s="46"/>
      <c r="K1006" s="46"/>
      <c r="L1006" s="46"/>
      <c r="M1006" s="46"/>
      <c r="N1006" s="46"/>
      <c r="O1006" s="46"/>
      <c r="P1006" s="46"/>
      <c r="Q1006" s="46"/>
      <c r="R1006" s="46"/>
      <c r="S1006" s="46"/>
      <c r="T1006" s="46"/>
      <c r="U1006" s="46"/>
      <c r="V1006" s="46"/>
      <c r="W1006" s="46"/>
      <c r="X1006" s="46"/>
      <c r="Y1006" s="46"/>
      <c r="Z1006" s="46"/>
      <c r="AA1006" s="46"/>
      <c r="AB1006" s="46"/>
      <c r="AC1006" s="46"/>
      <c r="AD1006" s="46"/>
      <c r="AE1006" s="46"/>
      <c r="AF1006" s="46"/>
      <c r="AG1006" s="46"/>
      <c r="AH1006" s="46"/>
      <c r="AI1006" s="46"/>
      <c r="AJ1006" s="46"/>
      <c r="AK1006" s="46"/>
      <c r="AL1006" s="46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</row>
    <row r="1007" ht="16" customHeight="1" spans="1:51" x14ac:dyDescent="0.25">
      <c r="A1007" s="45"/>
      <c r="B1007" s="46" t="s">
        <v>1052</v>
      </c>
      <c r="C1007" s="46" t="s">
        <v>1053</v>
      </c>
      <c r="D1007" s="46" t="s">
        <v>29</v>
      </c>
      <c r="E1007" s="46" t="s">
        <v>36</v>
      </c>
      <c r="F1007" s="46" t="s">
        <v>36</v>
      </c>
      <c r="G1007" s="46" t="s">
        <v>36</v>
      </c>
      <c r="H1007" s="46" t="s">
        <v>46</v>
      </c>
      <c r="I1007" s="46" t="s">
        <v>46</v>
      </c>
      <c r="J1007" s="46" t="s">
        <v>37</v>
      </c>
      <c r="K1007" s="46" t="s">
        <v>46</v>
      </c>
      <c r="L1007" s="46" t="s">
        <v>36</v>
      </c>
      <c r="M1007" s="46" t="s">
        <v>36</v>
      </c>
      <c r="N1007" s="46" t="s">
        <v>36</v>
      </c>
      <c r="O1007" s="46" t="s">
        <v>36</v>
      </c>
      <c r="P1007" s="46" t="s">
        <v>46</v>
      </c>
      <c r="Q1007" s="46" t="s">
        <v>37</v>
      </c>
      <c r="R1007" s="46" t="s">
        <v>46</v>
      </c>
      <c r="S1007" s="46" t="s">
        <v>59</v>
      </c>
      <c r="T1007" s="46" t="s">
        <v>59</v>
      </c>
      <c r="U1007" s="46" t="s">
        <v>59</v>
      </c>
      <c r="V1007" s="46" t="s">
        <v>59</v>
      </c>
      <c r="W1007" s="46" t="s">
        <v>46</v>
      </c>
      <c r="X1007" s="46" t="s">
        <v>37</v>
      </c>
      <c r="Y1007" s="46" t="s">
        <v>59</v>
      </c>
      <c r="Z1007" s="46" t="s">
        <v>59</v>
      </c>
      <c r="AA1007" s="46" t="s">
        <v>59</v>
      </c>
      <c r="AB1007" s="46" t="s">
        <v>36</v>
      </c>
      <c r="AC1007" s="46" t="s">
        <v>36</v>
      </c>
      <c r="AD1007" s="46" t="s">
        <v>46</v>
      </c>
      <c r="AE1007" s="46" t="s">
        <v>37</v>
      </c>
      <c r="AF1007" s="46" t="s">
        <v>36</v>
      </c>
      <c r="AG1007" s="46" t="s">
        <v>36</v>
      </c>
      <c r="AH1007" s="46" t="s">
        <v>43</v>
      </c>
      <c r="AI1007" s="46" t="s">
        <v>59</v>
      </c>
      <c r="AJ1007" s="46">
        <f>=SUM(E1008:AI1008)</f>
      </c>
      <c r="AK1007" s="46">
        <f>=+AY1007</f>
      </c>
      <c r="AL1007" s="46"/>
      <c r="AM1007" s="1"/>
      <c r="AN1007" s="1">
        <f>=COUNTIF(E1007:AI1007,"A")+COUNTIF(E1007:AI1007,"B")+COUNTIF(E1007:AI1007,"C")+COUNTIF(E1007:AI1007,"D")+COUNTIF(E1007:AI1007,"E")+COUNTIF(E1007:AI1007,"F")+COUNTIF(E1007:AI1007,"M")+COUNTIF(E1007:AI1007,"AB")+COUNTIF(E1007:AI1007,"UZ")+COUNTIF(E1007:AI1007,"G")+(COUNTIF(E1007:AI1007,"RT.")/2)+(COUNTIF(E1007:AI1007,"ÇRT.")/2)</f>
      </c>
      <c r="AO1007" s="1">
        <f>=COUNTIF(E1007:AI1007,"O")</f>
      </c>
      <c r="AP1007" s="1">
        <f>=COUNTIF(E1007:AI1007,"RT")+(COUNTIF(E1007:AI1007,"RT.")/2)</f>
      </c>
      <c r="AQ1007" s="1">
        <f>=COUNTIF(E1007:AI1007,"ÇRT")+(COUNTIF(E1007:AI1007,"ÇRT.")/2)</f>
      </c>
      <c r="AR1007" s="1">
        <f>=COUNTIF(E1007:AI1007,"ÇHT")</f>
      </c>
      <c r="AS1007" s="1">
        <f>=COUNTIF(E1007:AI1007,"Ö")+COUNTIF(E1007:AI1007,"T")</f>
      </c>
      <c r="AT1007" s="1">
        <f>=COUNTIF(E1007:AI1007,"Y")</f>
      </c>
      <c r="AU1007" s="1">
        <f>=COUNTIF(E1007:AI1007,"R.")</f>
      </c>
      <c r="AV1007" s="1">
        <f>=COUNTIF(E1007:AI1007,"Ü")</f>
      </c>
      <c r="AW1007" s="1">
        <f>=COUNTIF(E1007:AI1007,"R")</f>
      </c>
      <c r="AX1007" s="1">
        <f>=COUNTIF(E1007:AI1007,"DV")</f>
      </c>
      <c r="AY1007" s="1">
        <f>=+AN1007+AO1007+AP1007+AQ1007+AR1007+AS1007+AT1007+AU1007</f>
      </c>
    </row>
    <row r="1008" ht="16" customHeight="1" spans="1:51" x14ac:dyDescent="0.25">
      <c r="A1008" s="45"/>
      <c r="B1008" s="46"/>
      <c r="C1008" s="46"/>
      <c r="D1008" s="46" t="s">
        <v>33</v>
      </c>
      <c r="E1008" s="46"/>
      <c r="F1008" s="46"/>
      <c r="G1008" s="46"/>
      <c r="H1008" s="46"/>
      <c r="I1008" s="46"/>
      <c r="J1008" s="46"/>
      <c r="K1008" s="46"/>
      <c r="L1008" s="46"/>
      <c r="M1008" s="46"/>
      <c r="N1008" s="46"/>
      <c r="O1008" s="46"/>
      <c r="P1008" s="46"/>
      <c r="Q1008" s="46"/>
      <c r="R1008" s="46"/>
      <c r="S1008" s="46"/>
      <c r="T1008" s="46"/>
      <c r="U1008" s="46"/>
      <c r="V1008" s="46"/>
      <c r="W1008" s="46"/>
      <c r="X1008" s="46"/>
      <c r="Y1008" s="46"/>
      <c r="Z1008" s="46"/>
      <c r="AA1008" s="46"/>
      <c r="AB1008" s="46"/>
      <c r="AC1008" s="46"/>
      <c r="AD1008" s="46"/>
      <c r="AE1008" s="46"/>
      <c r="AF1008" s="46"/>
      <c r="AG1008" s="46"/>
      <c r="AH1008" s="46"/>
      <c r="AI1008" s="46"/>
      <c r="AJ1008" s="46"/>
      <c r="AK1008" s="46"/>
      <c r="AL1008" s="46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</row>
    <row r="1009" ht="16" customHeight="1" spans="1:51" x14ac:dyDescent="0.25">
      <c r="A1009" s="45"/>
      <c r="B1009" s="46" t="s">
        <v>1054</v>
      </c>
      <c r="C1009" s="46" t="s">
        <v>1055</v>
      </c>
      <c r="D1009" s="46" t="s">
        <v>29</v>
      </c>
      <c r="E1009" s="46" t="s">
        <v>46</v>
      </c>
      <c r="F1009" s="46" t="s">
        <v>36</v>
      </c>
      <c r="G1009" s="46" t="s">
        <v>36</v>
      </c>
      <c r="H1009" s="46" t="s">
        <v>36</v>
      </c>
      <c r="I1009" s="46" t="s">
        <v>36</v>
      </c>
      <c r="J1009" s="46" t="s">
        <v>36</v>
      </c>
      <c r="K1009" s="46" t="s">
        <v>37</v>
      </c>
      <c r="L1009" s="46" t="s">
        <v>59</v>
      </c>
      <c r="M1009" s="46" t="s">
        <v>59</v>
      </c>
      <c r="N1009" s="46" t="s">
        <v>59</v>
      </c>
      <c r="O1009" s="46" t="s">
        <v>59</v>
      </c>
      <c r="P1009" s="46" t="s">
        <v>59</v>
      </c>
      <c r="Q1009" s="46" t="s">
        <v>59</v>
      </c>
      <c r="R1009" s="46" t="s">
        <v>37</v>
      </c>
      <c r="S1009" s="46" t="s">
        <v>59</v>
      </c>
      <c r="T1009" s="46" t="s">
        <v>46</v>
      </c>
      <c r="U1009" s="46" t="s">
        <v>59</v>
      </c>
      <c r="V1009" s="46" t="s">
        <v>59</v>
      </c>
      <c r="W1009" s="46" t="s">
        <v>59</v>
      </c>
      <c r="X1009" s="46" t="s">
        <v>59</v>
      </c>
      <c r="Y1009" s="46" t="s">
        <v>37</v>
      </c>
      <c r="Z1009" s="46" t="s">
        <v>59</v>
      </c>
      <c r="AA1009" s="46" t="s">
        <v>46</v>
      </c>
      <c r="AB1009" s="46" t="s">
        <v>36</v>
      </c>
      <c r="AC1009" s="46" t="s">
        <v>36</v>
      </c>
      <c r="AD1009" s="46" t="s">
        <v>36</v>
      </c>
      <c r="AE1009" s="46" t="s">
        <v>36</v>
      </c>
      <c r="AF1009" s="46" t="s">
        <v>37</v>
      </c>
      <c r="AG1009" s="46" t="s">
        <v>36</v>
      </c>
      <c r="AH1009" s="46" t="s">
        <v>43</v>
      </c>
      <c r="AI1009" s="46" t="s">
        <v>59</v>
      </c>
      <c r="AJ1009" s="46">
        <f>=SUM(E1010:AI1010)</f>
      </c>
      <c r="AK1009" s="46">
        <f>=+AY1009</f>
      </c>
      <c r="AL1009" s="46"/>
      <c r="AM1009" s="1"/>
      <c r="AN1009" s="1">
        <f>=COUNTIF(E1009:AI1009,"A")+COUNTIF(E1009:AI1009,"B")+COUNTIF(E1009:AI1009,"C")+COUNTIF(E1009:AI1009,"D")+COUNTIF(E1009:AI1009,"E")+COUNTIF(E1009:AI1009,"F")+COUNTIF(E1009:AI1009,"M")+COUNTIF(E1009:AI1009,"AB")+COUNTIF(E1009:AI1009,"UZ")+COUNTIF(E1009:AI1009,"G")+(COUNTIF(E1009:AI1009,"RT.")/2)+(COUNTIF(E1009:AI1009,"ÇRT.")/2)</f>
      </c>
      <c r="AO1009" s="1">
        <f>=COUNTIF(E1009:AI1009,"O")</f>
      </c>
      <c r="AP1009" s="1">
        <f>=COUNTIF(E1009:AI1009,"RT")+(COUNTIF(E1009:AI1009,"RT.")/2)</f>
      </c>
      <c r="AQ1009" s="1">
        <f>=COUNTIF(E1009:AI1009,"ÇRT")+(COUNTIF(E1009:AI1009,"ÇRT.")/2)</f>
      </c>
      <c r="AR1009" s="1">
        <f>=COUNTIF(E1009:AI1009,"ÇHT")</f>
      </c>
      <c r="AS1009" s="1">
        <f>=COUNTIF(E1009:AI1009,"Ö")+COUNTIF(E1009:AI1009,"T")</f>
      </c>
      <c r="AT1009" s="1">
        <f>=COUNTIF(E1009:AI1009,"Y")</f>
      </c>
      <c r="AU1009" s="1">
        <f>=COUNTIF(E1009:AI1009,"R.")</f>
      </c>
      <c r="AV1009" s="1">
        <f>=COUNTIF(E1009:AI1009,"Ü")</f>
      </c>
      <c r="AW1009" s="1">
        <f>=COUNTIF(E1009:AI1009,"R")</f>
      </c>
      <c r="AX1009" s="1">
        <f>=COUNTIF(E1009:AI1009,"DV")</f>
      </c>
      <c r="AY1009" s="1">
        <f>=+AN1009+AO1009+AP1009+AQ1009+AR1009+AS1009+AT1009+AU1009</f>
      </c>
    </row>
    <row r="1010" ht="16" customHeight="1" spans="1:51" x14ac:dyDescent="0.25">
      <c r="A1010" s="45"/>
      <c r="B1010" s="46"/>
      <c r="C1010" s="46"/>
      <c r="D1010" s="46" t="s">
        <v>33</v>
      </c>
      <c r="E1010" s="46"/>
      <c r="F1010" s="46"/>
      <c r="G1010" s="46"/>
      <c r="H1010" s="46"/>
      <c r="I1010" s="46"/>
      <c r="J1010" s="46"/>
      <c r="K1010" s="46"/>
      <c r="L1010" s="46"/>
      <c r="M1010" s="46"/>
      <c r="N1010" s="46"/>
      <c r="O1010" s="46"/>
      <c r="P1010" s="46"/>
      <c r="Q1010" s="46"/>
      <c r="R1010" s="46"/>
      <c r="S1010" s="46"/>
      <c r="T1010" s="46"/>
      <c r="U1010" s="46"/>
      <c r="V1010" s="46"/>
      <c r="W1010" s="46"/>
      <c r="X1010" s="46"/>
      <c r="Y1010" s="46"/>
      <c r="Z1010" s="46"/>
      <c r="AA1010" s="46"/>
      <c r="AB1010" s="46"/>
      <c r="AC1010" s="46"/>
      <c r="AD1010" s="46"/>
      <c r="AE1010" s="46"/>
      <c r="AF1010" s="46"/>
      <c r="AG1010" s="46"/>
      <c r="AH1010" s="46"/>
      <c r="AI1010" s="46"/>
      <c r="AJ1010" s="46"/>
      <c r="AK1010" s="46"/>
      <c r="AL1010" s="46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</row>
    <row r="1011" ht="16" customHeight="1" spans="1:51" x14ac:dyDescent="0.25">
      <c r="A1011" s="45" t="s">
        <v>1056</v>
      </c>
      <c r="B1011" s="46" t="s">
        <v>1057</v>
      </c>
      <c r="C1011" s="46" t="s">
        <v>1058</v>
      </c>
      <c r="D1011" s="46" t="s">
        <v>29</v>
      </c>
      <c r="E1011" s="46" t="s">
        <v>42</v>
      </c>
      <c r="F1011" s="46" t="s">
        <v>37</v>
      </c>
      <c r="G1011" s="46" t="s">
        <v>42</v>
      </c>
      <c r="H1011" s="46" t="s">
        <v>42</v>
      </c>
      <c r="I1011" s="46" t="s">
        <v>42</v>
      </c>
      <c r="J1011" s="46" t="s">
        <v>42</v>
      </c>
      <c r="K1011" s="46" t="s">
        <v>42</v>
      </c>
      <c r="L1011" s="46" t="s">
        <v>42</v>
      </c>
      <c r="M1011" s="46" t="s">
        <v>37</v>
      </c>
      <c r="N1011" s="46" t="s">
        <v>42</v>
      </c>
      <c r="O1011" s="46" t="s">
        <v>42</v>
      </c>
      <c r="P1011" s="46" t="s">
        <v>42</v>
      </c>
      <c r="Q1011" s="46" t="s">
        <v>42</v>
      </c>
      <c r="R1011" s="46" t="s">
        <v>42</v>
      </c>
      <c r="S1011" s="46" t="s">
        <v>42</v>
      </c>
      <c r="T1011" s="46" t="s">
        <v>37</v>
      </c>
      <c r="U1011" s="46" t="s">
        <v>42</v>
      </c>
      <c r="V1011" s="46" t="s">
        <v>42</v>
      </c>
      <c r="W1011" s="46" t="s">
        <v>42</v>
      </c>
      <c r="X1011" s="46" t="s">
        <v>42</v>
      </c>
      <c r="Y1011" s="46" t="s">
        <v>42</v>
      </c>
      <c r="Z1011" s="46" t="s">
        <v>42</v>
      </c>
      <c r="AA1011" s="46" t="s">
        <v>37</v>
      </c>
      <c r="AB1011" s="46" t="s">
        <v>42</v>
      </c>
      <c r="AC1011" s="46" t="s">
        <v>42</v>
      </c>
      <c r="AD1011" s="46" t="s">
        <v>153</v>
      </c>
      <c r="AE1011" s="46" t="s">
        <v>42</v>
      </c>
      <c r="AF1011" s="46" t="s">
        <v>42</v>
      </c>
      <c r="AG1011" s="46" t="s">
        <v>42</v>
      </c>
      <c r="AH1011" s="46" t="s">
        <v>37</v>
      </c>
      <c r="AI1011" s="46" t="s">
        <v>42</v>
      </c>
      <c r="AJ1011" s="46">
        <f>=SUM(E1012:AI1012)</f>
      </c>
      <c r="AK1011" s="46">
        <f>=+AY1011</f>
      </c>
      <c r="AL1011" s="46"/>
      <c r="AM1011" s="1"/>
      <c r="AN1011" s="1">
        <f>=COUNTIF(E1011:AI1011,"A")+COUNTIF(E1011:AI1011,"B")+COUNTIF(E1011:AI1011,"C")+COUNTIF(E1011:AI1011,"D")+COUNTIF(E1011:AI1011,"E")+COUNTIF(E1011:AI1011,"F")+COUNTIF(E1011:AI1011,"M")+COUNTIF(E1011:AI1011,"AB")+COUNTIF(E1011:AI1011,"UZ")+COUNTIF(E1011:AI1011,"G")+(COUNTIF(E1011:AI1011,"RT.")/2)+(COUNTIF(E1011:AI1011,"ÇRT.")/2)</f>
      </c>
      <c r="AO1011" s="1">
        <f>=COUNTIF(E1011:AI1011,"O")</f>
      </c>
      <c r="AP1011" s="1">
        <f>=COUNTIF(E1011:AI1011,"RT")+(COUNTIF(E1011:AI1011,"RT.")/2)</f>
      </c>
      <c r="AQ1011" s="1">
        <f>=COUNTIF(E1011:AI1011,"ÇRT")+(COUNTIF(E1011:AI1011,"ÇRT.")/2)</f>
      </c>
      <c r="AR1011" s="1">
        <f>=COUNTIF(E1011:AI1011,"ÇHT")</f>
      </c>
      <c r="AS1011" s="1">
        <f>=COUNTIF(E1011:AI1011,"Ö")+COUNTIF(E1011:AI1011,"T")</f>
      </c>
      <c r="AT1011" s="1">
        <f>=COUNTIF(E1011:AI1011,"Y")</f>
      </c>
      <c r="AU1011" s="1">
        <f>=COUNTIF(E1011:AI1011,"R.")</f>
      </c>
      <c r="AV1011" s="1">
        <f>=COUNTIF(E1011:AI1011,"Ü")</f>
      </c>
      <c r="AW1011" s="1">
        <f>=COUNTIF(E1011:AI1011,"R")</f>
      </c>
      <c r="AX1011" s="1">
        <f>=COUNTIF(E1011:AI1011,"DV")</f>
      </c>
      <c r="AY1011" s="1">
        <f>=+AN1011+AO1011+AP1011+AQ1011+AR1011+AS1011+AT1011+AU1011</f>
      </c>
    </row>
    <row r="1012" ht="16" customHeight="1" spans="1:51" x14ac:dyDescent="0.25">
      <c r="A1012" s="45"/>
      <c r="B1012" s="46"/>
      <c r="C1012" s="46"/>
      <c r="D1012" s="46" t="s">
        <v>33</v>
      </c>
      <c r="E1012" s="46"/>
      <c r="F1012" s="46"/>
      <c r="G1012" s="46"/>
      <c r="H1012" s="46"/>
      <c r="I1012" s="46"/>
      <c r="J1012" s="46"/>
      <c r="K1012" s="46"/>
      <c r="L1012" s="46"/>
      <c r="M1012" s="46"/>
      <c r="N1012" s="46"/>
      <c r="O1012" s="46"/>
      <c r="P1012" s="46"/>
      <c r="Q1012" s="46"/>
      <c r="R1012" s="46"/>
      <c r="S1012" s="46"/>
      <c r="T1012" s="46"/>
      <c r="U1012" s="46"/>
      <c r="V1012" s="46"/>
      <c r="W1012" s="46"/>
      <c r="X1012" s="46"/>
      <c r="Y1012" s="46"/>
      <c r="Z1012" s="46"/>
      <c r="AA1012" s="46"/>
      <c r="AB1012" s="46"/>
      <c r="AC1012" s="46"/>
      <c r="AD1012" s="46"/>
      <c r="AE1012" s="46"/>
      <c r="AF1012" s="46"/>
      <c r="AG1012" s="46"/>
      <c r="AH1012" s="46"/>
      <c r="AI1012" s="46"/>
      <c r="AJ1012" s="46"/>
      <c r="AK1012" s="46"/>
      <c r="AL1012" s="46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</row>
    <row r="1013" ht="16" customHeight="1" spans="1:51" x14ac:dyDescent="0.25">
      <c r="A1013" s="45"/>
      <c r="B1013" s="46" t="s">
        <v>1059</v>
      </c>
      <c r="C1013" s="46" t="s">
        <v>1060</v>
      </c>
      <c r="D1013" s="46" t="s">
        <v>29</v>
      </c>
      <c r="E1013" s="46" t="s">
        <v>42</v>
      </c>
      <c r="F1013" s="46" t="s">
        <v>37</v>
      </c>
      <c r="G1013" s="46" t="s">
        <v>42</v>
      </c>
      <c r="H1013" s="46" t="s">
        <v>42</v>
      </c>
      <c r="I1013" s="46" t="s">
        <v>42</v>
      </c>
      <c r="J1013" s="46" t="s">
        <v>42</v>
      </c>
      <c r="K1013" s="46" t="s">
        <v>42</v>
      </c>
      <c r="L1013" s="46" t="s">
        <v>42</v>
      </c>
      <c r="M1013" s="46" t="s">
        <v>37</v>
      </c>
      <c r="N1013" s="46" t="s">
        <v>42</v>
      </c>
      <c r="O1013" s="46" t="s">
        <v>42</v>
      </c>
      <c r="P1013" s="46" t="s">
        <v>42</v>
      </c>
      <c r="Q1013" s="46" t="s">
        <v>42</v>
      </c>
      <c r="R1013" s="46" t="s">
        <v>42</v>
      </c>
      <c r="S1013" s="46" t="s">
        <v>42</v>
      </c>
      <c r="T1013" s="46" t="s">
        <v>37</v>
      </c>
      <c r="U1013" s="46" t="s">
        <v>42</v>
      </c>
      <c r="V1013" s="46" t="s">
        <v>42</v>
      </c>
      <c r="W1013" s="46" t="s">
        <v>42</v>
      </c>
      <c r="X1013" s="46" t="s">
        <v>42</v>
      </c>
      <c r="Y1013" s="46" t="s">
        <v>42</v>
      </c>
      <c r="Z1013" s="46" t="s">
        <v>42</v>
      </c>
      <c r="AA1013" s="46" t="s">
        <v>37</v>
      </c>
      <c r="AB1013" s="46" t="s">
        <v>42</v>
      </c>
      <c r="AC1013" s="46" t="s">
        <v>42</v>
      </c>
      <c r="AD1013" s="46" t="s">
        <v>42</v>
      </c>
      <c r="AE1013" s="46" t="s">
        <v>42</v>
      </c>
      <c r="AF1013" s="46" t="s">
        <v>42</v>
      </c>
      <c r="AG1013" s="46" t="s">
        <v>42</v>
      </c>
      <c r="AH1013" s="46" t="s">
        <v>37</v>
      </c>
      <c r="AI1013" s="46" t="s">
        <v>153</v>
      </c>
      <c r="AJ1013" s="46">
        <f>=SUM(E1014:AI1014)</f>
      </c>
      <c r="AK1013" s="46">
        <f>=+AY1013</f>
      </c>
      <c r="AL1013" s="46"/>
      <c r="AM1013" s="1"/>
      <c r="AN1013" s="1">
        <f>=COUNTIF(E1013:AI1013,"A")+COUNTIF(E1013:AI1013,"B")+COUNTIF(E1013:AI1013,"C")+COUNTIF(E1013:AI1013,"D")+COUNTIF(E1013:AI1013,"E")+COUNTIF(E1013:AI1013,"F")+COUNTIF(E1013:AI1013,"M")+COUNTIF(E1013:AI1013,"AB")+COUNTIF(E1013:AI1013,"UZ")+COUNTIF(E1013:AI1013,"G")+(COUNTIF(E1013:AI1013,"RT.")/2)+(COUNTIF(E1013:AI1013,"ÇRT.")/2)</f>
      </c>
      <c r="AO1013" s="1">
        <f>=COUNTIF(E1013:AI1013,"O")</f>
      </c>
      <c r="AP1013" s="1">
        <f>=COUNTIF(E1013:AI1013,"RT")+(COUNTIF(E1013:AI1013,"RT.")/2)</f>
      </c>
      <c r="AQ1013" s="1">
        <f>=COUNTIF(E1013:AI1013,"ÇRT")+(COUNTIF(E1013:AI1013,"ÇRT.")/2)</f>
      </c>
      <c r="AR1013" s="1">
        <f>=COUNTIF(E1013:AI1013,"ÇHT")</f>
      </c>
      <c r="AS1013" s="1">
        <f>=COUNTIF(E1013:AI1013,"Ö")+COUNTIF(E1013:AI1013,"T")</f>
      </c>
      <c r="AT1013" s="1">
        <f>=COUNTIF(E1013:AI1013,"Y")</f>
      </c>
      <c r="AU1013" s="1">
        <f>=COUNTIF(E1013:AI1013,"R.")</f>
      </c>
      <c r="AV1013" s="1">
        <f>=COUNTIF(E1013:AI1013,"Ü")</f>
      </c>
      <c r="AW1013" s="1">
        <f>=COUNTIF(E1013:AI1013,"R")</f>
      </c>
      <c r="AX1013" s="1">
        <f>=COUNTIF(E1013:AI1013,"DV")</f>
      </c>
      <c r="AY1013" s="1">
        <f>=+AN1013+AO1013+AP1013+AQ1013+AR1013+AS1013+AT1013+AU1013</f>
      </c>
    </row>
    <row r="1014" ht="16" customHeight="1" spans="1:51" x14ac:dyDescent="0.25">
      <c r="A1014" s="45"/>
      <c r="B1014" s="46"/>
      <c r="C1014" s="46"/>
      <c r="D1014" s="46" t="s">
        <v>33</v>
      </c>
      <c r="E1014" s="46"/>
      <c r="F1014" s="46">
        <v>0</v>
      </c>
      <c r="G1014" s="46"/>
      <c r="H1014" s="46"/>
      <c r="I1014" s="46"/>
      <c r="J1014" s="46"/>
      <c r="K1014" s="46"/>
      <c r="L1014" s="46"/>
      <c r="M1014" s="46"/>
      <c r="N1014" s="46"/>
      <c r="O1014" s="46"/>
      <c r="P1014" s="46"/>
      <c r="Q1014" s="46"/>
      <c r="R1014" s="46"/>
      <c r="S1014" s="46"/>
      <c r="T1014" s="46"/>
      <c r="U1014" s="46"/>
      <c r="V1014" s="46"/>
      <c r="W1014" s="46"/>
      <c r="X1014" s="46"/>
      <c r="Y1014" s="46"/>
      <c r="Z1014" s="46"/>
      <c r="AA1014" s="46"/>
      <c r="AB1014" s="46"/>
      <c r="AC1014" s="46"/>
      <c r="AD1014" s="46"/>
      <c r="AE1014" s="46"/>
      <c r="AF1014" s="46"/>
      <c r="AG1014" s="46"/>
      <c r="AH1014" s="46"/>
      <c r="AI1014" s="46"/>
      <c r="AJ1014" s="46"/>
      <c r="AK1014" s="46"/>
      <c r="AL1014" s="46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</row>
    <row r="1015" ht="16" customHeight="1" spans="1:51" x14ac:dyDescent="0.25">
      <c r="A1015" s="45"/>
      <c r="B1015" s="46" t="s">
        <v>1061</v>
      </c>
      <c r="C1015" s="46" t="s">
        <v>1062</v>
      </c>
      <c r="D1015" s="46" t="s">
        <v>29</v>
      </c>
      <c r="E1015" s="46" t="s">
        <v>153</v>
      </c>
      <c r="F1015" s="46" t="s">
        <v>37</v>
      </c>
      <c r="G1015" s="46" t="s">
        <v>42</v>
      </c>
      <c r="H1015" s="46" t="s">
        <v>42</v>
      </c>
      <c r="I1015" s="46" t="s">
        <v>42</v>
      </c>
      <c r="J1015" s="46" t="s">
        <v>42</v>
      </c>
      <c r="K1015" s="46" t="s">
        <v>42</v>
      </c>
      <c r="L1015" s="46" t="s">
        <v>42</v>
      </c>
      <c r="M1015" s="46" t="s">
        <v>37</v>
      </c>
      <c r="N1015" s="46" t="s">
        <v>42</v>
      </c>
      <c r="O1015" s="46" t="s">
        <v>42</v>
      </c>
      <c r="P1015" s="46" t="s">
        <v>42</v>
      </c>
      <c r="Q1015" s="46" t="s">
        <v>42</v>
      </c>
      <c r="R1015" s="46" t="s">
        <v>42</v>
      </c>
      <c r="S1015" s="46" t="s">
        <v>42</v>
      </c>
      <c r="T1015" s="46" t="s">
        <v>37</v>
      </c>
      <c r="U1015" s="46" t="s">
        <v>42</v>
      </c>
      <c r="V1015" s="46" t="s">
        <v>42</v>
      </c>
      <c r="W1015" s="46" t="s">
        <v>42</v>
      </c>
      <c r="X1015" s="46" t="s">
        <v>42</v>
      </c>
      <c r="Y1015" s="46" t="s">
        <v>42</v>
      </c>
      <c r="Z1015" s="46" t="s">
        <v>42</v>
      </c>
      <c r="AA1015" s="46" t="s">
        <v>37</v>
      </c>
      <c r="AB1015" s="46" t="s">
        <v>42</v>
      </c>
      <c r="AC1015" s="46" t="s">
        <v>42</v>
      </c>
      <c r="AD1015" s="46" t="s">
        <v>42</v>
      </c>
      <c r="AE1015" s="46" t="s">
        <v>42</v>
      </c>
      <c r="AF1015" s="46" t="s">
        <v>42</v>
      </c>
      <c r="AG1015" s="46" t="s">
        <v>42</v>
      </c>
      <c r="AH1015" s="46" t="s">
        <v>37</v>
      </c>
      <c r="AI1015" s="46" t="s">
        <v>42</v>
      </c>
      <c r="AJ1015" s="46">
        <f>=SUM(E1016:AI1016)</f>
      </c>
      <c r="AK1015" s="46">
        <f>=+AY1015</f>
      </c>
      <c r="AL1015" s="46"/>
      <c r="AM1015" s="1"/>
      <c r="AN1015" s="1">
        <f>=COUNTIF(E1015:AI1015,"A")+COUNTIF(E1015:AI1015,"B")+COUNTIF(E1015:AI1015,"C")+COUNTIF(E1015:AI1015,"D")+COUNTIF(E1015:AI1015,"E")+COUNTIF(E1015:AI1015,"F")+COUNTIF(E1015:AI1015,"M")+COUNTIF(E1015:AI1015,"AB")+COUNTIF(E1015:AI1015,"UZ")+COUNTIF(E1015:AI1015,"G")+(COUNTIF(E1015:AI1015,"RT.")/2)+(COUNTIF(E1015:AI1015,"ÇRT.")/2)</f>
      </c>
      <c r="AO1015" s="1">
        <f>=COUNTIF(E1015:AI1015,"O")</f>
      </c>
      <c r="AP1015" s="1">
        <f>=COUNTIF(E1015:AI1015,"RT")+(COUNTIF(E1015:AI1015,"RT.")/2)</f>
      </c>
      <c r="AQ1015" s="1">
        <f>=COUNTIF(E1015:AI1015,"ÇRT")+(COUNTIF(E1015:AI1015,"ÇRT.")/2)</f>
      </c>
      <c r="AR1015" s="1">
        <f>=COUNTIF(E1015:AI1015,"ÇHT")</f>
      </c>
      <c r="AS1015" s="1">
        <f>=COUNTIF(E1015:AI1015,"Ö")+COUNTIF(E1015:AI1015,"T")</f>
      </c>
      <c r="AT1015" s="1">
        <f>=COUNTIF(E1015:AI1015,"Y")</f>
      </c>
      <c r="AU1015" s="1">
        <f>=COUNTIF(E1015:AI1015,"R.")</f>
      </c>
      <c r="AV1015" s="1">
        <f>=COUNTIF(E1015:AI1015,"Ü")</f>
      </c>
      <c r="AW1015" s="1">
        <f>=COUNTIF(E1015:AI1015,"R")</f>
      </c>
      <c r="AX1015" s="1">
        <f>=COUNTIF(E1015:AI1015,"DV")</f>
      </c>
      <c r="AY1015" s="1">
        <f>=+AN1015+AO1015+AP1015+AQ1015+AR1015+AS1015+AT1015+AU1015</f>
      </c>
    </row>
    <row r="1016" ht="16" customHeight="1" spans="1:51" x14ac:dyDescent="0.25">
      <c r="A1016" s="45"/>
      <c r="B1016" s="46"/>
      <c r="C1016" s="46"/>
      <c r="D1016" s="46" t="s">
        <v>33</v>
      </c>
      <c r="E1016" s="46"/>
      <c r="F1016" s="46"/>
      <c r="G1016" s="46"/>
      <c r="H1016" s="46"/>
      <c r="I1016" s="46"/>
      <c r="J1016" s="46"/>
      <c r="K1016" s="46"/>
      <c r="L1016" s="46"/>
      <c r="M1016" s="46"/>
      <c r="N1016" s="46"/>
      <c r="O1016" s="46"/>
      <c r="P1016" s="46"/>
      <c r="Q1016" s="46"/>
      <c r="R1016" s="46"/>
      <c r="S1016" s="46"/>
      <c r="T1016" s="46"/>
      <c r="U1016" s="46"/>
      <c r="V1016" s="46"/>
      <c r="W1016" s="46"/>
      <c r="X1016" s="46"/>
      <c r="Y1016" s="46"/>
      <c r="Z1016" s="46"/>
      <c r="AA1016" s="46"/>
      <c r="AB1016" s="46"/>
      <c r="AC1016" s="46"/>
      <c r="AD1016" s="46"/>
      <c r="AE1016" s="46"/>
      <c r="AF1016" s="46"/>
      <c r="AG1016" s="46"/>
      <c r="AH1016" s="46"/>
      <c r="AI1016" s="46"/>
      <c r="AJ1016" s="46"/>
      <c r="AK1016" s="46"/>
      <c r="AL1016" s="46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</row>
    <row r="1017" ht="16" customHeight="1" spans="1:51" x14ac:dyDescent="0.25">
      <c r="A1017" s="45"/>
      <c r="B1017" s="46" t="s">
        <v>1063</v>
      </c>
      <c r="C1017" s="46" t="s">
        <v>1064</v>
      </c>
      <c r="D1017" s="46" t="s">
        <v>29</v>
      </c>
      <c r="E1017" s="46" t="s">
        <v>36</v>
      </c>
      <c r="F1017" s="46" t="s">
        <v>37</v>
      </c>
      <c r="G1017" s="46" t="s">
        <v>36</v>
      </c>
      <c r="H1017" s="46" t="s">
        <v>36</v>
      </c>
      <c r="I1017" s="46" t="s">
        <v>36</v>
      </c>
      <c r="J1017" s="46" t="s">
        <v>36</v>
      </c>
      <c r="K1017" s="46" t="s">
        <v>36</v>
      </c>
      <c r="L1017" s="46" t="s">
        <v>36</v>
      </c>
      <c r="M1017" s="46" t="s">
        <v>37</v>
      </c>
      <c r="N1017" s="46" t="s">
        <v>36</v>
      </c>
      <c r="O1017" s="46" t="s">
        <v>36</v>
      </c>
      <c r="P1017" s="46" t="s">
        <v>36</v>
      </c>
      <c r="Q1017" s="46" t="s">
        <v>36</v>
      </c>
      <c r="R1017" s="46" t="s">
        <v>36</v>
      </c>
      <c r="S1017" s="46" t="s">
        <v>36</v>
      </c>
      <c r="T1017" s="46" t="s">
        <v>37</v>
      </c>
      <c r="U1017" s="46" t="s">
        <v>36</v>
      </c>
      <c r="V1017" s="46" t="s">
        <v>36</v>
      </c>
      <c r="W1017" s="46" t="s">
        <v>36</v>
      </c>
      <c r="X1017" s="46" t="s">
        <v>36</v>
      </c>
      <c r="Y1017" s="46" t="s">
        <v>36</v>
      </c>
      <c r="Z1017" s="46" t="s">
        <v>36</v>
      </c>
      <c r="AA1017" s="46" t="s">
        <v>37</v>
      </c>
      <c r="AB1017" s="46" t="s">
        <v>153</v>
      </c>
      <c r="AC1017" s="46" t="s">
        <v>36</v>
      </c>
      <c r="AD1017" s="46" t="s">
        <v>42</v>
      </c>
      <c r="AE1017" s="46" t="s">
        <v>36</v>
      </c>
      <c r="AF1017" s="46" t="s">
        <v>36</v>
      </c>
      <c r="AG1017" s="46" t="s">
        <v>36</v>
      </c>
      <c r="AH1017" s="46" t="s">
        <v>37</v>
      </c>
      <c r="AI1017" s="46" t="s">
        <v>36</v>
      </c>
      <c r="AJ1017" s="46">
        <f>=SUM(E1018:AI1018)</f>
      </c>
      <c r="AK1017" s="46">
        <f>=+AY1017</f>
      </c>
      <c r="AL1017" s="46"/>
      <c r="AM1017" s="1"/>
      <c r="AN1017" s="1">
        <f>=COUNTIF(E1017:AI1017,"A")+COUNTIF(E1017:AI1017,"B")+COUNTIF(E1017:AI1017,"C")+COUNTIF(E1017:AI1017,"D")+COUNTIF(E1017:AI1017,"E")+COUNTIF(E1017:AI1017,"F")+COUNTIF(E1017:AI1017,"M")+COUNTIF(E1017:AI1017,"AB")+COUNTIF(E1017:AI1017,"UZ")+COUNTIF(E1017:AI1017,"G")+(COUNTIF(E1017:AI1017,"RT.")/2)+(COUNTIF(E1017:AI1017,"ÇRT.")/2)</f>
      </c>
      <c r="AO1017" s="1">
        <f>=COUNTIF(E1017:AI1017,"O")</f>
      </c>
      <c r="AP1017" s="1">
        <f>=COUNTIF(E1017:AI1017,"RT")+(COUNTIF(E1017:AI1017,"RT.")/2)</f>
      </c>
      <c r="AQ1017" s="1">
        <f>=COUNTIF(E1017:AI1017,"ÇRT")+(COUNTIF(E1017:AI1017,"ÇRT.")/2)</f>
      </c>
      <c r="AR1017" s="1">
        <f>=COUNTIF(E1017:AI1017,"ÇHT")</f>
      </c>
      <c r="AS1017" s="1">
        <f>=COUNTIF(E1017:AI1017,"Ö")+COUNTIF(E1017:AI1017,"T")</f>
      </c>
      <c r="AT1017" s="1">
        <f>=COUNTIF(E1017:AI1017,"Y")</f>
      </c>
      <c r="AU1017" s="1">
        <f>=COUNTIF(E1017:AI1017,"R.")</f>
      </c>
      <c r="AV1017" s="1">
        <f>=COUNTIF(E1017:AI1017,"Ü")</f>
      </c>
      <c r="AW1017" s="1">
        <f>=COUNTIF(E1017:AI1017,"R")</f>
      </c>
      <c r="AX1017" s="1">
        <f>=COUNTIF(E1017:AI1017,"DV")</f>
      </c>
      <c r="AY1017" s="1">
        <f>=+AN1017+AO1017+AP1017+AQ1017+AR1017+AS1017+AT1017+AU1017</f>
      </c>
    </row>
    <row r="1018" ht="16" customHeight="1" spans="1:51" x14ac:dyDescent="0.25">
      <c r="A1018" s="45"/>
      <c r="B1018" s="46"/>
      <c r="C1018" s="46"/>
      <c r="D1018" s="46" t="s">
        <v>33</v>
      </c>
      <c r="E1018" s="46"/>
      <c r="F1018" s="46"/>
      <c r="G1018" s="46"/>
      <c r="H1018" s="46"/>
      <c r="I1018" s="46"/>
      <c r="J1018" s="46"/>
      <c r="K1018" s="46"/>
      <c r="L1018" s="46"/>
      <c r="M1018" s="46"/>
      <c r="N1018" s="46"/>
      <c r="O1018" s="46"/>
      <c r="P1018" s="46"/>
      <c r="Q1018" s="46"/>
      <c r="R1018" s="46"/>
      <c r="S1018" s="46"/>
      <c r="T1018" s="46"/>
      <c r="U1018" s="46"/>
      <c r="V1018" s="46"/>
      <c r="W1018" s="46"/>
      <c r="X1018" s="46"/>
      <c r="Y1018" s="46"/>
      <c r="Z1018" s="46"/>
      <c r="AA1018" s="46"/>
      <c r="AB1018" s="46"/>
      <c r="AC1018" s="46"/>
      <c r="AD1018" s="46">
        <v>0</v>
      </c>
      <c r="AE1018" s="46"/>
      <c r="AF1018" s="46"/>
      <c r="AG1018" s="46"/>
      <c r="AH1018" s="46"/>
      <c r="AI1018" s="46"/>
      <c r="AJ1018" s="46"/>
      <c r="AK1018" s="46"/>
      <c r="AL1018" s="46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</row>
    <row r="1019" ht="16" customHeight="1" spans="1:51" x14ac:dyDescent="0.25">
      <c r="A1019" s="45" t="s">
        <v>1065</v>
      </c>
      <c r="B1019" s="46" t="s">
        <v>1066</v>
      </c>
      <c r="C1019" s="46" t="s">
        <v>1067</v>
      </c>
      <c r="D1019" s="46" t="s">
        <v>29</v>
      </c>
      <c r="E1019" s="46" t="s">
        <v>42</v>
      </c>
      <c r="F1019" s="46" t="s">
        <v>37</v>
      </c>
      <c r="G1019" s="46" t="s">
        <v>42</v>
      </c>
      <c r="H1019" s="46" t="s">
        <v>42</v>
      </c>
      <c r="I1019" s="46" t="s">
        <v>42</v>
      </c>
      <c r="J1019" s="46" t="s">
        <v>42</v>
      </c>
      <c r="K1019" s="46" t="s">
        <v>42</v>
      </c>
      <c r="L1019" s="46" t="s">
        <v>42</v>
      </c>
      <c r="M1019" s="46" t="s">
        <v>37</v>
      </c>
      <c r="N1019" s="46" t="s">
        <v>98</v>
      </c>
      <c r="O1019" s="46" t="s">
        <v>98</v>
      </c>
      <c r="P1019" s="46" t="s">
        <v>42</v>
      </c>
      <c r="Q1019" s="46" t="s">
        <v>42</v>
      </c>
      <c r="R1019" s="46" t="s">
        <v>42</v>
      </c>
      <c r="S1019" s="46" t="s">
        <v>42</v>
      </c>
      <c r="T1019" s="46" t="s">
        <v>37</v>
      </c>
      <c r="U1019" s="46" t="s">
        <v>42</v>
      </c>
      <c r="V1019" s="46" t="s">
        <v>98</v>
      </c>
      <c r="W1019" s="46" t="s">
        <v>98</v>
      </c>
      <c r="X1019" s="46" t="s">
        <v>98</v>
      </c>
      <c r="Y1019" s="46" t="s">
        <v>98</v>
      </c>
      <c r="Z1019" s="46" t="s">
        <v>42</v>
      </c>
      <c r="AA1019" s="46" t="s">
        <v>37</v>
      </c>
      <c r="AB1019" s="46" t="s">
        <v>42</v>
      </c>
      <c r="AC1019" s="46" t="s">
        <v>42</v>
      </c>
      <c r="AD1019" s="46" t="s">
        <v>42</v>
      </c>
      <c r="AE1019" s="46" t="s">
        <v>42</v>
      </c>
      <c r="AF1019" s="46" t="s">
        <v>42</v>
      </c>
      <c r="AG1019" s="46" t="s">
        <v>42</v>
      </c>
      <c r="AH1019" s="46" t="s">
        <v>37</v>
      </c>
      <c r="AI1019" s="46" t="s">
        <v>42</v>
      </c>
      <c r="AJ1019" s="46">
        <f>=SUM(E1020:AI1020)</f>
      </c>
      <c r="AK1019" s="46">
        <f>=+AY1019</f>
      </c>
      <c r="AL1019" s="46"/>
      <c r="AM1019" s="1"/>
      <c r="AN1019" s="1">
        <f>=COUNTIF(E1019:AI1019,"A")+COUNTIF(E1019:AI1019,"B")+COUNTIF(E1019:AI1019,"C")+COUNTIF(E1019:AI1019,"D")+COUNTIF(E1019:AI1019,"E")+COUNTIF(E1019:AI1019,"F")+COUNTIF(E1019:AI1019,"M")+COUNTIF(E1019:AI1019,"AB")+COUNTIF(E1019:AI1019,"UZ")+COUNTIF(E1019:AI1019,"G")+(COUNTIF(E1019:AI1019,"RT.")/2)+(COUNTIF(E1019:AI1019,"ÇRT.")/2)</f>
      </c>
      <c r="AO1019" s="1">
        <f>=COUNTIF(E1019:AI1019,"O")</f>
      </c>
      <c r="AP1019" s="1">
        <f>=COUNTIF(E1019:AI1019,"RT")+(COUNTIF(E1019:AI1019,"RT.")/2)</f>
      </c>
      <c r="AQ1019" s="1">
        <f>=COUNTIF(E1019:AI1019,"ÇRT")+(COUNTIF(E1019:AI1019,"ÇRT.")/2)</f>
      </c>
      <c r="AR1019" s="1">
        <f>=COUNTIF(E1019:AI1019,"ÇHT")</f>
      </c>
      <c r="AS1019" s="1">
        <f>=COUNTIF(E1019:AI1019,"Ö")+COUNTIF(E1019:AI1019,"T")</f>
      </c>
      <c r="AT1019" s="1">
        <f>=COUNTIF(E1019:AI1019,"Y")</f>
      </c>
      <c r="AU1019" s="1">
        <f>=COUNTIF(E1019:AI1019,"R.")</f>
      </c>
      <c r="AV1019" s="1">
        <f>=COUNTIF(E1019:AI1019,"Ü")</f>
      </c>
      <c r="AW1019" s="1">
        <f>=COUNTIF(E1019:AI1019,"R")</f>
      </c>
      <c r="AX1019" s="1">
        <f>=COUNTIF(E1019:AI1019,"DV")</f>
      </c>
      <c r="AY1019" s="1">
        <f>=+AN1019+AO1019+AP1019+AQ1019+AR1019+AS1019+AT1019+AU1019</f>
      </c>
    </row>
    <row r="1020" ht="16" customHeight="1" spans="1:51" x14ac:dyDescent="0.25">
      <c r="A1020" s="45"/>
      <c r="B1020" s="46"/>
      <c r="C1020" s="46"/>
      <c r="D1020" s="46" t="s">
        <v>33</v>
      </c>
      <c r="E1020" s="46"/>
      <c r="F1020" s="46"/>
      <c r="G1020" s="46"/>
      <c r="H1020" s="46"/>
      <c r="I1020" s="46"/>
      <c r="J1020" s="46"/>
      <c r="K1020" s="46"/>
      <c r="L1020" s="46"/>
      <c r="M1020" s="46"/>
      <c r="N1020" s="46"/>
      <c r="O1020" s="46"/>
      <c r="P1020" s="46"/>
      <c r="Q1020" s="46"/>
      <c r="R1020" s="46"/>
      <c r="S1020" s="46"/>
      <c r="T1020" s="46"/>
      <c r="U1020" s="46"/>
      <c r="V1020" s="46"/>
      <c r="W1020" s="46"/>
      <c r="X1020" s="46"/>
      <c r="Y1020" s="46"/>
      <c r="Z1020" s="46"/>
      <c r="AA1020" s="46"/>
      <c r="AB1020" s="46"/>
      <c r="AC1020" s="46"/>
      <c r="AD1020" s="46"/>
      <c r="AE1020" s="46"/>
      <c r="AF1020" s="46"/>
      <c r="AG1020" s="46"/>
      <c r="AH1020" s="46"/>
      <c r="AI1020" s="46"/>
      <c r="AJ1020" s="46"/>
      <c r="AK1020" s="46"/>
      <c r="AL1020" s="46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</row>
    <row r="1021" ht="16" customHeight="1" spans="1:51" x14ac:dyDescent="0.25">
      <c r="A1021" s="45"/>
      <c r="B1021" s="46" t="s">
        <v>1068</v>
      </c>
      <c r="C1021" s="46" t="s">
        <v>1069</v>
      </c>
      <c r="D1021" s="46" t="s">
        <v>29</v>
      </c>
      <c r="E1021" s="46" t="s">
        <v>42</v>
      </c>
      <c r="F1021" s="46" t="s">
        <v>37</v>
      </c>
      <c r="G1021" s="46" t="s">
        <v>42</v>
      </c>
      <c r="H1021" s="46" t="s">
        <v>42</v>
      </c>
      <c r="I1021" s="46" t="s">
        <v>42</v>
      </c>
      <c r="J1021" s="46" t="s">
        <v>42</v>
      </c>
      <c r="K1021" s="46" t="s">
        <v>42</v>
      </c>
      <c r="L1021" s="46" t="s">
        <v>42</v>
      </c>
      <c r="M1021" s="46" t="s">
        <v>37</v>
      </c>
      <c r="N1021" s="46" t="s">
        <v>42</v>
      </c>
      <c r="O1021" s="46" t="s">
        <v>42</v>
      </c>
      <c r="P1021" s="46" t="s">
        <v>42</v>
      </c>
      <c r="Q1021" s="46" t="s">
        <v>42</v>
      </c>
      <c r="R1021" s="46" t="s">
        <v>42</v>
      </c>
      <c r="S1021" s="46" t="s">
        <v>42</v>
      </c>
      <c r="T1021" s="46" t="s">
        <v>37</v>
      </c>
      <c r="U1021" s="46" t="s">
        <v>42</v>
      </c>
      <c r="V1021" s="46" t="s">
        <v>42</v>
      </c>
      <c r="W1021" s="46" t="s">
        <v>42</v>
      </c>
      <c r="X1021" s="46" t="s">
        <v>42</v>
      </c>
      <c r="Y1021" s="46" t="s">
        <v>42</v>
      </c>
      <c r="Z1021" s="46" t="s">
        <v>42</v>
      </c>
      <c r="AA1021" s="46" t="s">
        <v>37</v>
      </c>
      <c r="AB1021" s="46" t="s">
        <v>42</v>
      </c>
      <c r="AC1021" s="46" t="s">
        <v>42</v>
      </c>
      <c r="AD1021" s="46" t="s">
        <v>42</v>
      </c>
      <c r="AE1021" s="46" t="s">
        <v>42</v>
      </c>
      <c r="AF1021" s="46" t="s">
        <v>42</v>
      </c>
      <c r="AG1021" s="46" t="s">
        <v>42</v>
      </c>
      <c r="AH1021" s="46" t="s">
        <v>37</v>
      </c>
      <c r="AI1021" s="46" t="s">
        <v>98</v>
      </c>
      <c r="AJ1021" s="46">
        <f>=SUM(E1022:AI1022)</f>
      </c>
      <c r="AK1021" s="46">
        <f>=+AY1021</f>
      </c>
      <c r="AL1021" s="46"/>
      <c r="AM1021" s="1"/>
      <c r="AN1021" s="1">
        <f>=COUNTIF(E1021:AI1021,"A")+COUNTIF(E1021:AI1021,"B")+COUNTIF(E1021:AI1021,"C")+COUNTIF(E1021:AI1021,"D")+COUNTIF(E1021:AI1021,"E")+COUNTIF(E1021:AI1021,"F")+COUNTIF(E1021:AI1021,"M")+COUNTIF(E1021:AI1021,"AB")+COUNTIF(E1021:AI1021,"UZ")+COUNTIF(E1021:AI1021,"G")+(COUNTIF(E1021:AI1021,"RT.")/2)+(COUNTIF(E1021:AI1021,"ÇRT.")/2)</f>
      </c>
      <c r="AO1021" s="1">
        <f>=COUNTIF(E1021:AI1021,"O")</f>
      </c>
      <c r="AP1021" s="1">
        <f>=COUNTIF(E1021:AI1021,"RT")+(COUNTIF(E1021:AI1021,"RT.")/2)</f>
      </c>
      <c r="AQ1021" s="1">
        <f>=COUNTIF(E1021:AI1021,"ÇRT")+(COUNTIF(E1021:AI1021,"ÇRT.")/2)</f>
      </c>
      <c r="AR1021" s="1">
        <f>=COUNTIF(E1021:AI1021,"ÇHT")</f>
      </c>
      <c r="AS1021" s="1">
        <f>=COUNTIF(E1021:AI1021,"Ö")+COUNTIF(E1021:AI1021,"T")</f>
      </c>
      <c r="AT1021" s="1">
        <f>=COUNTIF(E1021:AI1021,"Y")</f>
      </c>
      <c r="AU1021" s="1">
        <f>=COUNTIF(E1021:AI1021,"R.")</f>
      </c>
      <c r="AV1021" s="1">
        <f>=COUNTIF(E1021:AI1021,"Ü")</f>
      </c>
      <c r="AW1021" s="1">
        <f>=COUNTIF(E1021:AI1021,"R")</f>
      </c>
      <c r="AX1021" s="1">
        <f>=COUNTIF(E1021:AI1021,"DV")</f>
      </c>
      <c r="AY1021" s="1">
        <f>=+AN1021+AO1021+AP1021+AQ1021+AR1021+AS1021+AT1021+AU1021</f>
      </c>
    </row>
    <row r="1022" ht="16" customHeight="1" spans="1:51" x14ac:dyDescent="0.25">
      <c r="A1022" s="45"/>
      <c r="B1022" s="46"/>
      <c r="C1022" s="46"/>
      <c r="D1022" s="46" t="s">
        <v>33</v>
      </c>
      <c r="E1022" s="46"/>
      <c r="F1022" s="46"/>
      <c r="G1022" s="46"/>
      <c r="H1022" s="46"/>
      <c r="I1022" s="46"/>
      <c r="J1022" s="46"/>
      <c r="K1022" s="46"/>
      <c r="L1022" s="46"/>
      <c r="M1022" s="46"/>
      <c r="N1022" s="46"/>
      <c r="O1022" s="46"/>
      <c r="P1022" s="46"/>
      <c r="Q1022" s="46"/>
      <c r="R1022" s="46"/>
      <c r="S1022" s="46"/>
      <c r="T1022" s="46"/>
      <c r="U1022" s="46"/>
      <c r="V1022" s="46"/>
      <c r="W1022" s="46"/>
      <c r="X1022" s="46"/>
      <c r="Y1022" s="46"/>
      <c r="Z1022" s="46"/>
      <c r="AA1022" s="46"/>
      <c r="AB1022" s="46"/>
      <c r="AC1022" s="46"/>
      <c r="AD1022" s="46"/>
      <c r="AE1022" s="46"/>
      <c r="AF1022" s="46"/>
      <c r="AG1022" s="46"/>
      <c r="AH1022" s="46"/>
      <c r="AI1022" s="46"/>
      <c r="AJ1022" s="46"/>
      <c r="AK1022" s="46"/>
      <c r="AL1022" s="46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</row>
    <row r="1023" ht="16" customHeight="1" spans="1:51" x14ac:dyDescent="0.25">
      <c r="A1023" s="45"/>
      <c r="B1023" s="46" t="s">
        <v>1070</v>
      </c>
      <c r="C1023" s="46" t="s">
        <v>1071</v>
      </c>
      <c r="D1023" s="46" t="s">
        <v>29</v>
      </c>
      <c r="E1023" s="46" t="s">
        <v>42</v>
      </c>
      <c r="F1023" s="46" t="s">
        <v>37</v>
      </c>
      <c r="G1023" s="46" t="s">
        <v>42</v>
      </c>
      <c r="H1023" s="46" t="s">
        <v>42</v>
      </c>
      <c r="I1023" s="46" t="s">
        <v>42</v>
      </c>
      <c r="J1023" s="46" t="s">
        <v>42</v>
      </c>
      <c r="K1023" s="46" t="s">
        <v>42</v>
      </c>
      <c r="L1023" s="46" t="s">
        <v>42</v>
      </c>
      <c r="M1023" s="46" t="s">
        <v>37</v>
      </c>
      <c r="N1023" s="46" t="s">
        <v>42</v>
      </c>
      <c r="O1023" s="46" t="s">
        <v>42</v>
      </c>
      <c r="P1023" s="46" t="s">
        <v>42</v>
      </c>
      <c r="Q1023" s="46" t="s">
        <v>42</v>
      </c>
      <c r="R1023" s="46" t="s">
        <v>42</v>
      </c>
      <c r="S1023" s="46" t="s">
        <v>42</v>
      </c>
      <c r="T1023" s="46" t="s">
        <v>37</v>
      </c>
      <c r="U1023" s="46" t="s">
        <v>42</v>
      </c>
      <c r="V1023" s="46" t="s">
        <v>42</v>
      </c>
      <c r="W1023" s="46" t="s">
        <v>42</v>
      </c>
      <c r="X1023" s="46" t="s">
        <v>42</v>
      </c>
      <c r="Y1023" s="46" t="s">
        <v>42</v>
      </c>
      <c r="Z1023" s="46" t="s">
        <v>42</v>
      </c>
      <c r="AA1023" s="46" t="s">
        <v>37</v>
      </c>
      <c r="AB1023" s="46" t="s">
        <v>42</v>
      </c>
      <c r="AC1023" s="46" t="s">
        <v>42</v>
      </c>
      <c r="AD1023" s="46" t="s">
        <v>42</v>
      </c>
      <c r="AE1023" s="46" t="s">
        <v>42</v>
      </c>
      <c r="AF1023" s="46" t="s">
        <v>42</v>
      </c>
      <c r="AG1023" s="46" t="s">
        <v>42</v>
      </c>
      <c r="AH1023" s="46" t="s">
        <v>37</v>
      </c>
      <c r="AI1023" s="46" t="s">
        <v>42</v>
      </c>
      <c r="AJ1023" s="46">
        <f>=SUM(E1024:AI1024)</f>
      </c>
      <c r="AK1023" s="46">
        <f>=+AY1023</f>
      </c>
      <c r="AL1023" s="46"/>
      <c r="AM1023" s="1"/>
      <c r="AN1023" s="1">
        <f>=COUNTIF(E1023:AI1023,"A")+COUNTIF(E1023:AI1023,"B")+COUNTIF(E1023:AI1023,"C")+COUNTIF(E1023:AI1023,"D")+COUNTIF(E1023:AI1023,"E")+COUNTIF(E1023:AI1023,"F")+COUNTIF(E1023:AI1023,"M")+COUNTIF(E1023:AI1023,"AB")+COUNTIF(E1023:AI1023,"UZ")+COUNTIF(E1023:AI1023,"G")+(COUNTIF(E1023:AI1023,"RT.")/2)+(COUNTIF(E1023:AI1023,"ÇRT.")/2)</f>
      </c>
      <c r="AO1023" s="1">
        <f>=COUNTIF(E1023:AI1023,"O")</f>
      </c>
      <c r="AP1023" s="1">
        <f>=COUNTIF(E1023:AI1023,"RT")+(COUNTIF(E1023:AI1023,"RT.")/2)</f>
      </c>
      <c r="AQ1023" s="1">
        <f>=COUNTIF(E1023:AI1023,"ÇRT")+(COUNTIF(E1023:AI1023,"ÇRT.")/2)</f>
      </c>
      <c r="AR1023" s="1">
        <f>=COUNTIF(E1023:AI1023,"ÇHT")</f>
      </c>
      <c r="AS1023" s="1">
        <f>=COUNTIF(E1023:AI1023,"Ö")+COUNTIF(E1023:AI1023,"T")</f>
      </c>
      <c r="AT1023" s="1">
        <f>=COUNTIF(E1023:AI1023,"Y")</f>
      </c>
      <c r="AU1023" s="1">
        <f>=COUNTIF(E1023:AI1023,"R.")</f>
      </c>
      <c r="AV1023" s="1">
        <f>=COUNTIF(E1023:AI1023,"Ü")</f>
      </c>
      <c r="AW1023" s="1">
        <f>=COUNTIF(E1023:AI1023,"R")</f>
      </c>
      <c r="AX1023" s="1">
        <f>=COUNTIF(E1023:AI1023,"DV")</f>
      </c>
      <c r="AY1023" s="1">
        <f>=+AN1023+AO1023+AP1023+AQ1023+AR1023+AS1023+AT1023+AU1023</f>
      </c>
    </row>
    <row r="1024" ht="16" customHeight="1" spans="1:51" x14ac:dyDescent="0.25">
      <c r="A1024" s="45"/>
      <c r="B1024" s="46"/>
      <c r="C1024" s="46"/>
      <c r="D1024" s="46" t="s">
        <v>33</v>
      </c>
      <c r="E1024" s="46"/>
      <c r="F1024" s="46"/>
      <c r="G1024" s="46"/>
      <c r="H1024" s="46"/>
      <c r="I1024" s="46"/>
      <c r="J1024" s="46"/>
      <c r="K1024" s="46"/>
      <c r="L1024" s="46"/>
      <c r="M1024" s="46"/>
      <c r="N1024" s="46"/>
      <c r="O1024" s="46"/>
      <c r="P1024" s="46"/>
      <c r="Q1024" s="46"/>
      <c r="R1024" s="46"/>
      <c r="S1024" s="46"/>
      <c r="T1024" s="46"/>
      <c r="U1024" s="46"/>
      <c r="V1024" s="46"/>
      <c r="W1024" s="46"/>
      <c r="X1024" s="46"/>
      <c r="Y1024" s="46"/>
      <c r="Z1024" s="46"/>
      <c r="AA1024" s="46"/>
      <c r="AB1024" s="46"/>
      <c r="AC1024" s="46"/>
      <c r="AD1024" s="46"/>
      <c r="AE1024" s="46"/>
      <c r="AF1024" s="46"/>
      <c r="AG1024" s="46"/>
      <c r="AH1024" s="46"/>
      <c r="AI1024" s="46"/>
      <c r="AJ1024" s="46"/>
      <c r="AK1024" s="46"/>
      <c r="AL1024" s="46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</row>
    <row r="1025" ht="16" customHeight="1" spans="1:51" x14ac:dyDescent="0.25">
      <c r="A1025" s="45"/>
      <c r="B1025" s="46" t="s">
        <v>1072</v>
      </c>
      <c r="C1025" s="46" t="s">
        <v>1073</v>
      </c>
      <c r="D1025" s="46" t="s">
        <v>29</v>
      </c>
      <c r="E1025" s="46" t="s">
        <v>42</v>
      </c>
      <c r="F1025" s="46" t="s">
        <v>37</v>
      </c>
      <c r="G1025" s="46" t="s">
        <v>42</v>
      </c>
      <c r="H1025" s="46" t="s">
        <v>42</v>
      </c>
      <c r="I1025" s="46" t="s">
        <v>42</v>
      </c>
      <c r="J1025" s="46" t="s">
        <v>42</v>
      </c>
      <c r="K1025" s="46" t="s">
        <v>42</v>
      </c>
      <c r="L1025" s="46" t="s">
        <v>42</v>
      </c>
      <c r="M1025" s="46" t="s">
        <v>37</v>
      </c>
      <c r="N1025" s="46" t="s">
        <v>42</v>
      </c>
      <c r="O1025" s="46" t="s">
        <v>42</v>
      </c>
      <c r="P1025" s="46" t="s">
        <v>42</v>
      </c>
      <c r="Q1025" s="46" t="s">
        <v>42</v>
      </c>
      <c r="R1025" s="46" t="s">
        <v>42</v>
      </c>
      <c r="S1025" s="46" t="s">
        <v>42</v>
      </c>
      <c r="T1025" s="46" t="s">
        <v>37</v>
      </c>
      <c r="U1025" s="46" t="s">
        <v>42</v>
      </c>
      <c r="V1025" s="46" t="s">
        <v>42</v>
      </c>
      <c r="W1025" s="46" t="s">
        <v>42</v>
      </c>
      <c r="X1025" s="46" t="s">
        <v>42</v>
      </c>
      <c r="Y1025" s="46" t="s">
        <v>42</v>
      </c>
      <c r="Z1025" s="46" t="s">
        <v>42</v>
      </c>
      <c r="AA1025" s="46" t="s">
        <v>37</v>
      </c>
      <c r="AB1025" s="46" t="s">
        <v>42</v>
      </c>
      <c r="AC1025" s="46" t="s">
        <v>42</v>
      </c>
      <c r="AD1025" s="46" t="s">
        <v>42</v>
      </c>
      <c r="AE1025" s="46" t="s">
        <v>42</v>
      </c>
      <c r="AF1025" s="46" t="s">
        <v>42</v>
      </c>
      <c r="AG1025" s="46" t="s">
        <v>42</v>
      </c>
      <c r="AH1025" s="46" t="s">
        <v>37</v>
      </c>
      <c r="AI1025" s="46" t="s">
        <v>42</v>
      </c>
      <c r="AJ1025" s="46">
        <f>=SUM(E1026:AI1026)</f>
      </c>
      <c r="AK1025" s="46">
        <f>=+AY1025</f>
      </c>
      <c r="AL1025" s="46"/>
      <c r="AM1025" s="1"/>
      <c r="AN1025" s="1">
        <f>=COUNTIF(E1025:AI1025,"A")+COUNTIF(E1025:AI1025,"B")+COUNTIF(E1025:AI1025,"C")+COUNTIF(E1025:AI1025,"D")+COUNTIF(E1025:AI1025,"E")+COUNTIF(E1025:AI1025,"F")+COUNTIF(E1025:AI1025,"M")+COUNTIF(E1025:AI1025,"AB")+COUNTIF(E1025:AI1025,"UZ")+COUNTIF(E1025:AI1025,"G")+(COUNTIF(E1025:AI1025,"RT.")/2)+(COUNTIF(E1025:AI1025,"ÇRT.")/2)</f>
      </c>
      <c r="AO1025" s="1">
        <f>=COUNTIF(E1025:AI1025,"O")</f>
      </c>
      <c r="AP1025" s="1">
        <f>=COUNTIF(E1025:AI1025,"RT")+(COUNTIF(E1025:AI1025,"RT.")/2)</f>
      </c>
      <c r="AQ1025" s="1">
        <f>=COUNTIF(E1025:AI1025,"ÇRT")+(COUNTIF(E1025:AI1025,"ÇRT.")/2)</f>
      </c>
      <c r="AR1025" s="1">
        <f>=COUNTIF(E1025:AI1025,"ÇHT")</f>
      </c>
      <c r="AS1025" s="1">
        <f>=COUNTIF(E1025:AI1025,"Ö")+COUNTIF(E1025:AI1025,"T")</f>
      </c>
      <c r="AT1025" s="1">
        <f>=COUNTIF(E1025:AI1025,"Y")</f>
      </c>
      <c r="AU1025" s="1">
        <f>=COUNTIF(E1025:AI1025,"R.")</f>
      </c>
      <c r="AV1025" s="1">
        <f>=COUNTIF(E1025:AI1025,"Ü")</f>
      </c>
      <c r="AW1025" s="1">
        <f>=COUNTIF(E1025:AI1025,"R")</f>
      </c>
      <c r="AX1025" s="1">
        <f>=COUNTIF(E1025:AI1025,"DV")</f>
      </c>
      <c r="AY1025" s="1">
        <f>=+AN1025+AO1025+AP1025+AQ1025+AR1025+AS1025+AT1025+AU1025</f>
      </c>
    </row>
    <row r="1026" ht="16" customHeight="1" spans="1:51" x14ac:dyDescent="0.25">
      <c r="A1026" s="45"/>
      <c r="B1026" s="46"/>
      <c r="C1026" s="46"/>
      <c r="D1026" s="46" t="s">
        <v>33</v>
      </c>
      <c r="E1026" s="46"/>
      <c r="F1026" s="46"/>
      <c r="G1026" s="46"/>
      <c r="H1026" s="46"/>
      <c r="I1026" s="46"/>
      <c r="J1026" s="46"/>
      <c r="K1026" s="46"/>
      <c r="L1026" s="46"/>
      <c r="M1026" s="46"/>
      <c r="N1026" s="46"/>
      <c r="O1026" s="46"/>
      <c r="P1026" s="46"/>
      <c r="Q1026" s="46"/>
      <c r="R1026" s="46"/>
      <c r="S1026" s="46"/>
      <c r="T1026" s="46"/>
      <c r="U1026" s="46"/>
      <c r="V1026" s="46"/>
      <c r="W1026" s="46"/>
      <c r="X1026" s="46"/>
      <c r="Y1026" s="46"/>
      <c r="Z1026" s="46"/>
      <c r="AA1026" s="46"/>
      <c r="AB1026" s="46"/>
      <c r="AC1026" s="46"/>
      <c r="AD1026" s="46"/>
      <c r="AE1026" s="46"/>
      <c r="AF1026" s="46"/>
      <c r="AG1026" s="46"/>
      <c r="AH1026" s="46"/>
      <c r="AI1026" s="46"/>
      <c r="AJ1026" s="46"/>
      <c r="AK1026" s="46"/>
      <c r="AL1026" s="46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</row>
    <row r="1027" ht="16" customHeight="1" spans="1:51" x14ac:dyDescent="0.25">
      <c r="A1027" s="45"/>
      <c r="B1027" s="46" t="s">
        <v>1074</v>
      </c>
      <c r="C1027" s="46" t="s">
        <v>1075</v>
      </c>
      <c r="D1027" s="46" t="s">
        <v>29</v>
      </c>
      <c r="E1027" s="46" t="s">
        <v>42</v>
      </c>
      <c r="F1027" s="46" t="s">
        <v>37</v>
      </c>
      <c r="G1027" s="46" t="s">
        <v>42</v>
      </c>
      <c r="H1027" s="46" t="s">
        <v>42</v>
      </c>
      <c r="I1027" s="46" t="s">
        <v>42</v>
      </c>
      <c r="J1027" s="46" t="s">
        <v>42</v>
      </c>
      <c r="K1027" s="46" t="s">
        <v>42</v>
      </c>
      <c r="L1027" s="46" t="s">
        <v>42</v>
      </c>
      <c r="M1027" s="46" t="s">
        <v>37</v>
      </c>
      <c r="N1027" s="46" t="s">
        <v>42</v>
      </c>
      <c r="O1027" s="46" t="s">
        <v>42</v>
      </c>
      <c r="P1027" s="46" t="s">
        <v>42</v>
      </c>
      <c r="Q1027" s="46" t="s">
        <v>42</v>
      </c>
      <c r="R1027" s="46" t="s">
        <v>42</v>
      </c>
      <c r="S1027" s="46" t="s">
        <v>42</v>
      </c>
      <c r="T1027" s="46" t="s">
        <v>37</v>
      </c>
      <c r="U1027" s="46" t="s">
        <v>42</v>
      </c>
      <c r="V1027" s="46" t="s">
        <v>42</v>
      </c>
      <c r="W1027" s="46" t="s">
        <v>42</v>
      </c>
      <c r="X1027" s="46" t="s">
        <v>42</v>
      </c>
      <c r="Y1027" s="46" t="s">
        <v>42</v>
      </c>
      <c r="Z1027" s="46" t="s">
        <v>98</v>
      </c>
      <c r="AA1027" s="46" t="s">
        <v>37</v>
      </c>
      <c r="AB1027" s="46" t="s">
        <v>42</v>
      </c>
      <c r="AC1027" s="46" t="s">
        <v>42</v>
      </c>
      <c r="AD1027" s="46" t="s">
        <v>98</v>
      </c>
      <c r="AE1027" s="46" t="s">
        <v>98</v>
      </c>
      <c r="AF1027" s="46" t="s">
        <v>42</v>
      </c>
      <c r="AG1027" s="46" t="s">
        <v>42</v>
      </c>
      <c r="AH1027" s="46" t="s">
        <v>37</v>
      </c>
      <c r="AI1027" s="46" t="s">
        <v>42</v>
      </c>
      <c r="AJ1027" s="46">
        <f>=SUM(E1028:AI1028)</f>
      </c>
      <c r="AK1027" s="46">
        <f>=+AY1027</f>
      </c>
      <c r="AL1027" s="46"/>
      <c r="AM1027" s="1"/>
      <c r="AN1027" s="1">
        <f>=COUNTIF(E1027:AI1027,"A")+COUNTIF(E1027:AI1027,"B")+COUNTIF(E1027:AI1027,"C")+COUNTIF(E1027:AI1027,"D")+COUNTIF(E1027:AI1027,"E")+COUNTIF(E1027:AI1027,"F")+COUNTIF(E1027:AI1027,"M")+COUNTIF(E1027:AI1027,"AB")+COUNTIF(E1027:AI1027,"UZ")+COUNTIF(E1027:AI1027,"G")+(COUNTIF(E1027:AI1027,"RT.")/2)+(COUNTIF(E1027:AI1027,"ÇRT.")/2)</f>
      </c>
      <c r="AO1027" s="1">
        <f>=COUNTIF(E1027:AI1027,"O")</f>
      </c>
      <c r="AP1027" s="1">
        <f>=COUNTIF(E1027:AI1027,"RT")+(COUNTIF(E1027:AI1027,"RT.")/2)</f>
      </c>
      <c r="AQ1027" s="1">
        <f>=COUNTIF(E1027:AI1027,"ÇRT")+(COUNTIF(E1027:AI1027,"ÇRT.")/2)</f>
      </c>
      <c r="AR1027" s="1">
        <f>=COUNTIF(E1027:AI1027,"ÇHT")</f>
      </c>
      <c r="AS1027" s="1">
        <f>=COUNTIF(E1027:AI1027,"Ö")+COUNTIF(E1027:AI1027,"T")</f>
      </c>
      <c r="AT1027" s="1">
        <f>=COUNTIF(E1027:AI1027,"Y")</f>
      </c>
      <c r="AU1027" s="1">
        <f>=COUNTIF(E1027:AI1027,"R.")</f>
      </c>
      <c r="AV1027" s="1">
        <f>=COUNTIF(E1027:AI1027,"Ü")</f>
      </c>
      <c r="AW1027" s="1">
        <f>=COUNTIF(E1027:AI1027,"R")</f>
      </c>
      <c r="AX1027" s="1">
        <f>=COUNTIF(E1027:AI1027,"DV")</f>
      </c>
      <c r="AY1027" s="1">
        <f>=+AN1027+AO1027+AP1027+AQ1027+AR1027+AS1027+AT1027+AU1027</f>
      </c>
    </row>
    <row r="1028" ht="16" customHeight="1" spans="1:51" x14ac:dyDescent="0.25">
      <c r="A1028" s="45"/>
      <c r="B1028" s="46"/>
      <c r="C1028" s="46"/>
      <c r="D1028" s="46" t="s">
        <v>33</v>
      </c>
      <c r="E1028" s="46"/>
      <c r="F1028" s="46"/>
      <c r="G1028" s="46"/>
      <c r="H1028" s="46"/>
      <c r="I1028" s="46"/>
      <c r="J1028" s="46"/>
      <c r="K1028" s="46"/>
      <c r="L1028" s="46"/>
      <c r="M1028" s="46"/>
      <c r="N1028" s="46"/>
      <c r="O1028" s="46"/>
      <c r="P1028" s="46"/>
      <c r="Q1028" s="46"/>
      <c r="R1028" s="46"/>
      <c r="S1028" s="46"/>
      <c r="T1028" s="46"/>
      <c r="U1028" s="46"/>
      <c r="V1028" s="46"/>
      <c r="W1028" s="46"/>
      <c r="X1028" s="46"/>
      <c r="Y1028" s="46"/>
      <c r="Z1028" s="46"/>
      <c r="AA1028" s="46"/>
      <c r="AB1028" s="46"/>
      <c r="AC1028" s="46"/>
      <c r="AD1028" s="46"/>
      <c r="AE1028" s="46"/>
      <c r="AF1028" s="46"/>
      <c r="AG1028" s="46"/>
      <c r="AH1028" s="46"/>
      <c r="AI1028" s="46"/>
      <c r="AJ1028" s="46"/>
      <c r="AK1028" s="46"/>
      <c r="AL1028" s="46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</row>
    <row r="1029" ht="16" customHeight="1" spans="1:51" x14ac:dyDescent="0.25">
      <c r="A1029" s="45"/>
      <c r="B1029" s="46" t="s">
        <v>1076</v>
      </c>
      <c r="C1029" s="46" t="s">
        <v>1077</v>
      </c>
      <c r="D1029" s="46" t="s">
        <v>29</v>
      </c>
      <c r="E1029" s="46" t="s">
        <v>42</v>
      </c>
      <c r="F1029" s="46" t="s">
        <v>37</v>
      </c>
      <c r="G1029" s="46" t="s">
        <v>42</v>
      </c>
      <c r="H1029" s="46" t="s">
        <v>42</v>
      </c>
      <c r="I1029" s="46" t="s">
        <v>42</v>
      </c>
      <c r="J1029" s="46" t="s">
        <v>42</v>
      </c>
      <c r="K1029" s="46" t="s">
        <v>42</v>
      </c>
      <c r="L1029" s="46" t="s">
        <v>42</v>
      </c>
      <c r="M1029" s="46" t="s">
        <v>37</v>
      </c>
      <c r="N1029" s="46" t="s">
        <v>42</v>
      </c>
      <c r="O1029" s="46" t="s">
        <v>42</v>
      </c>
      <c r="P1029" s="46" t="s">
        <v>42</v>
      </c>
      <c r="Q1029" s="46" t="s">
        <v>42</v>
      </c>
      <c r="R1029" s="46" t="s">
        <v>42</v>
      </c>
      <c r="S1029" s="46" t="s">
        <v>42</v>
      </c>
      <c r="T1029" s="46" t="s">
        <v>37</v>
      </c>
      <c r="U1029" s="46" t="s">
        <v>42</v>
      </c>
      <c r="V1029" s="46" t="s">
        <v>42</v>
      </c>
      <c r="W1029" s="46" t="s">
        <v>42</v>
      </c>
      <c r="X1029" s="46" t="s">
        <v>42</v>
      </c>
      <c r="Y1029" s="46" t="s">
        <v>42</v>
      </c>
      <c r="Z1029" s="46" t="s">
        <v>42</v>
      </c>
      <c r="AA1029" s="46" t="s">
        <v>37</v>
      </c>
      <c r="AB1029" s="46" t="s">
        <v>42</v>
      </c>
      <c r="AC1029" s="46" t="s">
        <v>42</v>
      </c>
      <c r="AD1029" s="46" t="s">
        <v>42</v>
      </c>
      <c r="AE1029" s="46" t="s">
        <v>42</v>
      </c>
      <c r="AF1029" s="46" t="s">
        <v>42</v>
      </c>
      <c r="AG1029" s="46" t="s">
        <v>42</v>
      </c>
      <c r="AH1029" s="46" t="s">
        <v>37</v>
      </c>
      <c r="AI1029" s="46" t="s">
        <v>42</v>
      </c>
      <c r="AJ1029" s="46">
        <f>=SUM(E1030:AI1030)</f>
      </c>
      <c r="AK1029" s="46">
        <f>=+AY1029</f>
      </c>
      <c r="AL1029" s="46"/>
      <c r="AM1029" s="1"/>
      <c r="AN1029" s="1">
        <f>=COUNTIF(E1029:AI1029,"A")+COUNTIF(E1029:AI1029,"B")+COUNTIF(E1029:AI1029,"C")+COUNTIF(E1029:AI1029,"D")+COUNTIF(E1029:AI1029,"E")+COUNTIF(E1029:AI1029,"F")+COUNTIF(E1029:AI1029,"M")+COUNTIF(E1029:AI1029,"AB")+COUNTIF(E1029:AI1029,"UZ")+COUNTIF(E1029:AI1029,"G")+(COUNTIF(E1029:AI1029,"RT.")/2)+(COUNTIF(E1029:AI1029,"ÇRT.")/2)</f>
      </c>
      <c r="AO1029" s="1">
        <f>=COUNTIF(E1029:AI1029,"O")</f>
      </c>
      <c r="AP1029" s="1">
        <f>=COUNTIF(E1029:AI1029,"RT")+(COUNTIF(E1029:AI1029,"RT.")/2)</f>
      </c>
      <c r="AQ1029" s="1">
        <f>=COUNTIF(E1029:AI1029,"ÇRT")+(COUNTIF(E1029:AI1029,"ÇRT.")/2)</f>
      </c>
      <c r="AR1029" s="1">
        <f>=COUNTIF(E1029:AI1029,"ÇHT")</f>
      </c>
      <c r="AS1029" s="1">
        <f>=COUNTIF(E1029:AI1029,"Ö")+COUNTIF(E1029:AI1029,"T")</f>
      </c>
      <c r="AT1029" s="1">
        <f>=COUNTIF(E1029:AI1029,"Y")</f>
      </c>
      <c r="AU1029" s="1">
        <f>=COUNTIF(E1029:AI1029,"R.")</f>
      </c>
      <c r="AV1029" s="1">
        <f>=COUNTIF(E1029:AI1029,"Ü")</f>
      </c>
      <c r="AW1029" s="1">
        <f>=COUNTIF(E1029:AI1029,"R")</f>
      </c>
      <c r="AX1029" s="1">
        <f>=COUNTIF(E1029:AI1029,"DV")</f>
      </c>
      <c r="AY1029" s="1">
        <f>=+AN1029+AO1029+AP1029+AQ1029+AR1029+AS1029+AT1029+AU1029</f>
      </c>
    </row>
    <row r="1030" ht="16" customHeight="1" spans="1:51" x14ac:dyDescent="0.25">
      <c r="A1030" s="45"/>
      <c r="B1030" s="46"/>
      <c r="C1030" s="46"/>
      <c r="D1030" s="46" t="s">
        <v>33</v>
      </c>
      <c r="E1030" s="46"/>
      <c r="F1030" s="46"/>
      <c r="G1030" s="46"/>
      <c r="H1030" s="46"/>
      <c r="I1030" s="46"/>
      <c r="J1030" s="46"/>
      <c r="K1030" s="46"/>
      <c r="L1030" s="46"/>
      <c r="M1030" s="46"/>
      <c r="N1030" s="46"/>
      <c r="O1030" s="46"/>
      <c r="P1030" s="46"/>
      <c r="Q1030" s="46"/>
      <c r="R1030" s="46"/>
      <c r="S1030" s="46"/>
      <c r="T1030" s="46"/>
      <c r="U1030" s="46"/>
      <c r="V1030" s="46"/>
      <c r="W1030" s="46"/>
      <c r="X1030" s="46"/>
      <c r="Y1030" s="46"/>
      <c r="Z1030" s="46"/>
      <c r="AA1030" s="46"/>
      <c r="AB1030" s="46"/>
      <c r="AC1030" s="46"/>
      <c r="AD1030" s="46"/>
      <c r="AE1030" s="46"/>
      <c r="AF1030" s="46"/>
      <c r="AG1030" s="46"/>
      <c r="AH1030" s="46"/>
      <c r="AI1030" s="46"/>
      <c r="AJ1030" s="46"/>
      <c r="AK1030" s="46"/>
      <c r="AL1030" s="46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</row>
    <row r="1031" ht="16" customHeight="1" spans="1:51" x14ac:dyDescent="0.25">
      <c r="A1031" s="45"/>
      <c r="B1031" s="46" t="s">
        <v>1078</v>
      </c>
      <c r="C1031" s="46" t="s">
        <v>1079</v>
      </c>
      <c r="D1031" s="46" t="s">
        <v>29</v>
      </c>
      <c r="E1031" s="46" t="s">
        <v>42</v>
      </c>
      <c r="F1031" s="46" t="s">
        <v>37</v>
      </c>
      <c r="G1031" s="46" t="s">
        <v>1080</v>
      </c>
      <c r="H1031" s="46" t="s">
        <v>1080</v>
      </c>
      <c r="I1031" s="46" t="s">
        <v>1080</v>
      </c>
      <c r="J1031" s="46" t="s">
        <v>1080</v>
      </c>
      <c r="K1031" s="46" t="s">
        <v>42</v>
      </c>
      <c r="L1031" s="46" t="s">
        <v>42</v>
      </c>
      <c r="M1031" s="46" t="s">
        <v>37</v>
      </c>
      <c r="N1031" s="46" t="s">
        <v>42</v>
      </c>
      <c r="O1031" s="46" t="s">
        <v>42</v>
      </c>
      <c r="P1031" s="46" t="s">
        <v>42</v>
      </c>
      <c r="Q1031" s="46" t="s">
        <v>42</v>
      </c>
      <c r="R1031" s="46" t="s">
        <v>42</v>
      </c>
      <c r="S1031" s="46" t="s">
        <v>42</v>
      </c>
      <c r="T1031" s="46" t="s">
        <v>37</v>
      </c>
      <c r="U1031" s="46" t="s">
        <v>42</v>
      </c>
      <c r="V1031" s="46" t="s">
        <v>42</v>
      </c>
      <c r="W1031" s="46" t="s">
        <v>42</v>
      </c>
      <c r="X1031" s="46" t="s">
        <v>42</v>
      </c>
      <c r="Y1031" s="46" t="s">
        <v>42</v>
      </c>
      <c r="Z1031" s="46" t="s">
        <v>42</v>
      </c>
      <c r="AA1031" s="46" t="s">
        <v>37</v>
      </c>
      <c r="AB1031" s="46" t="s">
        <v>42</v>
      </c>
      <c r="AC1031" s="46" t="s">
        <v>42</v>
      </c>
      <c r="AD1031" s="46" t="s">
        <v>42</v>
      </c>
      <c r="AE1031" s="46" t="s">
        <v>42</v>
      </c>
      <c r="AF1031" s="46" t="s">
        <v>42</v>
      </c>
      <c r="AG1031" s="46" t="s">
        <v>42</v>
      </c>
      <c r="AH1031" s="46" t="s">
        <v>222</v>
      </c>
      <c r="AI1031" s="46" t="s">
        <v>42</v>
      </c>
      <c r="AJ1031" s="46">
        <f>=SUM(E1032:AI1032)</f>
      </c>
      <c r="AK1031" s="46">
        <f>=+AY1031</f>
      </c>
      <c r="AL1031" s="46"/>
      <c r="AM1031" s="1"/>
      <c r="AN1031" s="1">
        <f>=COUNTIF(E1031:AI1031,"A")+COUNTIF(E1031:AI1031,"B")+COUNTIF(E1031:AI1031,"C")+COUNTIF(E1031:AI1031,"D")+COUNTIF(E1031:AI1031,"E")+COUNTIF(E1031:AI1031,"F")+COUNTIF(E1031:AI1031,"M")+COUNTIF(E1031:AI1031,"AB")+COUNTIF(E1031:AI1031,"UZ")+COUNTIF(E1031:AI1031,"G")+(COUNTIF(E1031:AI1031,"RT.")/2)+(COUNTIF(E1031:AI1031,"ÇRT.")/2)</f>
      </c>
      <c r="AO1031" s="1">
        <f>=COUNTIF(E1031:AI1031,"O")</f>
      </c>
      <c r="AP1031" s="1">
        <f>=COUNTIF(E1031:AI1031,"RT")+(COUNTIF(E1031:AI1031,"RT.")/2)</f>
      </c>
      <c r="AQ1031" s="1">
        <f>=COUNTIF(E1031:AI1031,"ÇRT")+(COUNTIF(E1031:AI1031,"ÇRT.")/2)</f>
      </c>
      <c r="AR1031" s="1">
        <f>=COUNTIF(E1031:AI1031,"ÇHT")</f>
      </c>
      <c r="AS1031" s="1">
        <f>=COUNTIF(E1031:AI1031,"Ö")+COUNTIF(E1031:AI1031,"T")</f>
      </c>
      <c r="AT1031" s="1">
        <f>=COUNTIF(E1031:AI1031,"Y")</f>
      </c>
      <c r="AU1031" s="1">
        <f>=COUNTIF(E1031:AI1031,"R.")</f>
      </c>
      <c r="AV1031" s="1">
        <f>=COUNTIF(E1031:AI1031,"Ü")</f>
      </c>
      <c r="AW1031" s="1">
        <f>=COUNTIF(E1031:AI1031,"R")</f>
      </c>
      <c r="AX1031" s="1">
        <f>=COUNTIF(E1031:AI1031,"DV")</f>
      </c>
      <c r="AY1031" s="1">
        <f>=+AN1031+AO1031+AP1031+AQ1031+AR1031+AS1031+AT1031+AU1031</f>
      </c>
    </row>
    <row r="1032" ht="16" customHeight="1" spans="1:51" x14ac:dyDescent="0.25">
      <c r="A1032" s="45"/>
      <c r="B1032" s="46"/>
      <c r="C1032" s="46"/>
      <c r="D1032" s="46" t="s">
        <v>33</v>
      </c>
      <c r="E1032" s="46"/>
      <c r="F1032" s="46"/>
      <c r="G1032" s="46"/>
      <c r="H1032" s="46"/>
      <c r="I1032" s="46"/>
      <c r="J1032" s="46"/>
      <c r="K1032" s="46"/>
      <c r="L1032" s="46"/>
      <c r="M1032" s="46"/>
      <c r="N1032" s="46"/>
      <c r="O1032" s="46"/>
      <c r="P1032" s="46"/>
      <c r="Q1032" s="46"/>
      <c r="R1032" s="46"/>
      <c r="S1032" s="46"/>
      <c r="T1032" s="46"/>
      <c r="U1032" s="46"/>
      <c r="V1032" s="46"/>
      <c r="W1032" s="46"/>
      <c r="X1032" s="46"/>
      <c r="Y1032" s="46"/>
      <c r="Z1032" s="46"/>
      <c r="AA1032" s="46"/>
      <c r="AB1032" s="46"/>
      <c r="AC1032" s="46"/>
      <c r="AD1032" s="46"/>
      <c r="AE1032" s="46"/>
      <c r="AF1032" s="46"/>
      <c r="AG1032" s="46"/>
      <c r="AH1032" s="46"/>
      <c r="AI1032" s="46"/>
      <c r="AJ1032" s="46"/>
      <c r="AK1032" s="46"/>
      <c r="AL1032" s="46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</row>
    <row r="1033" ht="16" customHeight="1" spans="1:51" x14ac:dyDescent="0.25">
      <c r="A1033" s="45"/>
      <c r="B1033" s="46" t="s">
        <v>1081</v>
      </c>
      <c r="C1033" s="46" t="s">
        <v>1082</v>
      </c>
      <c r="D1033" s="46" t="s">
        <v>29</v>
      </c>
      <c r="E1033" s="46" t="s">
        <v>42</v>
      </c>
      <c r="F1033" s="46" t="s">
        <v>37</v>
      </c>
      <c r="G1033" s="46" t="s">
        <v>42</v>
      </c>
      <c r="H1033" s="46" t="s">
        <v>42</v>
      </c>
      <c r="I1033" s="46" t="s">
        <v>42</v>
      </c>
      <c r="J1033" s="46" t="s">
        <v>42</v>
      </c>
      <c r="K1033" s="46" t="s">
        <v>42</v>
      </c>
      <c r="L1033" s="46" t="s">
        <v>42</v>
      </c>
      <c r="M1033" s="46" t="s">
        <v>37</v>
      </c>
      <c r="N1033" s="46" t="s">
        <v>42</v>
      </c>
      <c r="O1033" s="46" t="s">
        <v>42</v>
      </c>
      <c r="P1033" s="46" t="s">
        <v>42</v>
      </c>
      <c r="Q1033" s="46" t="s">
        <v>42</v>
      </c>
      <c r="R1033" s="46" t="s">
        <v>42</v>
      </c>
      <c r="S1033" s="46" t="s">
        <v>42</v>
      </c>
      <c r="T1033" s="46" t="s">
        <v>37</v>
      </c>
      <c r="U1033" s="46" t="s">
        <v>42</v>
      </c>
      <c r="V1033" s="46" t="s">
        <v>42</v>
      </c>
      <c r="W1033" s="46" t="s">
        <v>42</v>
      </c>
      <c r="X1033" s="46" t="s">
        <v>42</v>
      </c>
      <c r="Y1033" s="46" t="s">
        <v>42</v>
      </c>
      <c r="Z1033" s="46" t="s">
        <v>42</v>
      </c>
      <c r="AA1033" s="46" t="s">
        <v>37</v>
      </c>
      <c r="AB1033" s="46" t="s">
        <v>42</v>
      </c>
      <c r="AC1033" s="46" t="s">
        <v>42</v>
      </c>
      <c r="AD1033" s="46" t="s">
        <v>42</v>
      </c>
      <c r="AE1033" s="46" t="s">
        <v>42</v>
      </c>
      <c r="AF1033" s="46" t="s">
        <v>42</v>
      </c>
      <c r="AG1033" s="46" t="s">
        <v>42</v>
      </c>
      <c r="AH1033" s="46" t="s">
        <v>37</v>
      </c>
      <c r="AI1033" s="46" t="s">
        <v>42</v>
      </c>
      <c r="AJ1033" s="46">
        <f>=SUM(E1034:AI1034)</f>
      </c>
      <c r="AK1033" s="46">
        <f>=+AY1033</f>
      </c>
      <c r="AL1033" s="46"/>
      <c r="AM1033" s="1"/>
      <c r="AN1033" s="1">
        <f>=COUNTIF(E1033:AI1033,"A")+COUNTIF(E1033:AI1033,"B")+COUNTIF(E1033:AI1033,"C")+COUNTIF(E1033:AI1033,"D")+COUNTIF(E1033:AI1033,"E")+COUNTIF(E1033:AI1033,"F")+COUNTIF(E1033:AI1033,"M")+COUNTIF(E1033:AI1033,"AB")+COUNTIF(E1033:AI1033,"UZ")+COUNTIF(E1033:AI1033,"G")+(COUNTIF(E1033:AI1033,"RT.")/2)+(COUNTIF(E1033:AI1033,"ÇRT.")/2)</f>
      </c>
      <c r="AO1033" s="1">
        <f>=COUNTIF(E1033:AI1033,"O")</f>
      </c>
      <c r="AP1033" s="1">
        <f>=COUNTIF(E1033:AI1033,"RT")+(COUNTIF(E1033:AI1033,"RT.")/2)</f>
      </c>
      <c r="AQ1033" s="1">
        <f>=COUNTIF(E1033:AI1033,"ÇRT")+(COUNTIF(E1033:AI1033,"ÇRT.")/2)</f>
      </c>
      <c r="AR1033" s="1">
        <f>=COUNTIF(E1033:AI1033,"ÇHT")</f>
      </c>
      <c r="AS1033" s="1">
        <f>=COUNTIF(E1033:AI1033,"Ö")+COUNTIF(E1033:AI1033,"T")</f>
      </c>
      <c r="AT1033" s="1">
        <f>=COUNTIF(E1033:AI1033,"Y")</f>
      </c>
      <c r="AU1033" s="1">
        <f>=COUNTIF(E1033:AI1033,"R.")</f>
      </c>
      <c r="AV1033" s="1">
        <f>=COUNTIF(E1033:AI1033,"Ü")</f>
      </c>
      <c r="AW1033" s="1">
        <f>=COUNTIF(E1033:AI1033,"R")</f>
      </c>
      <c r="AX1033" s="1">
        <f>=COUNTIF(E1033:AI1033,"DV")</f>
      </c>
      <c r="AY1033" s="1">
        <f>=+AN1033+AO1033+AP1033+AQ1033+AR1033+AS1033+AT1033+AU1033</f>
      </c>
    </row>
    <row r="1034" ht="16" customHeight="1" spans="1:51" x14ac:dyDescent="0.25">
      <c r="A1034" s="45"/>
      <c r="B1034" s="46"/>
      <c r="C1034" s="46"/>
      <c r="D1034" s="46" t="s">
        <v>33</v>
      </c>
      <c r="E1034" s="46"/>
      <c r="F1034" s="46"/>
      <c r="G1034" s="46"/>
      <c r="H1034" s="46"/>
      <c r="I1034" s="46"/>
      <c r="J1034" s="46"/>
      <c r="K1034" s="46"/>
      <c r="L1034" s="46"/>
      <c r="M1034" s="46"/>
      <c r="N1034" s="46"/>
      <c r="O1034" s="46"/>
      <c r="P1034" s="46"/>
      <c r="Q1034" s="46"/>
      <c r="R1034" s="46"/>
      <c r="S1034" s="46"/>
      <c r="T1034" s="46"/>
      <c r="U1034" s="46"/>
      <c r="V1034" s="46"/>
      <c r="W1034" s="46"/>
      <c r="X1034" s="46"/>
      <c r="Y1034" s="46"/>
      <c r="Z1034" s="46">
        <v>0</v>
      </c>
      <c r="AA1034" s="46"/>
      <c r="AB1034" s="46"/>
      <c r="AC1034" s="46"/>
      <c r="AD1034" s="46"/>
      <c r="AE1034" s="46"/>
      <c r="AF1034" s="46"/>
      <c r="AG1034" s="46"/>
      <c r="AH1034" s="46"/>
      <c r="AI1034" s="46"/>
      <c r="AJ1034" s="46"/>
      <c r="AK1034" s="46"/>
      <c r="AL1034" s="46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</row>
    <row r="1035" ht="16" customHeight="1" spans="1:51" x14ac:dyDescent="0.25">
      <c r="A1035" s="45"/>
      <c r="B1035" s="46" t="s">
        <v>1083</v>
      </c>
      <c r="C1035" s="46" t="s">
        <v>1084</v>
      </c>
      <c r="D1035" s="46" t="s">
        <v>29</v>
      </c>
      <c r="E1035" s="46" t="s">
        <v>37</v>
      </c>
      <c r="F1035" s="46" t="s">
        <v>41</v>
      </c>
      <c r="G1035" s="46" t="s">
        <v>46</v>
      </c>
      <c r="H1035" s="46" t="s">
        <v>46</v>
      </c>
      <c r="I1035" s="46" t="s">
        <v>46</v>
      </c>
      <c r="J1035" s="46" t="s">
        <v>46</v>
      </c>
      <c r="K1035" s="46" t="s">
        <v>41</v>
      </c>
      <c r="L1035" s="46" t="s">
        <v>37</v>
      </c>
      <c r="M1035" s="46" t="s">
        <v>42</v>
      </c>
      <c r="N1035" s="46" t="s">
        <v>41</v>
      </c>
      <c r="O1035" s="46" t="s">
        <v>41</v>
      </c>
      <c r="P1035" s="46" t="s">
        <v>41</v>
      </c>
      <c r="Q1035" s="46" t="s">
        <v>41</v>
      </c>
      <c r="R1035" s="46" t="s">
        <v>41</v>
      </c>
      <c r="S1035" s="46" t="s">
        <v>37</v>
      </c>
      <c r="T1035" s="46" t="s">
        <v>41</v>
      </c>
      <c r="U1035" s="46" t="s">
        <v>46</v>
      </c>
      <c r="V1035" s="46" t="s">
        <v>46</v>
      </c>
      <c r="W1035" s="46" t="s">
        <v>46</v>
      </c>
      <c r="X1035" s="46" t="s">
        <v>37</v>
      </c>
      <c r="Y1035" s="46" t="s">
        <v>41</v>
      </c>
      <c r="Z1035" s="46" t="s">
        <v>42</v>
      </c>
      <c r="AA1035" s="46" t="s">
        <v>42</v>
      </c>
      <c r="AB1035" s="46" t="s">
        <v>41</v>
      </c>
      <c r="AC1035" s="46" t="s">
        <v>41</v>
      </c>
      <c r="AD1035" s="46" t="s">
        <v>41</v>
      </c>
      <c r="AE1035" s="46" t="s">
        <v>41</v>
      </c>
      <c r="AF1035" s="46" t="s">
        <v>41</v>
      </c>
      <c r="AG1035" s="46" t="s">
        <v>37</v>
      </c>
      <c r="AH1035" s="46" t="s">
        <v>43</v>
      </c>
      <c r="AI1035" s="46" t="s">
        <v>46</v>
      </c>
      <c r="AJ1035" s="46">
        <f>=SUM(E1036:AI1036)</f>
      </c>
      <c r="AK1035" s="46">
        <f>=+AY1035</f>
      </c>
      <c r="AL1035" s="46"/>
      <c r="AM1035" s="1"/>
      <c r="AN1035" s="1">
        <f>=COUNTIF(E1035:AI1035,"A")+COUNTIF(E1035:AI1035,"B")+COUNTIF(E1035:AI1035,"C")+COUNTIF(E1035:AI1035,"D")+COUNTIF(E1035:AI1035,"E")+COUNTIF(E1035:AI1035,"F")+COUNTIF(E1035:AI1035,"M")+COUNTIF(E1035:AI1035,"AB")+COUNTIF(E1035:AI1035,"UZ")+COUNTIF(E1035:AI1035,"G")+(COUNTIF(E1035:AI1035,"RT.")/2)+(COUNTIF(E1035:AI1035,"ÇRT.")/2)</f>
      </c>
      <c r="AO1035" s="1">
        <f>=COUNTIF(E1035:AI1035,"O")</f>
      </c>
      <c r="AP1035" s="1">
        <f>=COUNTIF(E1035:AI1035,"RT")+(COUNTIF(E1035:AI1035,"RT.")/2)</f>
      </c>
      <c r="AQ1035" s="1">
        <f>=COUNTIF(E1035:AI1035,"ÇRT")+(COUNTIF(E1035:AI1035,"ÇRT.")/2)</f>
      </c>
      <c r="AR1035" s="1">
        <f>=COUNTIF(E1035:AI1035,"ÇHT")</f>
      </c>
      <c r="AS1035" s="1">
        <f>=COUNTIF(E1035:AI1035,"Ö")+COUNTIF(E1035:AI1035,"T")</f>
      </c>
      <c r="AT1035" s="1">
        <f>=COUNTIF(E1035:AI1035,"Y")</f>
      </c>
      <c r="AU1035" s="1">
        <f>=COUNTIF(E1035:AI1035,"R.")</f>
      </c>
      <c r="AV1035" s="1">
        <f>=COUNTIF(E1035:AI1035,"Ü")</f>
      </c>
      <c r="AW1035" s="1">
        <f>=COUNTIF(E1035:AI1035,"R")</f>
      </c>
      <c r="AX1035" s="1">
        <f>=COUNTIF(E1035:AI1035,"DV")</f>
      </c>
      <c r="AY1035" s="1">
        <f>=+AN1035+AO1035+AP1035+AQ1035+AR1035+AS1035+AT1035+AU1035</f>
      </c>
    </row>
    <row r="1036" ht="16" customHeight="1" spans="1:51" x14ac:dyDescent="0.25">
      <c r="A1036" s="45"/>
      <c r="B1036" s="46"/>
      <c r="C1036" s="46"/>
      <c r="D1036" s="46" t="s">
        <v>33</v>
      </c>
      <c r="E1036" s="46"/>
      <c r="F1036" s="46"/>
      <c r="G1036" s="46"/>
      <c r="H1036" s="46"/>
      <c r="I1036" s="46"/>
      <c r="J1036" s="46"/>
      <c r="K1036" s="46"/>
      <c r="L1036" s="46"/>
      <c r="M1036" s="46"/>
      <c r="N1036" s="46"/>
      <c r="O1036" s="46"/>
      <c r="P1036" s="46"/>
      <c r="Q1036" s="46"/>
      <c r="R1036" s="46"/>
      <c r="S1036" s="46"/>
      <c r="T1036" s="46"/>
      <c r="U1036" s="46"/>
      <c r="V1036" s="46"/>
      <c r="W1036" s="46"/>
      <c r="X1036" s="46"/>
      <c r="Y1036" s="46"/>
      <c r="Z1036" s="46"/>
      <c r="AA1036" s="46"/>
      <c r="AB1036" s="46"/>
      <c r="AC1036" s="46"/>
      <c r="AD1036" s="46"/>
      <c r="AE1036" s="46"/>
      <c r="AF1036" s="46"/>
      <c r="AG1036" s="46">
        <v>0</v>
      </c>
      <c r="AH1036" s="46"/>
      <c r="AI1036" s="46"/>
      <c r="AJ1036" s="46"/>
      <c r="AK1036" s="46"/>
      <c r="AL1036" s="46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</row>
    <row r="1037" ht="16" customHeight="1" spans="1:51" x14ac:dyDescent="0.25">
      <c r="A1037" s="45"/>
      <c r="B1037" s="46" t="s">
        <v>1085</v>
      </c>
      <c r="C1037" s="46" t="s">
        <v>1086</v>
      </c>
      <c r="D1037" s="46" t="s">
        <v>29</v>
      </c>
      <c r="E1037" s="46" t="s">
        <v>41</v>
      </c>
      <c r="F1037" s="46" t="s">
        <v>42</v>
      </c>
      <c r="G1037" s="46" t="s">
        <v>41</v>
      </c>
      <c r="H1037" s="46" t="s">
        <v>41</v>
      </c>
      <c r="I1037" s="46" t="s">
        <v>41</v>
      </c>
      <c r="J1037" s="46" t="s">
        <v>41</v>
      </c>
      <c r="K1037" s="46" t="s">
        <v>37</v>
      </c>
      <c r="L1037" s="46" t="s">
        <v>41</v>
      </c>
      <c r="M1037" s="46" t="s">
        <v>41</v>
      </c>
      <c r="N1037" s="46" t="s">
        <v>46</v>
      </c>
      <c r="O1037" s="46" t="s">
        <v>46</v>
      </c>
      <c r="P1037" s="46" t="s">
        <v>46</v>
      </c>
      <c r="Q1037" s="46" t="s">
        <v>46</v>
      </c>
      <c r="R1037" s="46" t="s">
        <v>37</v>
      </c>
      <c r="S1037" s="46" t="s">
        <v>41</v>
      </c>
      <c r="T1037" s="46" t="s">
        <v>42</v>
      </c>
      <c r="U1037" s="46" t="s">
        <v>41</v>
      </c>
      <c r="V1037" s="46" t="s">
        <v>41</v>
      </c>
      <c r="W1037" s="46" t="s">
        <v>41</v>
      </c>
      <c r="X1037" s="46" t="s">
        <v>41</v>
      </c>
      <c r="Y1037" s="46" t="s">
        <v>37</v>
      </c>
      <c r="Z1037" s="46" t="s">
        <v>41</v>
      </c>
      <c r="AA1037" s="46" t="s">
        <v>41</v>
      </c>
      <c r="AB1037" s="46" t="s">
        <v>46</v>
      </c>
      <c r="AC1037" s="46" t="s">
        <v>46</v>
      </c>
      <c r="AD1037" s="46" t="s">
        <v>42</v>
      </c>
      <c r="AE1037" s="46" t="s">
        <v>42</v>
      </c>
      <c r="AF1037" s="46" t="s">
        <v>37</v>
      </c>
      <c r="AG1037" s="46" t="s">
        <v>41</v>
      </c>
      <c r="AH1037" s="46" t="s">
        <v>43</v>
      </c>
      <c r="AI1037" s="46" t="s">
        <v>41</v>
      </c>
      <c r="AJ1037" s="46">
        <f>=SUM(E1038:AI1038)</f>
      </c>
      <c r="AK1037" s="46">
        <f>=+AY1037</f>
      </c>
      <c r="AL1037" s="46"/>
      <c r="AM1037" s="1"/>
      <c r="AN1037" s="1">
        <f>=COUNTIF(E1037:AI1037,"A")+COUNTIF(E1037:AI1037,"B")+COUNTIF(E1037:AI1037,"C")+COUNTIF(E1037:AI1037,"D")+COUNTIF(E1037:AI1037,"E")+COUNTIF(E1037:AI1037,"F")+COUNTIF(E1037:AI1037,"M")+COUNTIF(E1037:AI1037,"AB")+COUNTIF(E1037:AI1037,"UZ")+COUNTIF(E1037:AI1037,"G")+(COUNTIF(E1037:AI1037,"RT.")/2)+(COUNTIF(E1037:AI1037,"ÇRT.")/2)</f>
      </c>
      <c r="AO1037" s="1">
        <f>=COUNTIF(E1037:AI1037,"O")</f>
      </c>
      <c r="AP1037" s="1">
        <f>=COUNTIF(E1037:AI1037,"RT")+(COUNTIF(E1037:AI1037,"RT.")/2)</f>
      </c>
      <c r="AQ1037" s="1">
        <f>=COUNTIF(E1037:AI1037,"ÇRT")+(COUNTIF(E1037:AI1037,"ÇRT.")/2)</f>
      </c>
      <c r="AR1037" s="1">
        <f>=COUNTIF(E1037:AI1037,"ÇHT")</f>
      </c>
      <c r="AS1037" s="1">
        <f>=COUNTIF(E1037:AI1037,"Ö")+COUNTIF(E1037:AI1037,"T")</f>
      </c>
      <c r="AT1037" s="1">
        <f>=COUNTIF(E1037:AI1037,"Y")</f>
      </c>
      <c r="AU1037" s="1">
        <f>=COUNTIF(E1037:AI1037,"R.")</f>
      </c>
      <c r="AV1037" s="1">
        <f>=COUNTIF(E1037:AI1037,"Ü")</f>
      </c>
      <c r="AW1037" s="1">
        <f>=COUNTIF(E1037:AI1037,"R")</f>
      </c>
      <c r="AX1037" s="1">
        <f>=COUNTIF(E1037:AI1037,"DV")</f>
      </c>
      <c r="AY1037" s="1">
        <f>=+AN1037+AO1037+AP1037+AQ1037+AR1037+AS1037+AT1037+AU1037</f>
      </c>
    </row>
    <row r="1038" ht="16" customHeight="1" spans="1:51" x14ac:dyDescent="0.25">
      <c r="A1038" s="45"/>
      <c r="B1038" s="46"/>
      <c r="C1038" s="46"/>
      <c r="D1038" s="46" t="s">
        <v>33</v>
      </c>
      <c r="E1038" s="46"/>
      <c r="F1038" s="46"/>
      <c r="G1038" s="46"/>
      <c r="H1038" s="46"/>
      <c r="I1038" s="46"/>
      <c r="J1038" s="46"/>
      <c r="K1038" s="46"/>
      <c r="L1038" s="46"/>
      <c r="M1038" s="46"/>
      <c r="N1038" s="46"/>
      <c r="O1038" s="46"/>
      <c r="P1038" s="46"/>
      <c r="Q1038" s="46"/>
      <c r="R1038" s="46"/>
      <c r="S1038" s="46"/>
      <c r="T1038" s="46"/>
      <c r="U1038" s="46"/>
      <c r="V1038" s="46"/>
      <c r="W1038" s="46"/>
      <c r="X1038" s="46"/>
      <c r="Y1038" s="46"/>
      <c r="Z1038" s="46"/>
      <c r="AA1038" s="46"/>
      <c r="AB1038" s="46"/>
      <c r="AC1038" s="46"/>
      <c r="AD1038" s="46"/>
      <c r="AE1038" s="46"/>
      <c r="AF1038" s="46"/>
      <c r="AG1038" s="46"/>
      <c r="AH1038" s="46"/>
      <c r="AI1038" s="46"/>
      <c r="AJ1038" s="46"/>
      <c r="AK1038" s="46"/>
      <c r="AL1038" s="46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</row>
    <row r="1039" ht="16" customHeight="1" spans="1:51" x14ac:dyDescent="0.25">
      <c r="A1039" s="45"/>
      <c r="B1039" s="46" t="s">
        <v>1087</v>
      </c>
      <c r="C1039" s="46" t="s">
        <v>1088</v>
      </c>
      <c r="D1039" s="46" t="s">
        <v>29</v>
      </c>
      <c r="E1039" s="46" t="s">
        <v>42</v>
      </c>
      <c r="F1039" s="46" t="s">
        <v>37</v>
      </c>
      <c r="G1039" s="46" t="s">
        <v>42</v>
      </c>
      <c r="H1039" s="46" t="s">
        <v>42</v>
      </c>
      <c r="I1039" s="46" t="s">
        <v>42</v>
      </c>
      <c r="J1039" s="46" t="s">
        <v>42</v>
      </c>
      <c r="K1039" s="46" t="s">
        <v>42</v>
      </c>
      <c r="L1039" s="46" t="s">
        <v>42</v>
      </c>
      <c r="M1039" s="46" t="s">
        <v>37</v>
      </c>
      <c r="N1039" s="46" t="s">
        <v>42</v>
      </c>
      <c r="O1039" s="46" t="s">
        <v>42</v>
      </c>
      <c r="P1039" s="46" t="s">
        <v>42</v>
      </c>
      <c r="Q1039" s="46" t="s">
        <v>42</v>
      </c>
      <c r="R1039" s="46" t="s">
        <v>42</v>
      </c>
      <c r="S1039" s="46" t="s">
        <v>42</v>
      </c>
      <c r="T1039" s="46"/>
      <c r="U1039" s="46"/>
      <c r="V1039" s="46"/>
      <c r="W1039" s="46"/>
      <c r="X1039" s="46"/>
      <c r="Y1039" s="46"/>
      <c r="Z1039" s="46"/>
      <c r="AA1039" s="46"/>
      <c r="AB1039" s="46"/>
      <c r="AC1039" s="46"/>
      <c r="AD1039" s="46"/>
      <c r="AE1039" s="46"/>
      <c r="AF1039" s="46"/>
      <c r="AG1039" s="46"/>
      <c r="AH1039" s="46"/>
      <c r="AI1039" s="46"/>
      <c r="AJ1039" s="46">
        <f>=SUM(E1040:AI1040)</f>
      </c>
      <c r="AK1039" s="46">
        <f>=+AY1039</f>
      </c>
      <c r="AL1039" s="46"/>
      <c r="AM1039" s="1"/>
      <c r="AN1039" s="1">
        <f>=COUNTIF(E1039:AI1039,"A")+COUNTIF(E1039:AI1039,"B")+COUNTIF(E1039:AI1039,"C")+COUNTIF(E1039:AI1039,"D")+COUNTIF(E1039:AI1039,"E")+COUNTIF(E1039:AI1039,"F")+COUNTIF(E1039:AI1039,"M")+COUNTIF(E1039:AI1039,"AB")+COUNTIF(E1039:AI1039,"UZ")+COUNTIF(E1039:AI1039,"G")+(COUNTIF(E1039:AI1039,"RT.")/2)+(COUNTIF(E1039:AI1039,"ÇRT.")/2)</f>
      </c>
      <c r="AO1039" s="1">
        <f>=COUNTIF(E1039:AI1039,"O")</f>
      </c>
      <c r="AP1039" s="1">
        <f>=COUNTIF(E1039:AI1039,"RT")+(COUNTIF(E1039:AI1039,"RT.")/2)</f>
      </c>
      <c r="AQ1039" s="1">
        <f>=COUNTIF(E1039:AI1039,"ÇRT")+(COUNTIF(E1039:AI1039,"ÇRT.")/2)</f>
      </c>
      <c r="AR1039" s="1">
        <f>=COUNTIF(E1039:AI1039,"ÇHT")</f>
      </c>
      <c r="AS1039" s="1">
        <f>=COUNTIF(E1039:AI1039,"Ö")+COUNTIF(E1039:AI1039,"T")</f>
      </c>
      <c r="AT1039" s="1">
        <f>=COUNTIF(E1039:AI1039,"Y")</f>
      </c>
      <c r="AU1039" s="1">
        <f>=COUNTIF(E1039:AI1039,"R.")</f>
      </c>
      <c r="AV1039" s="1">
        <f>=COUNTIF(E1039:AI1039,"Ü")</f>
      </c>
      <c r="AW1039" s="1">
        <f>=COUNTIF(E1039:AI1039,"R")</f>
      </c>
      <c r="AX1039" s="1">
        <f>=COUNTIF(E1039:AI1039,"DV")</f>
      </c>
      <c r="AY1039" s="1">
        <f>=+AN1039+AO1039+AP1039+AQ1039+AR1039+AS1039+AT1039+AU1039</f>
      </c>
    </row>
    <row r="1040" ht="16" customHeight="1" spans="1:51" x14ac:dyDescent="0.25">
      <c r="A1040" s="45"/>
      <c r="B1040" s="46"/>
      <c r="C1040" s="46"/>
      <c r="D1040" s="46" t="s">
        <v>33</v>
      </c>
      <c r="E1040" s="46"/>
      <c r="F1040" s="46"/>
      <c r="G1040" s="46"/>
      <c r="H1040" s="46"/>
      <c r="I1040" s="46"/>
      <c r="J1040" s="46"/>
      <c r="K1040" s="46"/>
      <c r="L1040" s="46"/>
      <c r="M1040" s="46"/>
      <c r="N1040" s="46"/>
      <c r="O1040" s="46"/>
      <c r="P1040" s="46"/>
      <c r="Q1040" s="46"/>
      <c r="R1040" s="46"/>
      <c r="S1040" s="46"/>
      <c r="T1040" s="46"/>
      <c r="U1040" s="46"/>
      <c r="V1040" s="46"/>
      <c r="W1040" s="46"/>
      <c r="X1040" s="46"/>
      <c r="Y1040" s="46"/>
      <c r="Z1040" s="46"/>
      <c r="AA1040" s="46"/>
      <c r="AB1040" s="46"/>
      <c r="AC1040" s="46"/>
      <c r="AD1040" s="46"/>
      <c r="AE1040" s="46"/>
      <c r="AF1040" s="46"/>
      <c r="AG1040" s="46"/>
      <c r="AH1040" s="46"/>
      <c r="AI1040" s="46"/>
      <c r="AJ1040" s="46"/>
      <c r="AK1040" s="46"/>
      <c r="AL1040" s="46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</row>
    <row r="1041" ht="16" customHeight="1" spans="1:51" x14ac:dyDescent="0.25">
      <c r="A1041" s="45"/>
      <c r="B1041" s="46" t="s">
        <v>1089</v>
      </c>
      <c r="C1041" s="46" t="s">
        <v>1090</v>
      </c>
      <c r="D1041" s="46" t="s">
        <v>29</v>
      </c>
      <c r="E1041" s="46" t="s">
        <v>42</v>
      </c>
      <c r="F1041" s="46" t="s">
        <v>37</v>
      </c>
      <c r="G1041" s="46" t="s">
        <v>42</v>
      </c>
      <c r="H1041" s="46" t="s">
        <v>42</v>
      </c>
      <c r="I1041" s="46" t="s">
        <v>42</v>
      </c>
      <c r="J1041" s="46" t="s">
        <v>42</v>
      </c>
      <c r="K1041" s="46" t="s">
        <v>42</v>
      </c>
      <c r="L1041" s="46" t="s">
        <v>42</v>
      </c>
      <c r="M1041" s="46" t="s">
        <v>37</v>
      </c>
      <c r="N1041" s="46" t="s">
        <v>42</v>
      </c>
      <c r="O1041" s="46" t="s">
        <v>42</v>
      </c>
      <c r="P1041" s="46" t="s">
        <v>42</v>
      </c>
      <c r="Q1041" s="46" t="s">
        <v>42</v>
      </c>
      <c r="R1041" s="46" t="s">
        <v>42</v>
      </c>
      <c r="S1041" s="46" t="s">
        <v>42</v>
      </c>
      <c r="T1041" s="46" t="s">
        <v>37</v>
      </c>
      <c r="U1041" s="46" t="s">
        <v>42</v>
      </c>
      <c r="V1041" s="46" t="s">
        <v>42</v>
      </c>
      <c r="W1041" s="46" t="s">
        <v>42</v>
      </c>
      <c r="X1041" s="46" t="s">
        <v>42</v>
      </c>
      <c r="Y1041" s="46" t="s">
        <v>42</v>
      </c>
      <c r="Z1041" s="46" t="s">
        <v>42</v>
      </c>
      <c r="AA1041" s="46" t="s">
        <v>37</v>
      </c>
      <c r="AB1041" s="46" t="s">
        <v>42</v>
      </c>
      <c r="AC1041" s="46" t="s">
        <v>42</v>
      </c>
      <c r="AD1041" s="46" t="s">
        <v>42</v>
      </c>
      <c r="AE1041" s="46" t="s">
        <v>42</v>
      </c>
      <c r="AF1041" s="46" t="s">
        <v>42</v>
      </c>
      <c r="AG1041" s="46" t="s">
        <v>42</v>
      </c>
      <c r="AH1041" s="46" t="s">
        <v>37</v>
      </c>
      <c r="AI1041" s="46" t="s">
        <v>42</v>
      </c>
      <c r="AJ1041" s="46">
        <f>=SUM(E1042:AI1042)</f>
      </c>
      <c r="AK1041" s="46">
        <f>=+AY1041</f>
      </c>
      <c r="AL1041" s="46"/>
      <c r="AM1041" s="1"/>
      <c r="AN1041" s="1">
        <f>=COUNTIF(E1041:AI1041,"A")+COUNTIF(E1041:AI1041,"B")+COUNTIF(E1041:AI1041,"C")+COUNTIF(E1041:AI1041,"D")+COUNTIF(E1041:AI1041,"E")+COUNTIF(E1041:AI1041,"F")+COUNTIF(E1041:AI1041,"M")+COUNTIF(E1041:AI1041,"AB")+COUNTIF(E1041:AI1041,"UZ")+COUNTIF(E1041:AI1041,"G")+(COUNTIF(E1041:AI1041,"RT.")/2)+(COUNTIF(E1041:AI1041,"ÇRT.")/2)</f>
      </c>
      <c r="AO1041" s="1">
        <f>=COUNTIF(E1041:AI1041,"O")</f>
      </c>
      <c r="AP1041" s="1">
        <f>=COUNTIF(E1041:AI1041,"RT")+(COUNTIF(E1041:AI1041,"RT.")/2)</f>
      </c>
      <c r="AQ1041" s="1">
        <f>=COUNTIF(E1041:AI1041,"ÇRT")+(COUNTIF(E1041:AI1041,"ÇRT.")/2)</f>
      </c>
      <c r="AR1041" s="1">
        <f>=COUNTIF(E1041:AI1041,"ÇHT")</f>
      </c>
      <c r="AS1041" s="1">
        <f>=COUNTIF(E1041:AI1041,"Ö")+COUNTIF(E1041:AI1041,"T")</f>
      </c>
      <c r="AT1041" s="1">
        <f>=COUNTIF(E1041:AI1041,"Y")</f>
      </c>
      <c r="AU1041" s="1">
        <f>=COUNTIF(E1041:AI1041,"R.")</f>
      </c>
      <c r="AV1041" s="1">
        <f>=COUNTIF(E1041:AI1041,"Ü")</f>
      </c>
      <c r="AW1041" s="1">
        <f>=COUNTIF(E1041:AI1041,"R")</f>
      </c>
      <c r="AX1041" s="1">
        <f>=COUNTIF(E1041:AI1041,"DV")</f>
      </c>
      <c r="AY1041" s="1">
        <f>=+AN1041+AO1041+AP1041+AQ1041+AR1041+AS1041+AT1041+AU1041</f>
      </c>
    </row>
    <row r="1042" ht="16" customHeight="1" spans="1:51" x14ac:dyDescent="0.25">
      <c r="A1042" s="45"/>
      <c r="B1042" s="46"/>
      <c r="C1042" s="46"/>
      <c r="D1042" s="46" t="s">
        <v>33</v>
      </c>
      <c r="E1042" s="46"/>
      <c r="F1042" s="46"/>
      <c r="G1042" s="46"/>
      <c r="H1042" s="46"/>
      <c r="I1042" s="46"/>
      <c r="J1042" s="46"/>
      <c r="K1042" s="46"/>
      <c r="L1042" s="46"/>
      <c r="M1042" s="46"/>
      <c r="N1042" s="46"/>
      <c r="O1042" s="46"/>
      <c r="P1042" s="46"/>
      <c r="Q1042" s="46"/>
      <c r="R1042" s="46"/>
      <c r="S1042" s="46"/>
      <c r="T1042" s="46"/>
      <c r="U1042" s="46"/>
      <c r="V1042" s="46"/>
      <c r="W1042" s="46"/>
      <c r="X1042" s="46"/>
      <c r="Y1042" s="46"/>
      <c r="Z1042" s="46"/>
      <c r="AA1042" s="46"/>
      <c r="AB1042" s="46"/>
      <c r="AC1042" s="46"/>
      <c r="AD1042" s="46"/>
      <c r="AE1042" s="46"/>
      <c r="AF1042" s="46"/>
      <c r="AG1042" s="46"/>
      <c r="AH1042" s="46"/>
      <c r="AI1042" s="46"/>
      <c r="AJ1042" s="46"/>
      <c r="AK1042" s="46"/>
      <c r="AL1042" s="46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</row>
    <row r="1043" ht="16" customHeight="1" spans="1:51" x14ac:dyDescent="0.25">
      <c r="A1043" s="45"/>
      <c r="B1043" s="46" t="s">
        <v>1091</v>
      </c>
      <c r="C1043" s="46" t="s">
        <v>1092</v>
      </c>
      <c r="D1043" s="46" t="s">
        <v>29</v>
      </c>
      <c r="E1043" s="46" t="s">
        <v>42</v>
      </c>
      <c r="F1043" s="46" t="s">
        <v>37</v>
      </c>
      <c r="G1043" s="46" t="s">
        <v>42</v>
      </c>
      <c r="H1043" s="46" t="s">
        <v>42</v>
      </c>
      <c r="I1043" s="46" t="s">
        <v>42</v>
      </c>
      <c r="J1043" s="46" t="s">
        <v>42</v>
      </c>
      <c r="K1043" s="46" t="s">
        <v>42</v>
      </c>
      <c r="L1043" s="46" t="s">
        <v>42</v>
      </c>
      <c r="M1043" s="46" t="s">
        <v>37</v>
      </c>
      <c r="N1043" s="46" t="s">
        <v>42</v>
      </c>
      <c r="O1043" s="46" t="s">
        <v>42</v>
      </c>
      <c r="P1043" s="46" t="s">
        <v>42</v>
      </c>
      <c r="Q1043" s="46" t="s">
        <v>42</v>
      </c>
      <c r="R1043" s="46" t="s">
        <v>42</v>
      </c>
      <c r="S1043" s="46" t="s">
        <v>42</v>
      </c>
      <c r="T1043" s="46" t="s">
        <v>37</v>
      </c>
      <c r="U1043" s="46" t="s">
        <v>42</v>
      </c>
      <c r="V1043" s="46" t="s">
        <v>42</v>
      </c>
      <c r="W1043" s="46" t="s">
        <v>98</v>
      </c>
      <c r="X1043" s="46" t="s">
        <v>98</v>
      </c>
      <c r="Y1043" s="46" t="s">
        <v>98</v>
      </c>
      <c r="Z1043" s="46" t="s">
        <v>98</v>
      </c>
      <c r="AA1043" s="46" t="s">
        <v>37</v>
      </c>
      <c r="AB1043" s="46" t="s">
        <v>98</v>
      </c>
      <c r="AC1043" s="46" t="s">
        <v>98</v>
      </c>
      <c r="AD1043" s="46" t="s">
        <v>98</v>
      </c>
      <c r="AE1043" s="46" t="s">
        <v>98</v>
      </c>
      <c r="AF1043" s="46" t="s">
        <v>98</v>
      </c>
      <c r="AG1043" s="46" t="s">
        <v>98</v>
      </c>
      <c r="AH1043" s="46" t="s">
        <v>37</v>
      </c>
      <c r="AI1043" s="46" t="s">
        <v>98</v>
      </c>
      <c r="AJ1043" s="46">
        <f>=SUM(E1044:AI1044)</f>
      </c>
      <c r="AK1043" s="46">
        <f>=+AY1043</f>
      </c>
      <c r="AL1043" s="46"/>
      <c r="AM1043" s="1"/>
      <c r="AN1043" s="1">
        <f>=COUNTIF(E1043:AI1043,"A")+COUNTIF(E1043:AI1043,"B")+COUNTIF(E1043:AI1043,"C")+COUNTIF(E1043:AI1043,"D")+COUNTIF(E1043:AI1043,"E")+COUNTIF(E1043:AI1043,"F")+COUNTIF(E1043:AI1043,"M")+COUNTIF(E1043:AI1043,"AB")+COUNTIF(E1043:AI1043,"UZ")+COUNTIF(E1043:AI1043,"G")+(COUNTIF(E1043:AI1043,"RT.")/2)+(COUNTIF(E1043:AI1043,"ÇRT.")/2)</f>
      </c>
      <c r="AO1043" s="1">
        <f>=COUNTIF(E1043:AI1043,"O")</f>
      </c>
      <c r="AP1043" s="1">
        <f>=COUNTIF(E1043:AI1043,"RT")+(COUNTIF(E1043:AI1043,"RT.")/2)</f>
      </c>
      <c r="AQ1043" s="1">
        <f>=COUNTIF(E1043:AI1043,"ÇRT")+(COUNTIF(E1043:AI1043,"ÇRT.")/2)</f>
      </c>
      <c r="AR1043" s="1">
        <f>=COUNTIF(E1043:AI1043,"ÇHT")</f>
      </c>
      <c r="AS1043" s="1">
        <f>=COUNTIF(E1043:AI1043,"Ö")+COUNTIF(E1043:AI1043,"T")</f>
      </c>
      <c r="AT1043" s="1">
        <f>=COUNTIF(E1043:AI1043,"Y")</f>
      </c>
      <c r="AU1043" s="1">
        <f>=COUNTIF(E1043:AI1043,"R.")</f>
      </c>
      <c r="AV1043" s="1">
        <f>=COUNTIF(E1043:AI1043,"Ü")</f>
      </c>
      <c r="AW1043" s="1">
        <f>=COUNTIF(E1043:AI1043,"R")</f>
      </c>
      <c r="AX1043" s="1">
        <f>=COUNTIF(E1043:AI1043,"DV")</f>
      </c>
      <c r="AY1043" s="1">
        <f>=+AN1043+AO1043+AP1043+AQ1043+AR1043+AS1043+AT1043+AU1043</f>
      </c>
    </row>
    <row r="1044" ht="16" customHeight="1" spans="1:51" x14ac:dyDescent="0.25">
      <c r="A1044" s="45"/>
      <c r="B1044" s="46"/>
      <c r="C1044" s="46"/>
      <c r="D1044" s="46" t="s">
        <v>33</v>
      </c>
      <c r="E1044" s="46"/>
      <c r="F1044" s="46"/>
      <c r="G1044" s="46"/>
      <c r="H1044" s="46"/>
      <c r="I1044" s="46"/>
      <c r="J1044" s="46"/>
      <c r="K1044" s="46"/>
      <c r="L1044" s="46"/>
      <c r="M1044" s="46"/>
      <c r="N1044" s="46"/>
      <c r="O1044" s="46"/>
      <c r="P1044" s="46"/>
      <c r="Q1044" s="46"/>
      <c r="R1044" s="46"/>
      <c r="S1044" s="46"/>
      <c r="T1044" s="46"/>
      <c r="U1044" s="46"/>
      <c r="V1044" s="46"/>
      <c r="W1044" s="46"/>
      <c r="X1044" s="46"/>
      <c r="Y1044" s="46"/>
      <c r="Z1044" s="46"/>
      <c r="AA1044" s="46"/>
      <c r="AB1044" s="46"/>
      <c r="AC1044" s="46"/>
      <c r="AD1044" s="46"/>
      <c r="AE1044" s="46"/>
      <c r="AF1044" s="46"/>
      <c r="AG1044" s="46"/>
      <c r="AH1044" s="46"/>
      <c r="AI1044" s="46"/>
      <c r="AJ1044" s="46"/>
      <c r="AK1044" s="46"/>
      <c r="AL1044" s="46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</row>
    <row r="1045" ht="16" customHeight="1" spans="1:51" x14ac:dyDescent="0.25">
      <c r="A1045" s="45" t="s">
        <v>1093</v>
      </c>
      <c r="B1045" s="46" t="s">
        <v>1094</v>
      </c>
      <c r="C1045" s="46" t="s">
        <v>1095</v>
      </c>
      <c r="D1045" s="46" t="s">
        <v>29</v>
      </c>
      <c r="E1045" s="46" t="s">
        <v>36</v>
      </c>
      <c r="F1045" s="46" t="s">
        <v>36</v>
      </c>
      <c r="G1045" s="46" t="s">
        <v>36</v>
      </c>
      <c r="H1045" s="46" t="s">
        <v>37</v>
      </c>
      <c r="I1045" s="46" t="s">
        <v>46</v>
      </c>
      <c r="J1045" s="46" t="s">
        <v>46</v>
      </c>
      <c r="K1045" s="46" t="s">
        <v>46</v>
      </c>
      <c r="L1045" s="46" t="s">
        <v>46</v>
      </c>
      <c r="M1045" s="46" t="s">
        <v>36</v>
      </c>
      <c r="N1045" s="46" t="s">
        <v>36</v>
      </c>
      <c r="O1045" s="46" t="s">
        <v>37</v>
      </c>
      <c r="P1045" s="46" t="s">
        <v>36</v>
      </c>
      <c r="Q1045" s="46" t="s">
        <v>36</v>
      </c>
      <c r="R1045" s="46" t="s">
        <v>36</v>
      </c>
      <c r="S1045" s="46" t="s">
        <v>36</v>
      </c>
      <c r="T1045" s="46" t="s">
        <v>36</v>
      </c>
      <c r="U1045" s="46" t="s">
        <v>46</v>
      </c>
      <c r="V1045" s="46" t="s">
        <v>37</v>
      </c>
      <c r="W1045" s="46" t="s">
        <v>46</v>
      </c>
      <c r="X1045" s="46" t="s">
        <v>46</v>
      </c>
      <c r="Y1045" s="46" t="s">
        <v>46</v>
      </c>
      <c r="Z1045" s="46" t="s">
        <v>46</v>
      </c>
      <c r="AA1045" s="46" t="s">
        <v>46</v>
      </c>
      <c r="AB1045" s="46" t="s">
        <v>36</v>
      </c>
      <c r="AC1045" s="46" t="s">
        <v>37</v>
      </c>
      <c r="AD1045" s="46" t="s">
        <v>36</v>
      </c>
      <c r="AE1045" s="46" t="s">
        <v>36</v>
      </c>
      <c r="AF1045" s="46" t="s">
        <v>36</v>
      </c>
      <c r="AG1045" s="46" t="s">
        <v>36</v>
      </c>
      <c r="AH1045" s="46" t="s">
        <v>43</v>
      </c>
      <c r="AI1045" s="46" t="s">
        <v>36</v>
      </c>
      <c r="AJ1045" s="46">
        <f>=SUM(E1046:AI1046)</f>
      </c>
      <c r="AK1045" s="46">
        <f>=+AY1045</f>
      </c>
      <c r="AL1045" s="46"/>
      <c r="AM1045" s="1"/>
      <c r="AN1045" s="1">
        <f>=COUNTIF(E1045:AI1045,"A")+COUNTIF(E1045:AI1045,"B")+COUNTIF(E1045:AI1045,"C")+COUNTIF(E1045:AI1045,"D")+COUNTIF(E1045:AI1045,"E")+COUNTIF(E1045:AI1045,"F")+COUNTIF(E1045:AI1045,"M")+COUNTIF(E1045:AI1045,"AB")+COUNTIF(E1045:AI1045,"UZ")+COUNTIF(E1045:AI1045,"G")+(COUNTIF(E1045:AI1045,"RT.")/2)+(COUNTIF(E1045:AI1045,"ÇRT.")/2)</f>
      </c>
      <c r="AO1045" s="1">
        <f>=COUNTIF(E1045:AI1045,"O")</f>
      </c>
      <c r="AP1045" s="1">
        <f>=COUNTIF(E1045:AI1045,"RT")+(COUNTIF(E1045:AI1045,"RT.")/2)</f>
      </c>
      <c r="AQ1045" s="1">
        <f>=COUNTIF(E1045:AI1045,"ÇRT")+(COUNTIF(E1045:AI1045,"ÇRT.")/2)</f>
      </c>
      <c r="AR1045" s="1">
        <f>=COUNTIF(E1045:AI1045,"ÇHT")</f>
      </c>
      <c r="AS1045" s="1">
        <f>=COUNTIF(E1045:AI1045,"Ö")+COUNTIF(E1045:AI1045,"T")</f>
      </c>
      <c r="AT1045" s="1">
        <f>=COUNTIF(E1045:AI1045,"Y")</f>
      </c>
      <c r="AU1045" s="1">
        <f>=COUNTIF(E1045:AI1045,"R.")</f>
      </c>
      <c r="AV1045" s="1">
        <f>=COUNTIF(E1045:AI1045,"Ü")</f>
      </c>
      <c r="AW1045" s="1">
        <f>=COUNTIF(E1045:AI1045,"R")</f>
      </c>
      <c r="AX1045" s="1">
        <f>=COUNTIF(E1045:AI1045,"DV")</f>
      </c>
      <c r="AY1045" s="1">
        <f>=+AN1045+AO1045+AP1045+AQ1045+AR1045+AS1045+AT1045+AU1045</f>
      </c>
    </row>
    <row r="1046" ht="16" customHeight="1" spans="1:51" x14ac:dyDescent="0.25">
      <c r="A1046" s="45"/>
      <c r="B1046" s="46"/>
      <c r="C1046" s="46"/>
      <c r="D1046" s="46" t="s">
        <v>33</v>
      </c>
      <c r="E1046" s="46"/>
      <c r="F1046" s="46"/>
      <c r="G1046" s="46"/>
      <c r="H1046" s="46"/>
      <c r="I1046" s="46"/>
      <c r="J1046" s="46"/>
      <c r="K1046" s="46"/>
      <c r="L1046" s="46"/>
      <c r="M1046" s="46"/>
      <c r="N1046" s="46"/>
      <c r="O1046" s="46"/>
      <c r="P1046" s="46"/>
      <c r="Q1046" s="46"/>
      <c r="R1046" s="46"/>
      <c r="S1046" s="46"/>
      <c r="T1046" s="46"/>
      <c r="U1046" s="46"/>
      <c r="V1046" s="46"/>
      <c r="W1046" s="46"/>
      <c r="X1046" s="46"/>
      <c r="Y1046" s="46"/>
      <c r="Z1046" s="46"/>
      <c r="AA1046" s="46"/>
      <c r="AB1046" s="46"/>
      <c r="AC1046" s="46"/>
      <c r="AD1046" s="46"/>
      <c r="AE1046" s="46"/>
      <c r="AF1046" s="46"/>
      <c r="AG1046" s="46"/>
      <c r="AH1046" s="46"/>
      <c r="AI1046" s="46"/>
      <c r="AJ1046" s="46"/>
      <c r="AK1046" s="46"/>
      <c r="AL1046" s="46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</row>
    <row r="1047" ht="16" customHeight="1" spans="1:51" x14ac:dyDescent="0.25">
      <c r="A1047" s="45"/>
      <c r="B1047" s="46" t="s">
        <v>1096</v>
      </c>
      <c r="C1047" s="46" t="s">
        <v>1097</v>
      </c>
      <c r="D1047" s="46" t="s">
        <v>29</v>
      </c>
      <c r="E1047" s="46" t="s">
        <v>42</v>
      </c>
      <c r="F1047" s="46" t="s">
        <v>42</v>
      </c>
      <c r="G1047" s="46" t="s">
        <v>42</v>
      </c>
      <c r="H1047" s="46" t="s">
        <v>42</v>
      </c>
      <c r="I1047" s="46" t="s">
        <v>42</v>
      </c>
      <c r="J1047" s="46" t="s">
        <v>42</v>
      </c>
      <c r="K1047" s="46" t="s">
        <v>42</v>
      </c>
      <c r="L1047" s="46" t="s">
        <v>42</v>
      </c>
      <c r="M1047" s="46" t="s">
        <v>42</v>
      </c>
      <c r="N1047" s="46" t="s">
        <v>37</v>
      </c>
      <c r="O1047" s="46" t="s">
        <v>42</v>
      </c>
      <c r="P1047" s="46" t="s">
        <v>46</v>
      </c>
      <c r="Q1047" s="46" t="s">
        <v>42</v>
      </c>
      <c r="R1047" s="46" t="s">
        <v>37</v>
      </c>
      <c r="S1047" s="46" t="s">
        <v>42</v>
      </c>
      <c r="T1047" s="46" t="s">
        <v>42</v>
      </c>
      <c r="U1047" s="46" t="s">
        <v>42</v>
      </c>
      <c r="V1047" s="46" t="s">
        <v>42</v>
      </c>
      <c r="W1047" s="46" t="s">
        <v>42</v>
      </c>
      <c r="X1047" s="46" t="s">
        <v>42</v>
      </c>
      <c r="Y1047" s="46" t="s">
        <v>37</v>
      </c>
      <c r="Z1047" s="46" t="s">
        <v>42</v>
      </c>
      <c r="AA1047" s="46" t="s">
        <v>42</v>
      </c>
      <c r="AB1047" s="46" t="s">
        <v>42</v>
      </c>
      <c r="AC1047" s="46" t="s">
        <v>42</v>
      </c>
      <c r="AD1047" s="46" t="s">
        <v>37</v>
      </c>
      <c r="AE1047" s="46" t="s">
        <v>42</v>
      </c>
      <c r="AF1047" s="46" t="s">
        <v>42</v>
      </c>
      <c r="AG1047" s="46" t="s">
        <v>42</v>
      </c>
      <c r="AH1047" s="46" t="s">
        <v>43</v>
      </c>
      <c r="AI1047" s="46" t="s">
        <v>42</v>
      </c>
      <c r="AJ1047" s="46">
        <f>=SUM(E1048:AI1048)</f>
      </c>
      <c r="AK1047" s="46">
        <f>=+AY1047</f>
      </c>
      <c r="AL1047" s="46"/>
      <c r="AM1047" s="1"/>
      <c r="AN1047" s="1">
        <f>=COUNTIF(E1047:AI1047,"A")+COUNTIF(E1047:AI1047,"B")+COUNTIF(E1047:AI1047,"C")+COUNTIF(E1047:AI1047,"D")+COUNTIF(E1047:AI1047,"E")+COUNTIF(E1047:AI1047,"F")+COUNTIF(E1047:AI1047,"M")+COUNTIF(E1047:AI1047,"AB")+COUNTIF(E1047:AI1047,"UZ")+COUNTIF(E1047:AI1047,"G")+(COUNTIF(E1047:AI1047,"RT.")/2)+(COUNTIF(E1047:AI1047,"ÇRT.")/2)</f>
      </c>
      <c r="AO1047" s="1">
        <f>=COUNTIF(E1047:AI1047,"O")</f>
      </c>
      <c r="AP1047" s="1">
        <f>=COUNTIF(E1047:AI1047,"RT")+(COUNTIF(E1047:AI1047,"RT.")/2)</f>
      </c>
      <c r="AQ1047" s="1">
        <f>=COUNTIF(E1047:AI1047,"ÇRT")+(COUNTIF(E1047:AI1047,"ÇRT.")/2)</f>
      </c>
      <c r="AR1047" s="1">
        <f>=COUNTIF(E1047:AI1047,"ÇHT")</f>
      </c>
      <c r="AS1047" s="1">
        <f>=COUNTIF(E1047:AI1047,"Ö")+COUNTIF(E1047:AI1047,"T")</f>
      </c>
      <c r="AT1047" s="1">
        <f>=COUNTIF(E1047:AI1047,"Y")</f>
      </c>
      <c r="AU1047" s="1">
        <f>=COUNTIF(E1047:AI1047,"R.")</f>
      </c>
      <c r="AV1047" s="1">
        <f>=COUNTIF(E1047:AI1047,"Ü")</f>
      </c>
      <c r="AW1047" s="1">
        <f>=COUNTIF(E1047:AI1047,"R")</f>
      </c>
      <c r="AX1047" s="1">
        <f>=COUNTIF(E1047:AI1047,"DV")</f>
      </c>
      <c r="AY1047" s="1">
        <f>=+AN1047+AO1047+AP1047+AQ1047+AR1047+AS1047+AT1047+AU1047</f>
      </c>
    </row>
    <row r="1048" ht="16" customHeight="1" spans="1:51" x14ac:dyDescent="0.25">
      <c r="A1048" s="45"/>
      <c r="B1048" s="46"/>
      <c r="C1048" s="46"/>
      <c r="D1048" s="46" t="s">
        <v>33</v>
      </c>
      <c r="E1048" s="46"/>
      <c r="F1048" s="46"/>
      <c r="G1048" s="46"/>
      <c r="H1048" s="46"/>
      <c r="I1048" s="46"/>
      <c r="J1048" s="46"/>
      <c r="K1048" s="46"/>
      <c r="L1048" s="46"/>
      <c r="M1048" s="46"/>
      <c r="N1048" s="46"/>
      <c r="O1048" s="46"/>
      <c r="P1048" s="46"/>
      <c r="Q1048" s="46"/>
      <c r="R1048" s="46"/>
      <c r="S1048" s="46"/>
      <c r="T1048" s="46"/>
      <c r="U1048" s="46"/>
      <c r="V1048" s="46"/>
      <c r="W1048" s="46"/>
      <c r="X1048" s="46"/>
      <c r="Y1048" s="46"/>
      <c r="Z1048" s="46"/>
      <c r="AA1048" s="46"/>
      <c r="AB1048" s="46"/>
      <c r="AC1048" s="46"/>
      <c r="AD1048" s="46"/>
      <c r="AE1048" s="46"/>
      <c r="AF1048" s="46"/>
      <c r="AG1048" s="46"/>
      <c r="AH1048" s="46"/>
      <c r="AI1048" s="46"/>
      <c r="AJ1048" s="46"/>
      <c r="AK1048" s="46"/>
      <c r="AL1048" s="46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</row>
    <row r="1049" ht="16" customHeight="1" spans="1:51" x14ac:dyDescent="0.25">
      <c r="A1049" s="45"/>
      <c r="B1049" s="46" t="s">
        <v>1098</v>
      </c>
      <c r="C1049" s="46" t="s">
        <v>1099</v>
      </c>
      <c r="D1049" s="46" t="s">
        <v>29</v>
      </c>
      <c r="E1049" s="46" t="s">
        <v>36</v>
      </c>
      <c r="F1049" s="46" t="s">
        <v>36</v>
      </c>
      <c r="G1049" s="46" t="s">
        <v>36</v>
      </c>
      <c r="H1049" s="46" t="s">
        <v>36</v>
      </c>
      <c r="I1049" s="46" t="s">
        <v>36</v>
      </c>
      <c r="J1049" s="46" t="s">
        <v>37</v>
      </c>
      <c r="K1049" s="46" t="s">
        <v>36</v>
      </c>
      <c r="L1049" s="46" t="s">
        <v>46</v>
      </c>
      <c r="M1049" s="46" t="s">
        <v>46</v>
      </c>
      <c r="N1049" s="46" t="s">
        <v>46</v>
      </c>
      <c r="O1049" s="46" t="s">
        <v>36</v>
      </c>
      <c r="P1049" s="46" t="s">
        <v>37</v>
      </c>
      <c r="Q1049" s="46" t="s">
        <v>36</v>
      </c>
      <c r="R1049" s="46" t="s">
        <v>36</v>
      </c>
      <c r="S1049" s="46" t="s">
        <v>36</v>
      </c>
      <c r="T1049" s="46" t="s">
        <v>36</v>
      </c>
      <c r="U1049" s="46" t="s">
        <v>31</v>
      </c>
      <c r="V1049" s="46" t="s">
        <v>36</v>
      </c>
      <c r="W1049" s="46" t="s">
        <v>37</v>
      </c>
      <c r="X1049" s="46" t="s">
        <v>36</v>
      </c>
      <c r="Y1049" s="46" t="s">
        <v>36</v>
      </c>
      <c r="Z1049" s="46" t="s">
        <v>46</v>
      </c>
      <c r="AA1049" s="46" t="s">
        <v>36</v>
      </c>
      <c r="AB1049" s="46" t="s">
        <v>46</v>
      </c>
      <c r="AC1049" s="46" t="s">
        <v>36</v>
      </c>
      <c r="AD1049" s="46" t="s">
        <v>36</v>
      </c>
      <c r="AE1049" s="46" t="s">
        <v>36</v>
      </c>
      <c r="AF1049" s="46" t="s">
        <v>36</v>
      </c>
      <c r="AG1049" s="46" t="s">
        <v>36</v>
      </c>
      <c r="AH1049" s="46" t="s">
        <v>37</v>
      </c>
      <c r="AI1049" s="46" t="s">
        <v>46</v>
      </c>
      <c r="AJ1049" s="46">
        <f>=SUM(E1050:AI1050)</f>
      </c>
      <c r="AK1049" s="46">
        <f>=+AY1049</f>
      </c>
      <c r="AL1049" s="46"/>
      <c r="AM1049" s="1"/>
      <c r="AN1049" s="1">
        <f>=COUNTIF(E1049:AI1049,"A")+COUNTIF(E1049:AI1049,"B")+COUNTIF(E1049:AI1049,"C")+COUNTIF(E1049:AI1049,"D")+COUNTIF(E1049:AI1049,"E")+COUNTIF(E1049:AI1049,"F")+COUNTIF(E1049:AI1049,"M")+COUNTIF(E1049:AI1049,"AB")+COUNTIF(E1049:AI1049,"UZ")+COUNTIF(E1049:AI1049,"G")+(COUNTIF(E1049:AI1049,"RT.")/2)+(COUNTIF(E1049:AI1049,"ÇRT.")/2)</f>
      </c>
      <c r="AO1049" s="1">
        <f>=COUNTIF(E1049:AI1049,"O")</f>
      </c>
      <c r="AP1049" s="1">
        <f>=COUNTIF(E1049:AI1049,"RT")+(COUNTIF(E1049:AI1049,"RT.")/2)</f>
      </c>
      <c r="AQ1049" s="1">
        <f>=COUNTIF(E1049:AI1049,"ÇRT")+(COUNTIF(E1049:AI1049,"ÇRT.")/2)</f>
      </c>
      <c r="AR1049" s="1">
        <f>=COUNTIF(E1049:AI1049,"ÇHT")</f>
      </c>
      <c r="AS1049" s="1">
        <f>=COUNTIF(E1049:AI1049,"Ö")+COUNTIF(E1049:AI1049,"T")</f>
      </c>
      <c r="AT1049" s="1">
        <f>=COUNTIF(E1049:AI1049,"Y")</f>
      </c>
      <c r="AU1049" s="1">
        <f>=COUNTIF(E1049:AI1049,"R.")</f>
      </c>
      <c r="AV1049" s="1">
        <f>=COUNTIF(E1049:AI1049,"Ü")</f>
      </c>
      <c r="AW1049" s="1">
        <f>=COUNTIF(E1049:AI1049,"R")</f>
      </c>
      <c r="AX1049" s="1">
        <f>=COUNTIF(E1049:AI1049,"DV")</f>
      </c>
      <c r="AY1049" s="1">
        <f>=+AN1049+AO1049+AP1049+AQ1049+AR1049+AS1049+AT1049+AU1049</f>
      </c>
    </row>
    <row r="1050" ht="16" customHeight="1" spans="1:51" x14ac:dyDescent="0.25">
      <c r="A1050" s="45"/>
      <c r="B1050" s="46"/>
      <c r="C1050" s="46"/>
      <c r="D1050" s="46" t="s">
        <v>33</v>
      </c>
      <c r="E1050" s="46"/>
      <c r="F1050" s="46"/>
      <c r="G1050" s="46"/>
      <c r="H1050" s="46"/>
      <c r="I1050" s="46"/>
      <c r="J1050" s="46"/>
      <c r="K1050" s="46"/>
      <c r="L1050" s="46"/>
      <c r="M1050" s="46"/>
      <c r="N1050" s="46"/>
      <c r="O1050" s="46"/>
      <c r="P1050" s="46"/>
      <c r="Q1050" s="46"/>
      <c r="R1050" s="46"/>
      <c r="S1050" s="46"/>
      <c r="T1050" s="46"/>
      <c r="U1050" s="46"/>
      <c r="V1050" s="46"/>
      <c r="W1050" s="46"/>
      <c r="X1050" s="46"/>
      <c r="Y1050" s="46"/>
      <c r="Z1050" s="46"/>
      <c r="AA1050" s="46"/>
      <c r="AB1050" s="46"/>
      <c r="AC1050" s="46"/>
      <c r="AD1050" s="46"/>
      <c r="AE1050" s="46"/>
      <c r="AF1050" s="46"/>
      <c r="AG1050" s="46"/>
      <c r="AH1050" s="46"/>
      <c r="AI1050" s="46"/>
      <c r="AJ1050" s="46"/>
      <c r="AK1050" s="46"/>
      <c r="AL1050" s="46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</row>
    <row r="1051" ht="16" customHeight="1" spans="1:51" x14ac:dyDescent="0.25">
      <c r="A1051" s="45"/>
      <c r="B1051" s="46" t="s">
        <v>1100</v>
      </c>
      <c r="C1051" s="46" t="s">
        <v>1101</v>
      </c>
      <c r="D1051" s="46" t="s">
        <v>29</v>
      </c>
      <c r="E1051" s="46" t="s">
        <v>46</v>
      </c>
      <c r="F1051" s="46" t="s">
        <v>37</v>
      </c>
      <c r="G1051" s="46" t="s">
        <v>42</v>
      </c>
      <c r="H1051" s="46" t="s">
        <v>42</v>
      </c>
      <c r="I1051" s="46" t="s">
        <v>31</v>
      </c>
      <c r="J1051" s="46" t="s">
        <v>31</v>
      </c>
      <c r="K1051" s="46" t="s">
        <v>32</v>
      </c>
      <c r="L1051" s="46" t="s">
        <v>42</v>
      </c>
      <c r="M1051" s="46" t="s">
        <v>37</v>
      </c>
      <c r="N1051" s="46" t="s">
        <v>46</v>
      </c>
      <c r="O1051" s="46" t="s">
        <v>46</v>
      </c>
      <c r="P1051" s="46" t="s">
        <v>46</v>
      </c>
      <c r="Q1051" s="46" t="s">
        <v>46</v>
      </c>
      <c r="R1051" s="46" t="s">
        <v>46</v>
      </c>
      <c r="S1051" s="46" t="s">
        <v>46</v>
      </c>
      <c r="T1051" s="46" t="s">
        <v>37</v>
      </c>
      <c r="U1051" s="46" t="s">
        <v>42</v>
      </c>
      <c r="V1051" s="46" t="s">
        <v>42</v>
      </c>
      <c r="W1051" s="46" t="s">
        <v>42</v>
      </c>
      <c r="X1051" s="46" t="s">
        <v>42</v>
      </c>
      <c r="Y1051" s="46" t="s">
        <v>42</v>
      </c>
      <c r="Z1051" s="46" t="s">
        <v>42</v>
      </c>
      <c r="AA1051" s="46" t="s">
        <v>37</v>
      </c>
      <c r="AB1051" s="46" t="s">
        <v>153</v>
      </c>
      <c r="AC1051" s="46" t="s">
        <v>46</v>
      </c>
      <c r="AD1051" s="46" t="s">
        <v>46</v>
      </c>
      <c r="AE1051" s="46" t="s">
        <v>46</v>
      </c>
      <c r="AF1051" s="46" t="s">
        <v>46</v>
      </c>
      <c r="AG1051" s="46" t="s">
        <v>46</v>
      </c>
      <c r="AH1051" s="46" t="s">
        <v>37</v>
      </c>
      <c r="AI1051" s="46" t="s">
        <v>46</v>
      </c>
      <c r="AJ1051" s="46">
        <f>=SUM(E1052:AI1052)</f>
      </c>
      <c r="AK1051" s="46">
        <f>=+AY1051</f>
      </c>
      <c r="AL1051" s="46"/>
      <c r="AM1051" s="1"/>
      <c r="AN1051" s="1">
        <f>=COUNTIF(E1051:AI1051,"A")+COUNTIF(E1051:AI1051,"B")+COUNTIF(E1051:AI1051,"C")+COUNTIF(E1051:AI1051,"D")+COUNTIF(E1051:AI1051,"E")+COUNTIF(E1051:AI1051,"F")+COUNTIF(E1051:AI1051,"M")+COUNTIF(E1051:AI1051,"AB")+COUNTIF(E1051:AI1051,"UZ")+COUNTIF(E1051:AI1051,"G")+(COUNTIF(E1051:AI1051,"RT.")/2)+(COUNTIF(E1051:AI1051,"ÇRT.")/2)</f>
      </c>
      <c r="AO1051" s="1">
        <f>=COUNTIF(E1051:AI1051,"O")</f>
      </c>
      <c r="AP1051" s="1">
        <f>=COUNTIF(E1051:AI1051,"RT")+(COUNTIF(E1051:AI1051,"RT.")/2)</f>
      </c>
      <c r="AQ1051" s="1">
        <f>=COUNTIF(E1051:AI1051,"ÇRT")+(COUNTIF(E1051:AI1051,"ÇRT.")/2)</f>
      </c>
      <c r="AR1051" s="1">
        <f>=COUNTIF(E1051:AI1051,"ÇHT")</f>
      </c>
      <c r="AS1051" s="1">
        <f>=COUNTIF(E1051:AI1051,"Ö")+COUNTIF(E1051:AI1051,"T")</f>
      </c>
      <c r="AT1051" s="1">
        <f>=COUNTIF(E1051:AI1051,"Y")</f>
      </c>
      <c r="AU1051" s="1">
        <f>=COUNTIF(E1051:AI1051,"R.")</f>
      </c>
      <c r="AV1051" s="1">
        <f>=COUNTIF(E1051:AI1051,"Ü")</f>
      </c>
      <c r="AW1051" s="1">
        <f>=COUNTIF(E1051:AI1051,"R")</f>
      </c>
      <c r="AX1051" s="1">
        <f>=COUNTIF(E1051:AI1051,"DV")</f>
      </c>
      <c r="AY1051" s="1">
        <f>=+AN1051+AO1051+AP1051+AQ1051+AR1051+AS1051+AT1051+AU1051</f>
      </c>
    </row>
    <row r="1052" ht="16" customHeight="1" spans="1:51" x14ac:dyDescent="0.25">
      <c r="A1052" s="45"/>
      <c r="B1052" s="46"/>
      <c r="C1052" s="46"/>
      <c r="D1052" s="46" t="s">
        <v>33</v>
      </c>
      <c r="E1052" s="46"/>
      <c r="F1052" s="46"/>
      <c r="G1052" s="46"/>
      <c r="H1052" s="46"/>
      <c r="I1052" s="46"/>
      <c r="J1052" s="46"/>
      <c r="K1052" s="46"/>
      <c r="L1052" s="46"/>
      <c r="M1052" s="46"/>
      <c r="N1052" s="46"/>
      <c r="O1052" s="46"/>
      <c r="P1052" s="46"/>
      <c r="Q1052" s="46"/>
      <c r="R1052" s="46"/>
      <c r="S1052" s="46"/>
      <c r="T1052" s="46"/>
      <c r="U1052" s="46"/>
      <c r="V1052" s="46"/>
      <c r="W1052" s="46"/>
      <c r="X1052" s="46"/>
      <c r="Y1052" s="46"/>
      <c r="Z1052" s="46"/>
      <c r="AA1052" s="46"/>
      <c r="AB1052" s="46"/>
      <c r="AC1052" s="46"/>
      <c r="AD1052" s="46"/>
      <c r="AE1052" s="46"/>
      <c r="AF1052" s="46"/>
      <c r="AG1052" s="46"/>
      <c r="AH1052" s="46"/>
      <c r="AI1052" s="46"/>
      <c r="AJ1052" s="46"/>
      <c r="AK1052" s="46"/>
      <c r="AL1052" s="46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</row>
    <row r="1053" ht="16" customHeight="1" spans="1:51" x14ac:dyDescent="0.25">
      <c r="A1053" s="45"/>
      <c r="B1053" s="46" t="s">
        <v>1102</v>
      </c>
      <c r="C1053" s="46" t="s">
        <v>1103</v>
      </c>
      <c r="D1053" s="46" t="s">
        <v>29</v>
      </c>
      <c r="E1053" s="46" t="s">
        <v>153</v>
      </c>
      <c r="F1053" s="46" t="s">
        <v>153</v>
      </c>
      <c r="G1053" s="46" t="s">
        <v>153</v>
      </c>
      <c r="H1053" s="46" t="s">
        <v>153</v>
      </c>
      <c r="I1053" s="46" t="s">
        <v>153</v>
      </c>
      <c r="J1053" s="46" t="s">
        <v>153</v>
      </c>
      <c r="K1053" s="46" t="s">
        <v>153</v>
      </c>
      <c r="L1053" s="46" t="s">
        <v>153</v>
      </c>
      <c r="M1053" s="46" t="s">
        <v>46</v>
      </c>
      <c r="N1053" s="46" t="s">
        <v>46</v>
      </c>
      <c r="O1053" s="46" t="s">
        <v>46</v>
      </c>
      <c r="P1053" s="46" t="s">
        <v>46</v>
      </c>
      <c r="Q1053" s="46" t="s">
        <v>46</v>
      </c>
      <c r="R1053" s="46" t="s">
        <v>37</v>
      </c>
      <c r="S1053" s="46" t="s">
        <v>46</v>
      </c>
      <c r="T1053" s="46" t="s">
        <v>46</v>
      </c>
      <c r="U1053" s="46" t="s">
        <v>46</v>
      </c>
      <c r="V1053" s="46" t="s">
        <v>46</v>
      </c>
      <c r="W1053" s="46" t="s">
        <v>46</v>
      </c>
      <c r="X1053" s="46" t="s">
        <v>46</v>
      </c>
      <c r="Y1053" s="46" t="s">
        <v>37</v>
      </c>
      <c r="Z1053" s="46" t="s">
        <v>46</v>
      </c>
      <c r="AA1053" s="46" t="s">
        <v>46</v>
      </c>
      <c r="AB1053" s="46" t="s">
        <v>46</v>
      </c>
      <c r="AC1053" s="46" t="s">
        <v>46</v>
      </c>
      <c r="AD1053" s="46" t="s">
        <v>46</v>
      </c>
      <c r="AE1053" s="46" t="s">
        <v>46</v>
      </c>
      <c r="AF1053" s="46" t="s">
        <v>37</v>
      </c>
      <c r="AG1053" s="46" t="s">
        <v>46</v>
      </c>
      <c r="AH1053" s="46" t="s">
        <v>43</v>
      </c>
      <c r="AI1053" s="46" t="s">
        <v>46</v>
      </c>
      <c r="AJ1053" s="46">
        <f>=SUM(E1054:AI1054)</f>
      </c>
      <c r="AK1053" s="46">
        <f>=+AY1053</f>
      </c>
      <c r="AL1053" s="46"/>
      <c r="AM1053" s="1"/>
      <c r="AN1053" s="1">
        <f>=COUNTIF(E1053:AI1053,"A")+COUNTIF(E1053:AI1053,"B")+COUNTIF(E1053:AI1053,"C")+COUNTIF(E1053:AI1053,"D")+COUNTIF(E1053:AI1053,"E")+COUNTIF(E1053:AI1053,"F")+COUNTIF(E1053:AI1053,"M")+COUNTIF(E1053:AI1053,"AB")+COUNTIF(E1053:AI1053,"UZ")+COUNTIF(E1053:AI1053,"G")+(COUNTIF(E1053:AI1053,"RT.")/2)+(COUNTIF(E1053:AI1053,"ÇRT.")/2)</f>
      </c>
      <c r="AO1053" s="1">
        <f>=COUNTIF(E1053:AI1053,"O")</f>
      </c>
      <c r="AP1053" s="1">
        <f>=COUNTIF(E1053:AI1053,"RT")+(COUNTIF(E1053:AI1053,"RT.")/2)</f>
      </c>
      <c r="AQ1053" s="1">
        <f>=COUNTIF(E1053:AI1053,"ÇRT")+(COUNTIF(E1053:AI1053,"ÇRT.")/2)</f>
      </c>
      <c r="AR1053" s="1">
        <f>=COUNTIF(E1053:AI1053,"ÇHT")</f>
      </c>
      <c r="AS1053" s="1">
        <f>=COUNTIF(E1053:AI1053,"Ö")+COUNTIF(E1053:AI1053,"T")</f>
      </c>
      <c r="AT1053" s="1">
        <f>=COUNTIF(E1053:AI1053,"Y")</f>
      </c>
      <c r="AU1053" s="1">
        <f>=COUNTIF(E1053:AI1053,"R.")</f>
      </c>
      <c r="AV1053" s="1">
        <f>=COUNTIF(E1053:AI1053,"Ü")</f>
      </c>
      <c r="AW1053" s="1">
        <f>=COUNTIF(E1053:AI1053,"R")</f>
      </c>
      <c r="AX1053" s="1">
        <f>=COUNTIF(E1053:AI1053,"DV")</f>
      </c>
      <c r="AY1053" s="1">
        <f>=+AN1053+AO1053+AP1053+AQ1053+AR1053+AS1053+AT1053+AU1053</f>
      </c>
    </row>
    <row r="1054" ht="16" customHeight="1" spans="1:51" x14ac:dyDescent="0.25">
      <c r="A1054" s="45"/>
      <c r="B1054" s="46"/>
      <c r="C1054" s="46"/>
      <c r="D1054" s="46" t="s">
        <v>33</v>
      </c>
      <c r="E1054" s="46"/>
      <c r="F1054" s="46"/>
      <c r="G1054" s="46"/>
      <c r="H1054" s="46"/>
      <c r="I1054" s="46"/>
      <c r="J1054" s="46"/>
      <c r="K1054" s="46"/>
      <c r="L1054" s="46"/>
      <c r="M1054" s="46"/>
      <c r="N1054" s="46"/>
      <c r="O1054" s="46"/>
      <c r="P1054" s="46"/>
      <c r="Q1054" s="46"/>
      <c r="R1054" s="46"/>
      <c r="S1054" s="46"/>
      <c r="T1054" s="46"/>
      <c r="U1054" s="46"/>
      <c r="V1054" s="46"/>
      <c r="W1054" s="46"/>
      <c r="X1054" s="46"/>
      <c r="Y1054" s="46"/>
      <c r="Z1054" s="46"/>
      <c r="AA1054" s="46"/>
      <c r="AB1054" s="46"/>
      <c r="AC1054" s="46"/>
      <c r="AD1054" s="46"/>
      <c r="AE1054" s="46"/>
      <c r="AF1054" s="46"/>
      <c r="AG1054" s="46"/>
      <c r="AH1054" s="46"/>
      <c r="AI1054" s="46"/>
      <c r="AJ1054" s="46"/>
      <c r="AK1054" s="46"/>
      <c r="AL1054" s="46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</row>
    <row r="1055" ht="16" customHeight="1" spans="1:51" x14ac:dyDescent="0.25">
      <c r="A1055" s="45"/>
      <c r="B1055" s="46" t="s">
        <v>1104</v>
      </c>
      <c r="C1055" s="46" t="s">
        <v>1105</v>
      </c>
      <c r="D1055" s="46" t="s">
        <v>29</v>
      </c>
      <c r="E1055" s="46" t="s">
        <v>42</v>
      </c>
      <c r="F1055" s="46" t="s">
        <v>42</v>
      </c>
      <c r="G1055" s="46" t="s">
        <v>37</v>
      </c>
      <c r="H1055" s="46" t="s">
        <v>46</v>
      </c>
      <c r="I1055" s="46" t="s">
        <v>46</v>
      </c>
      <c r="J1055" s="46" t="s">
        <v>46</v>
      </c>
      <c r="K1055" s="46" t="s">
        <v>46</v>
      </c>
      <c r="L1055" s="46" t="s">
        <v>46</v>
      </c>
      <c r="M1055" s="46" t="s">
        <v>46</v>
      </c>
      <c r="N1055" s="46" t="s">
        <v>37</v>
      </c>
      <c r="O1055" s="46" t="s">
        <v>42</v>
      </c>
      <c r="P1055" s="46" t="s">
        <v>42</v>
      </c>
      <c r="Q1055" s="46" t="s">
        <v>42</v>
      </c>
      <c r="R1055" s="46" t="s">
        <v>42</v>
      </c>
      <c r="S1055" s="46" t="s">
        <v>42</v>
      </c>
      <c r="T1055" s="46" t="s">
        <v>42</v>
      </c>
      <c r="U1055" s="46" t="s">
        <v>37</v>
      </c>
      <c r="V1055" s="46" t="s">
        <v>46</v>
      </c>
      <c r="W1055" s="46" t="s">
        <v>46</v>
      </c>
      <c r="X1055" s="46" t="s">
        <v>46</v>
      </c>
      <c r="Y1055" s="46" t="s">
        <v>46</v>
      </c>
      <c r="Z1055" s="46" t="s">
        <v>46</v>
      </c>
      <c r="AA1055" s="46" t="s">
        <v>46</v>
      </c>
      <c r="AB1055" s="46" t="s">
        <v>37</v>
      </c>
      <c r="AC1055" s="46" t="s">
        <v>46</v>
      </c>
      <c r="AD1055" s="46" t="s">
        <v>42</v>
      </c>
      <c r="AE1055" s="46" t="s">
        <v>42</v>
      </c>
      <c r="AF1055" s="46" t="s">
        <v>42</v>
      </c>
      <c r="AG1055" s="46" t="s">
        <v>42</v>
      </c>
      <c r="AH1055" s="46" t="s">
        <v>43</v>
      </c>
      <c r="AI1055" s="46" t="s">
        <v>37</v>
      </c>
      <c r="AJ1055" s="46">
        <f>=SUM(E1056:AI1056)</f>
      </c>
      <c r="AK1055" s="46">
        <f>=+AY1055</f>
      </c>
      <c r="AL1055" s="46"/>
      <c r="AM1055" s="1"/>
      <c r="AN1055" s="1">
        <f>=COUNTIF(E1055:AI1055,"A")+COUNTIF(E1055:AI1055,"B")+COUNTIF(E1055:AI1055,"C")+COUNTIF(E1055:AI1055,"D")+COUNTIF(E1055:AI1055,"E")+COUNTIF(E1055:AI1055,"F")+COUNTIF(E1055:AI1055,"M")+COUNTIF(E1055:AI1055,"AB")+COUNTIF(E1055:AI1055,"UZ")+COUNTIF(E1055:AI1055,"G")+(COUNTIF(E1055:AI1055,"RT.")/2)+(COUNTIF(E1055:AI1055,"ÇRT.")/2)</f>
      </c>
      <c r="AO1055" s="1">
        <f>=COUNTIF(E1055:AI1055,"O")</f>
      </c>
      <c r="AP1055" s="1">
        <f>=COUNTIF(E1055:AI1055,"RT")+(COUNTIF(E1055:AI1055,"RT.")/2)</f>
      </c>
      <c r="AQ1055" s="1">
        <f>=COUNTIF(E1055:AI1055,"ÇRT")+(COUNTIF(E1055:AI1055,"ÇRT.")/2)</f>
      </c>
      <c r="AR1055" s="1">
        <f>=COUNTIF(E1055:AI1055,"ÇHT")</f>
      </c>
      <c r="AS1055" s="1">
        <f>=COUNTIF(E1055:AI1055,"Ö")+COUNTIF(E1055:AI1055,"T")</f>
      </c>
      <c r="AT1055" s="1">
        <f>=COUNTIF(E1055:AI1055,"Y")</f>
      </c>
      <c r="AU1055" s="1">
        <f>=COUNTIF(E1055:AI1055,"R.")</f>
      </c>
      <c r="AV1055" s="1">
        <f>=COUNTIF(E1055:AI1055,"Ü")</f>
      </c>
      <c r="AW1055" s="1">
        <f>=COUNTIF(E1055:AI1055,"R")</f>
      </c>
      <c r="AX1055" s="1">
        <f>=COUNTIF(E1055:AI1055,"DV")</f>
      </c>
      <c r="AY1055" s="1">
        <f>=+AN1055+AO1055+AP1055+AQ1055+AR1055+AS1055+AT1055+AU1055</f>
      </c>
    </row>
    <row r="1056" ht="16" customHeight="1" spans="1:51" x14ac:dyDescent="0.25">
      <c r="A1056" s="45"/>
      <c r="B1056" s="46"/>
      <c r="C1056" s="46"/>
      <c r="D1056" s="46" t="s">
        <v>33</v>
      </c>
      <c r="E1056" s="46"/>
      <c r="F1056" s="46"/>
      <c r="G1056" s="46"/>
      <c r="H1056" s="46"/>
      <c r="I1056" s="46"/>
      <c r="J1056" s="46"/>
      <c r="K1056" s="46"/>
      <c r="L1056" s="46"/>
      <c r="M1056" s="46"/>
      <c r="N1056" s="46"/>
      <c r="O1056" s="46"/>
      <c r="P1056" s="46"/>
      <c r="Q1056" s="46"/>
      <c r="R1056" s="46"/>
      <c r="S1056" s="46"/>
      <c r="T1056" s="46"/>
      <c r="U1056" s="46"/>
      <c r="V1056" s="46"/>
      <c r="W1056" s="46"/>
      <c r="X1056" s="46"/>
      <c r="Y1056" s="46"/>
      <c r="Z1056" s="46"/>
      <c r="AA1056" s="46"/>
      <c r="AB1056" s="46"/>
      <c r="AC1056" s="46"/>
      <c r="AD1056" s="46"/>
      <c r="AE1056" s="46"/>
      <c r="AF1056" s="46"/>
      <c r="AG1056" s="46"/>
      <c r="AH1056" s="46"/>
      <c r="AI1056" s="46"/>
      <c r="AJ1056" s="46"/>
      <c r="AK1056" s="46"/>
      <c r="AL1056" s="46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</row>
    <row r="1057" ht="16" customHeight="1" spans="1:51" x14ac:dyDescent="0.25">
      <c r="A1057" s="45"/>
      <c r="B1057" s="46" t="s">
        <v>1106</v>
      </c>
      <c r="C1057" s="46" t="s">
        <v>1107</v>
      </c>
      <c r="D1057" s="46" t="s">
        <v>29</v>
      </c>
      <c r="E1057" s="46" t="s">
        <v>46</v>
      </c>
      <c r="F1057" s="46" t="s">
        <v>46</v>
      </c>
      <c r="G1057" s="46" t="s">
        <v>36</v>
      </c>
      <c r="H1057" s="46" t="s">
        <v>36</v>
      </c>
      <c r="I1057" s="46" t="s">
        <v>36</v>
      </c>
      <c r="J1057" s="46" t="s">
        <v>36</v>
      </c>
      <c r="K1057" s="46" t="s">
        <v>36</v>
      </c>
      <c r="L1057" s="46" t="s">
        <v>37</v>
      </c>
      <c r="M1057" s="46" t="s">
        <v>46</v>
      </c>
      <c r="N1057" s="46" t="s">
        <v>37</v>
      </c>
      <c r="O1057" s="46" t="s">
        <v>46</v>
      </c>
      <c r="P1057" s="46" t="s">
        <v>46</v>
      </c>
      <c r="Q1057" s="46" t="s">
        <v>46</v>
      </c>
      <c r="R1057" s="46" t="s">
        <v>46</v>
      </c>
      <c r="S1057" s="46" t="s">
        <v>46</v>
      </c>
      <c r="T1057" s="46" t="s">
        <v>46</v>
      </c>
      <c r="U1057" s="46" t="s">
        <v>46</v>
      </c>
      <c r="V1057" s="46" t="s">
        <v>46</v>
      </c>
      <c r="W1057" s="46" t="s">
        <v>46</v>
      </c>
      <c r="X1057" s="46" t="s">
        <v>46</v>
      </c>
      <c r="Y1057" s="46" t="s">
        <v>46</v>
      </c>
      <c r="Z1057" s="46" t="s">
        <v>37</v>
      </c>
      <c r="AA1057" s="46" t="s">
        <v>46</v>
      </c>
      <c r="AB1057" s="46" t="s">
        <v>37</v>
      </c>
      <c r="AC1057" s="46" t="s">
        <v>46</v>
      </c>
      <c r="AD1057" s="46" t="s">
        <v>46</v>
      </c>
      <c r="AE1057" s="46" t="s">
        <v>42</v>
      </c>
      <c r="AF1057" s="46" t="s">
        <v>42</v>
      </c>
      <c r="AG1057" s="46" t="s">
        <v>46</v>
      </c>
      <c r="AH1057" s="46" t="s">
        <v>43</v>
      </c>
      <c r="AI1057" s="46" t="s">
        <v>37</v>
      </c>
      <c r="AJ1057" s="46">
        <f>=SUM(E1058:AI1058)</f>
      </c>
      <c r="AK1057" s="46">
        <f>=+AY1057</f>
      </c>
      <c r="AL1057" s="46"/>
      <c r="AM1057" s="1"/>
      <c r="AN1057" s="1">
        <f>=COUNTIF(E1057:AI1057,"A")+COUNTIF(E1057:AI1057,"B")+COUNTIF(E1057:AI1057,"C")+COUNTIF(E1057:AI1057,"D")+COUNTIF(E1057:AI1057,"E")+COUNTIF(E1057:AI1057,"F")+COUNTIF(E1057:AI1057,"M")+COUNTIF(E1057:AI1057,"AB")+COUNTIF(E1057:AI1057,"UZ")+COUNTIF(E1057:AI1057,"G")+(COUNTIF(E1057:AI1057,"RT.")/2)+(COUNTIF(E1057:AI1057,"ÇRT.")/2)</f>
      </c>
      <c r="AO1057" s="1">
        <f>=COUNTIF(E1057:AI1057,"O")</f>
      </c>
      <c r="AP1057" s="1">
        <f>=COUNTIF(E1057:AI1057,"RT")+(COUNTIF(E1057:AI1057,"RT.")/2)</f>
      </c>
      <c r="AQ1057" s="1">
        <f>=COUNTIF(E1057:AI1057,"ÇRT")+(COUNTIF(E1057:AI1057,"ÇRT.")/2)</f>
      </c>
      <c r="AR1057" s="1">
        <f>=COUNTIF(E1057:AI1057,"ÇHT")</f>
      </c>
      <c r="AS1057" s="1">
        <f>=COUNTIF(E1057:AI1057,"Ö")+COUNTIF(E1057:AI1057,"T")</f>
      </c>
      <c r="AT1057" s="1">
        <f>=COUNTIF(E1057:AI1057,"Y")</f>
      </c>
      <c r="AU1057" s="1">
        <f>=COUNTIF(E1057:AI1057,"R.")</f>
      </c>
      <c r="AV1057" s="1">
        <f>=COUNTIF(E1057:AI1057,"Ü")</f>
      </c>
      <c r="AW1057" s="1">
        <f>=COUNTIF(E1057:AI1057,"R")</f>
      </c>
      <c r="AX1057" s="1">
        <f>=COUNTIF(E1057:AI1057,"DV")</f>
      </c>
      <c r="AY1057" s="1">
        <f>=+AN1057+AO1057+AP1057+AQ1057+AR1057+AS1057+AT1057+AU1057</f>
      </c>
    </row>
    <row r="1058" ht="16" customHeight="1" spans="1:51" x14ac:dyDescent="0.25">
      <c r="A1058" s="45"/>
      <c r="B1058" s="46"/>
      <c r="C1058" s="46"/>
      <c r="D1058" s="46" t="s">
        <v>33</v>
      </c>
      <c r="E1058" s="46"/>
      <c r="F1058" s="46"/>
      <c r="G1058" s="46"/>
      <c r="H1058" s="46"/>
      <c r="I1058" s="46"/>
      <c r="J1058" s="46"/>
      <c r="K1058" s="46"/>
      <c r="L1058" s="46"/>
      <c r="M1058" s="46"/>
      <c r="N1058" s="46"/>
      <c r="O1058" s="46"/>
      <c r="P1058" s="46"/>
      <c r="Q1058" s="46"/>
      <c r="R1058" s="46"/>
      <c r="S1058" s="46"/>
      <c r="T1058" s="46"/>
      <c r="U1058" s="46"/>
      <c r="V1058" s="46"/>
      <c r="W1058" s="46"/>
      <c r="X1058" s="46"/>
      <c r="Y1058" s="46"/>
      <c r="Z1058" s="46"/>
      <c r="AA1058" s="46"/>
      <c r="AB1058" s="46"/>
      <c r="AC1058" s="46"/>
      <c r="AD1058" s="46"/>
      <c r="AE1058" s="46"/>
      <c r="AF1058" s="46"/>
      <c r="AG1058" s="46"/>
      <c r="AH1058" s="46"/>
      <c r="AI1058" s="46"/>
      <c r="AJ1058" s="46"/>
      <c r="AK1058" s="46"/>
      <c r="AL1058" s="46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</row>
    <row r="1059" ht="16" customHeight="1" spans="1:51" x14ac:dyDescent="0.25">
      <c r="A1059" s="45"/>
      <c r="B1059" s="46" t="s">
        <v>1108</v>
      </c>
      <c r="C1059" s="46" t="s">
        <v>1109</v>
      </c>
      <c r="D1059" s="46" t="s">
        <v>29</v>
      </c>
      <c r="E1059" s="46" t="s">
        <v>42</v>
      </c>
      <c r="F1059" s="46" t="s">
        <v>42</v>
      </c>
      <c r="G1059" s="46" t="s">
        <v>42</v>
      </c>
      <c r="H1059" s="46" t="s">
        <v>42</v>
      </c>
      <c r="I1059" s="46" t="s">
        <v>42</v>
      </c>
      <c r="J1059" s="46" t="s">
        <v>42</v>
      </c>
      <c r="K1059" s="46" t="s">
        <v>42</v>
      </c>
      <c r="L1059" s="46" t="s">
        <v>37</v>
      </c>
      <c r="M1059" s="46" t="s">
        <v>42</v>
      </c>
      <c r="N1059" s="46" t="s">
        <v>42</v>
      </c>
      <c r="O1059" s="46" t="s">
        <v>42</v>
      </c>
      <c r="P1059" s="46" t="s">
        <v>42</v>
      </c>
      <c r="Q1059" s="46" t="s">
        <v>42</v>
      </c>
      <c r="R1059" s="46" t="s">
        <v>42</v>
      </c>
      <c r="S1059" s="46" t="s">
        <v>37</v>
      </c>
      <c r="T1059" s="46" t="s">
        <v>42</v>
      </c>
      <c r="U1059" s="46" t="s">
        <v>42</v>
      </c>
      <c r="V1059" s="46" t="s">
        <v>42</v>
      </c>
      <c r="W1059" s="46" t="s">
        <v>42</v>
      </c>
      <c r="X1059" s="46" t="s">
        <v>42</v>
      </c>
      <c r="Y1059" s="46" t="s">
        <v>37</v>
      </c>
      <c r="Z1059" s="46" t="s">
        <v>42</v>
      </c>
      <c r="AA1059" s="46" t="s">
        <v>42</v>
      </c>
      <c r="AB1059" s="46" t="s">
        <v>42</v>
      </c>
      <c r="AC1059" s="46" t="s">
        <v>42</v>
      </c>
      <c r="AD1059" s="46" t="s">
        <v>42</v>
      </c>
      <c r="AE1059" s="46" t="s">
        <v>42</v>
      </c>
      <c r="AF1059" s="46" t="s">
        <v>42</v>
      </c>
      <c r="AG1059" s="46" t="s">
        <v>42</v>
      </c>
      <c r="AH1059" s="46" t="s">
        <v>43</v>
      </c>
      <c r="AI1059" s="46" t="s">
        <v>42</v>
      </c>
      <c r="AJ1059" s="46">
        <f>=SUM(E1060:AI1060)</f>
      </c>
      <c r="AK1059" s="46">
        <f>=+AY1059</f>
      </c>
      <c r="AL1059" s="46"/>
      <c r="AM1059" s="1"/>
      <c r="AN1059" s="1">
        <f>=COUNTIF(E1059:AI1059,"A")+COUNTIF(E1059:AI1059,"B")+COUNTIF(E1059:AI1059,"C")+COUNTIF(E1059:AI1059,"D")+COUNTIF(E1059:AI1059,"E")+COUNTIF(E1059:AI1059,"F")+COUNTIF(E1059:AI1059,"M")+COUNTIF(E1059:AI1059,"AB")+COUNTIF(E1059:AI1059,"UZ")+COUNTIF(E1059:AI1059,"G")+(COUNTIF(E1059:AI1059,"RT.")/2)+(COUNTIF(E1059:AI1059,"ÇRT.")/2)</f>
      </c>
      <c r="AO1059" s="1">
        <f>=COUNTIF(E1059:AI1059,"O")</f>
      </c>
      <c r="AP1059" s="1">
        <f>=COUNTIF(E1059:AI1059,"RT")+(COUNTIF(E1059:AI1059,"RT.")/2)</f>
      </c>
      <c r="AQ1059" s="1">
        <f>=COUNTIF(E1059:AI1059,"ÇRT")+(COUNTIF(E1059:AI1059,"ÇRT.")/2)</f>
      </c>
      <c r="AR1059" s="1">
        <f>=COUNTIF(E1059:AI1059,"ÇHT")</f>
      </c>
      <c r="AS1059" s="1">
        <f>=COUNTIF(E1059:AI1059,"Ö")+COUNTIF(E1059:AI1059,"T")</f>
      </c>
      <c r="AT1059" s="1">
        <f>=COUNTIF(E1059:AI1059,"Y")</f>
      </c>
      <c r="AU1059" s="1">
        <f>=COUNTIF(E1059:AI1059,"R.")</f>
      </c>
      <c r="AV1059" s="1">
        <f>=COUNTIF(E1059:AI1059,"Ü")</f>
      </c>
      <c r="AW1059" s="1">
        <f>=COUNTIF(E1059:AI1059,"R")</f>
      </c>
      <c r="AX1059" s="1">
        <f>=COUNTIF(E1059:AI1059,"DV")</f>
      </c>
      <c r="AY1059" s="1">
        <f>=+AN1059+AO1059+AP1059+AQ1059+AR1059+AS1059+AT1059+AU1059</f>
      </c>
    </row>
    <row r="1060" ht="16" customHeight="1" spans="1:51" x14ac:dyDescent="0.25">
      <c r="A1060" s="45"/>
      <c r="B1060" s="46"/>
      <c r="C1060" s="46"/>
      <c r="D1060" s="46" t="s">
        <v>33</v>
      </c>
      <c r="E1060" s="46"/>
      <c r="F1060" s="46"/>
      <c r="G1060" s="46"/>
      <c r="H1060" s="46"/>
      <c r="I1060" s="46"/>
      <c r="J1060" s="46"/>
      <c r="K1060" s="46"/>
      <c r="L1060" s="46"/>
      <c r="M1060" s="46"/>
      <c r="N1060" s="46"/>
      <c r="O1060" s="46"/>
      <c r="P1060" s="46"/>
      <c r="Q1060" s="46"/>
      <c r="R1060" s="46"/>
      <c r="S1060" s="46"/>
      <c r="T1060" s="46"/>
      <c r="U1060" s="46"/>
      <c r="V1060" s="46"/>
      <c r="W1060" s="46"/>
      <c r="X1060" s="46"/>
      <c r="Y1060" s="46"/>
      <c r="Z1060" s="46"/>
      <c r="AA1060" s="46"/>
      <c r="AB1060" s="46"/>
      <c r="AC1060" s="46"/>
      <c r="AD1060" s="46"/>
      <c r="AE1060" s="46"/>
      <c r="AF1060" s="46"/>
      <c r="AG1060" s="46"/>
      <c r="AH1060" s="46"/>
      <c r="AI1060" s="46"/>
      <c r="AJ1060" s="46"/>
      <c r="AK1060" s="46"/>
      <c r="AL1060" s="46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</row>
    <row r="1061" ht="16" customHeight="1" spans="1:51" x14ac:dyDescent="0.25">
      <c r="A1061" s="45"/>
      <c r="B1061" s="46" t="s">
        <v>1110</v>
      </c>
      <c r="C1061" s="46" t="s">
        <v>1111</v>
      </c>
      <c r="D1061" s="46" t="s">
        <v>29</v>
      </c>
      <c r="E1061" s="46"/>
      <c r="F1061" s="46"/>
      <c r="G1061" s="46"/>
      <c r="H1061" s="46"/>
      <c r="I1061" s="46"/>
      <c r="J1061" s="46"/>
      <c r="K1061" s="46"/>
      <c r="L1061" s="46"/>
      <c r="M1061" s="46"/>
      <c r="N1061" s="46"/>
      <c r="O1061" s="46"/>
      <c r="P1061" s="46"/>
      <c r="Q1061" s="46"/>
      <c r="R1061" s="46"/>
      <c r="S1061" s="46"/>
      <c r="T1061" s="46"/>
      <c r="U1061" s="46"/>
      <c r="V1061" s="46"/>
      <c r="W1061" s="46"/>
      <c r="X1061" s="46"/>
      <c r="Y1061" s="46"/>
      <c r="Z1061" s="46"/>
      <c r="AA1061" s="46"/>
      <c r="AB1061" s="46"/>
      <c r="AC1061" s="46"/>
      <c r="AD1061" s="46"/>
      <c r="AE1061" s="46"/>
      <c r="AF1061" s="46"/>
      <c r="AG1061" s="46"/>
      <c r="AH1061" s="46"/>
      <c r="AI1061" s="46"/>
      <c r="AJ1061" s="46">
        <f>=SUM(E1062:AI1062)</f>
      </c>
      <c r="AK1061" s="46">
        <f>=+AY1061</f>
      </c>
      <c r="AL1061" s="46"/>
      <c r="AM1061" s="1"/>
      <c r="AN1061" s="1">
        <f>=COUNTIF(E1061:AI1061,"A")+COUNTIF(E1061:AI1061,"B")+COUNTIF(E1061:AI1061,"C")+COUNTIF(E1061:AI1061,"D")+COUNTIF(E1061:AI1061,"E")+COUNTIF(E1061:AI1061,"F")+COUNTIF(E1061:AI1061,"M")+COUNTIF(E1061:AI1061,"AB")+COUNTIF(E1061:AI1061,"UZ")+COUNTIF(E1061:AI1061,"G")+(COUNTIF(E1061:AI1061,"RT.")/2)+(COUNTIF(E1061:AI1061,"ÇRT.")/2)</f>
      </c>
      <c r="AO1061" s="1">
        <f>=COUNTIF(E1061:AI1061,"O")</f>
      </c>
      <c r="AP1061" s="1">
        <f>=COUNTIF(E1061:AI1061,"RT")+(COUNTIF(E1061:AI1061,"RT.")/2)</f>
      </c>
      <c r="AQ1061" s="1">
        <f>=COUNTIF(E1061:AI1061,"ÇRT")+(COUNTIF(E1061:AI1061,"ÇRT.")/2)</f>
      </c>
      <c r="AR1061" s="1">
        <f>=COUNTIF(E1061:AI1061,"ÇHT")</f>
      </c>
      <c r="AS1061" s="1">
        <f>=COUNTIF(E1061:AI1061,"Ö")+COUNTIF(E1061:AI1061,"T")</f>
      </c>
      <c r="AT1061" s="1">
        <f>=COUNTIF(E1061:AI1061,"Y")</f>
      </c>
      <c r="AU1061" s="1">
        <f>=COUNTIF(E1061:AI1061,"R.")</f>
      </c>
      <c r="AV1061" s="1">
        <f>=COUNTIF(E1061:AI1061,"Ü")</f>
      </c>
      <c r="AW1061" s="1">
        <f>=COUNTIF(E1061:AI1061,"R")</f>
      </c>
      <c r="AX1061" s="1">
        <f>=COUNTIF(E1061:AI1061,"DV")</f>
      </c>
      <c r="AY1061" s="1">
        <f>=+AN1061+AO1061+AP1061+AQ1061+AR1061+AS1061+AT1061+AU1061</f>
      </c>
    </row>
    <row r="1062" ht="16" customHeight="1" spans="1:51" x14ac:dyDescent="0.25">
      <c r="A1062" s="45"/>
      <c r="B1062" s="46"/>
      <c r="C1062" s="46"/>
      <c r="D1062" s="46" t="s">
        <v>33</v>
      </c>
      <c r="E1062" s="46"/>
      <c r="F1062" s="46"/>
      <c r="G1062" s="46"/>
      <c r="H1062" s="46"/>
      <c r="I1062" s="46"/>
      <c r="J1062" s="46"/>
      <c r="K1062" s="46"/>
      <c r="L1062" s="46"/>
      <c r="M1062" s="46"/>
      <c r="N1062" s="46"/>
      <c r="O1062" s="46"/>
      <c r="P1062" s="46"/>
      <c r="Q1062" s="46"/>
      <c r="R1062" s="46"/>
      <c r="S1062" s="46"/>
      <c r="T1062" s="46"/>
      <c r="U1062" s="46"/>
      <c r="V1062" s="46"/>
      <c r="W1062" s="46"/>
      <c r="X1062" s="46"/>
      <c r="Y1062" s="46"/>
      <c r="Z1062" s="46"/>
      <c r="AA1062" s="46"/>
      <c r="AB1062" s="46"/>
      <c r="AC1062" s="46"/>
      <c r="AD1062" s="46"/>
      <c r="AE1062" s="46"/>
      <c r="AF1062" s="46"/>
      <c r="AG1062" s="46"/>
      <c r="AH1062" s="46"/>
      <c r="AI1062" s="46"/>
      <c r="AJ1062" s="46"/>
      <c r="AK1062" s="46"/>
      <c r="AL1062" s="46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</row>
    <row r="1063" ht="16" customHeight="1" spans="1:51" x14ac:dyDescent="0.25">
      <c r="A1063" s="45"/>
      <c r="B1063" s="46" t="s">
        <v>1112</v>
      </c>
      <c r="C1063" s="46" t="s">
        <v>1113</v>
      </c>
      <c r="D1063" s="46" t="s">
        <v>29</v>
      </c>
      <c r="E1063" s="46" t="s">
        <v>42</v>
      </c>
      <c r="F1063" s="46" t="s">
        <v>42</v>
      </c>
      <c r="G1063" s="46" t="s">
        <v>337</v>
      </c>
      <c r="H1063" s="46" t="s">
        <v>337</v>
      </c>
      <c r="I1063" s="46" t="s">
        <v>337</v>
      </c>
      <c r="J1063" s="46" t="s">
        <v>37</v>
      </c>
      <c r="K1063" s="46" t="s">
        <v>337</v>
      </c>
      <c r="L1063" s="46" t="s">
        <v>42</v>
      </c>
      <c r="M1063" s="46" t="s">
        <v>42</v>
      </c>
      <c r="N1063" s="46" t="s">
        <v>42</v>
      </c>
      <c r="O1063" s="46" t="s">
        <v>42</v>
      </c>
      <c r="P1063" s="46" t="s">
        <v>37</v>
      </c>
      <c r="Q1063" s="46" t="s">
        <v>42</v>
      </c>
      <c r="R1063" s="46" t="s">
        <v>42</v>
      </c>
      <c r="S1063" s="46" t="s">
        <v>42</v>
      </c>
      <c r="T1063" s="46" t="s">
        <v>42</v>
      </c>
      <c r="U1063" s="46" t="s">
        <v>42</v>
      </c>
      <c r="V1063" s="46" t="s">
        <v>42</v>
      </c>
      <c r="W1063" s="46" t="s">
        <v>37</v>
      </c>
      <c r="X1063" s="46" t="s">
        <v>42</v>
      </c>
      <c r="Y1063" s="46" t="s">
        <v>42</v>
      </c>
      <c r="Z1063" s="46" t="s">
        <v>42</v>
      </c>
      <c r="AA1063" s="46" t="s">
        <v>42</v>
      </c>
      <c r="AB1063" s="46" t="s">
        <v>42</v>
      </c>
      <c r="AC1063" s="46" t="s">
        <v>42</v>
      </c>
      <c r="AD1063" s="46" t="s">
        <v>42</v>
      </c>
      <c r="AE1063" s="46" t="s">
        <v>37</v>
      </c>
      <c r="AF1063" s="46" t="s">
        <v>31</v>
      </c>
      <c r="AG1063" s="46" t="s">
        <v>42</v>
      </c>
      <c r="AH1063" s="46" t="s">
        <v>43</v>
      </c>
      <c r="AI1063" s="46" t="s">
        <v>42</v>
      </c>
      <c r="AJ1063" s="46">
        <f>=SUM(E1064:AI1064)</f>
      </c>
      <c r="AK1063" s="46">
        <f>=+AY1063</f>
      </c>
      <c r="AL1063" s="46"/>
      <c r="AM1063" s="1"/>
      <c r="AN1063" s="1">
        <f>=COUNTIF(E1063:AI1063,"A")+COUNTIF(E1063:AI1063,"B")+COUNTIF(E1063:AI1063,"C")+COUNTIF(E1063:AI1063,"D")+COUNTIF(E1063:AI1063,"E")+COUNTIF(E1063:AI1063,"F")+COUNTIF(E1063:AI1063,"M")+COUNTIF(E1063:AI1063,"AB")+COUNTIF(E1063:AI1063,"UZ")+COUNTIF(E1063:AI1063,"G")+(COUNTIF(E1063:AI1063,"RT.")/2)+(COUNTIF(E1063:AI1063,"ÇRT.")/2)</f>
      </c>
      <c r="AO1063" s="1">
        <f>=COUNTIF(E1063:AI1063,"O")</f>
      </c>
      <c r="AP1063" s="1">
        <f>=COUNTIF(E1063:AI1063,"RT")+(COUNTIF(E1063:AI1063,"RT.")/2)</f>
      </c>
      <c r="AQ1063" s="1">
        <f>=COUNTIF(E1063:AI1063,"ÇRT")+(COUNTIF(E1063:AI1063,"ÇRT.")/2)</f>
      </c>
      <c r="AR1063" s="1">
        <f>=COUNTIF(E1063:AI1063,"ÇHT")</f>
      </c>
      <c r="AS1063" s="1">
        <f>=COUNTIF(E1063:AI1063,"Ö")+COUNTIF(E1063:AI1063,"T")</f>
      </c>
      <c r="AT1063" s="1">
        <f>=COUNTIF(E1063:AI1063,"Y")</f>
      </c>
      <c r="AU1063" s="1">
        <f>=COUNTIF(E1063:AI1063,"R.")</f>
      </c>
      <c r="AV1063" s="1">
        <f>=COUNTIF(E1063:AI1063,"Ü")</f>
      </c>
      <c r="AW1063" s="1">
        <f>=COUNTIF(E1063:AI1063,"R")</f>
      </c>
      <c r="AX1063" s="1">
        <f>=COUNTIF(E1063:AI1063,"DV")</f>
      </c>
      <c r="AY1063" s="1">
        <f>=+AN1063+AO1063+AP1063+AQ1063+AR1063+AS1063+AT1063+AU1063</f>
      </c>
    </row>
    <row r="1064" ht="16" customHeight="1" spans="1:51" x14ac:dyDescent="0.25">
      <c r="A1064" s="45"/>
      <c r="B1064" s="46"/>
      <c r="C1064" s="46"/>
      <c r="D1064" s="46" t="s">
        <v>33</v>
      </c>
      <c r="E1064" s="46"/>
      <c r="F1064" s="46"/>
      <c r="G1064" s="46"/>
      <c r="H1064" s="46"/>
      <c r="I1064" s="46"/>
      <c r="J1064" s="46"/>
      <c r="K1064" s="46"/>
      <c r="L1064" s="46"/>
      <c r="M1064" s="46"/>
      <c r="N1064" s="46"/>
      <c r="O1064" s="46"/>
      <c r="P1064" s="46"/>
      <c r="Q1064" s="46"/>
      <c r="R1064" s="46"/>
      <c r="S1064" s="46"/>
      <c r="T1064" s="46"/>
      <c r="U1064" s="46"/>
      <c r="V1064" s="46"/>
      <c r="W1064" s="46"/>
      <c r="X1064" s="46"/>
      <c r="Y1064" s="46"/>
      <c r="Z1064" s="46"/>
      <c r="AA1064" s="46"/>
      <c r="AB1064" s="46"/>
      <c r="AC1064" s="46"/>
      <c r="AD1064" s="46"/>
      <c r="AE1064" s="46"/>
      <c r="AF1064" s="46"/>
      <c r="AG1064" s="46"/>
      <c r="AH1064" s="46"/>
      <c r="AI1064" s="46"/>
      <c r="AJ1064" s="46"/>
      <c r="AK1064" s="46"/>
      <c r="AL1064" s="46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</row>
    <row r="1065" ht="16" customHeight="1" spans="1:51" x14ac:dyDescent="0.25">
      <c r="A1065" s="45"/>
      <c r="B1065" s="46" t="s">
        <v>1114</v>
      </c>
      <c r="C1065" s="46" t="s">
        <v>1115</v>
      </c>
      <c r="D1065" s="46" t="s">
        <v>29</v>
      </c>
      <c r="E1065" s="46" t="s">
        <v>42</v>
      </c>
      <c r="F1065" s="46" t="s">
        <v>42</v>
      </c>
      <c r="G1065" s="46" t="s">
        <v>46</v>
      </c>
      <c r="H1065" s="46" t="s">
        <v>46</v>
      </c>
      <c r="I1065" s="46" t="s">
        <v>37</v>
      </c>
      <c r="J1065" s="46" t="s">
        <v>46</v>
      </c>
      <c r="K1065" s="46" t="s">
        <v>46</v>
      </c>
      <c r="L1065" s="46" t="s">
        <v>46</v>
      </c>
      <c r="M1065" s="46" t="s">
        <v>46</v>
      </c>
      <c r="N1065" s="46" t="s">
        <v>42</v>
      </c>
      <c r="O1065" s="46" t="s">
        <v>42</v>
      </c>
      <c r="P1065" s="46" t="s">
        <v>37</v>
      </c>
      <c r="Q1065" s="46" t="s">
        <v>42</v>
      </c>
      <c r="R1065" s="46" t="s">
        <v>42</v>
      </c>
      <c r="S1065" s="46" t="s">
        <v>42</v>
      </c>
      <c r="T1065" s="46" t="s">
        <v>42</v>
      </c>
      <c r="U1065" s="46" t="s">
        <v>46</v>
      </c>
      <c r="V1065" s="46" t="s">
        <v>46</v>
      </c>
      <c r="W1065" s="46" t="s">
        <v>37</v>
      </c>
      <c r="X1065" s="46" t="s">
        <v>46</v>
      </c>
      <c r="Y1065" s="46" t="s">
        <v>46</v>
      </c>
      <c r="Z1065" s="46" t="s">
        <v>46</v>
      </c>
      <c r="AA1065" s="46" t="s">
        <v>46</v>
      </c>
      <c r="AB1065" s="46" t="s">
        <v>42</v>
      </c>
      <c r="AC1065" s="46" t="s">
        <v>42</v>
      </c>
      <c r="AD1065" s="46" t="s">
        <v>37</v>
      </c>
      <c r="AE1065" s="46" t="s">
        <v>42</v>
      </c>
      <c r="AF1065" s="46" t="s">
        <v>42</v>
      </c>
      <c r="AG1065" s="46" t="s">
        <v>42</v>
      </c>
      <c r="AH1065" s="46" t="s">
        <v>43</v>
      </c>
      <c r="AI1065" s="46" t="s">
        <v>42</v>
      </c>
      <c r="AJ1065" s="46">
        <f>=SUM(E1066:AI1066)</f>
      </c>
      <c r="AK1065" s="46">
        <f>=+AY1065</f>
      </c>
      <c r="AL1065" s="46"/>
      <c r="AM1065" s="1"/>
      <c r="AN1065" s="1">
        <f>=COUNTIF(E1065:AI1065,"A")+COUNTIF(E1065:AI1065,"B")+COUNTIF(E1065:AI1065,"C")+COUNTIF(E1065:AI1065,"D")+COUNTIF(E1065:AI1065,"E")+COUNTIF(E1065:AI1065,"F")+COUNTIF(E1065:AI1065,"M")+COUNTIF(E1065:AI1065,"AB")+COUNTIF(E1065:AI1065,"UZ")+COUNTIF(E1065:AI1065,"G")+(COUNTIF(E1065:AI1065,"RT.")/2)+(COUNTIF(E1065:AI1065,"ÇRT.")/2)</f>
      </c>
      <c r="AO1065" s="1">
        <f>=COUNTIF(E1065:AI1065,"O")</f>
      </c>
      <c r="AP1065" s="1">
        <f>=COUNTIF(E1065:AI1065,"RT")+(COUNTIF(E1065:AI1065,"RT.")/2)</f>
      </c>
      <c r="AQ1065" s="1">
        <f>=COUNTIF(E1065:AI1065,"ÇRT")+(COUNTIF(E1065:AI1065,"ÇRT.")/2)</f>
      </c>
      <c r="AR1065" s="1">
        <f>=COUNTIF(E1065:AI1065,"ÇHT")</f>
      </c>
      <c r="AS1065" s="1">
        <f>=COUNTIF(E1065:AI1065,"Ö")+COUNTIF(E1065:AI1065,"T")</f>
      </c>
      <c r="AT1065" s="1">
        <f>=COUNTIF(E1065:AI1065,"Y")</f>
      </c>
      <c r="AU1065" s="1">
        <f>=COUNTIF(E1065:AI1065,"R.")</f>
      </c>
      <c r="AV1065" s="1">
        <f>=COUNTIF(E1065:AI1065,"Ü")</f>
      </c>
      <c r="AW1065" s="1">
        <f>=COUNTIF(E1065:AI1065,"R")</f>
      </c>
      <c r="AX1065" s="1">
        <f>=COUNTIF(E1065:AI1065,"DV")</f>
      </c>
      <c r="AY1065" s="1">
        <f>=+AN1065+AO1065+AP1065+AQ1065+AR1065+AS1065+AT1065+AU1065</f>
      </c>
    </row>
    <row r="1066" ht="16" customHeight="1" spans="1:51" x14ac:dyDescent="0.25">
      <c r="A1066" s="45"/>
      <c r="B1066" s="46"/>
      <c r="C1066" s="46"/>
      <c r="D1066" s="46" t="s">
        <v>33</v>
      </c>
      <c r="E1066" s="46"/>
      <c r="F1066" s="46"/>
      <c r="G1066" s="46"/>
      <c r="H1066" s="46"/>
      <c r="I1066" s="46"/>
      <c r="J1066" s="46"/>
      <c r="K1066" s="46"/>
      <c r="L1066" s="46"/>
      <c r="M1066" s="46"/>
      <c r="N1066" s="46"/>
      <c r="O1066" s="46"/>
      <c r="P1066" s="46"/>
      <c r="Q1066" s="46"/>
      <c r="R1066" s="46"/>
      <c r="S1066" s="46"/>
      <c r="T1066" s="46"/>
      <c r="U1066" s="46"/>
      <c r="V1066" s="46"/>
      <c r="W1066" s="46"/>
      <c r="X1066" s="46"/>
      <c r="Y1066" s="46"/>
      <c r="Z1066" s="46"/>
      <c r="AA1066" s="46"/>
      <c r="AB1066" s="46"/>
      <c r="AC1066" s="46"/>
      <c r="AD1066" s="46"/>
      <c r="AE1066" s="46"/>
      <c r="AF1066" s="46"/>
      <c r="AG1066" s="46"/>
      <c r="AH1066" s="46"/>
      <c r="AI1066" s="46"/>
      <c r="AJ1066" s="46"/>
      <c r="AK1066" s="46"/>
      <c r="AL1066" s="46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</row>
    <row r="1067" ht="16" customHeight="1" spans="1:51" x14ac:dyDescent="0.25">
      <c r="A1067" s="45"/>
      <c r="B1067" s="46" t="s">
        <v>1116</v>
      </c>
      <c r="C1067" s="46" t="s">
        <v>1117</v>
      </c>
      <c r="D1067" s="46" t="s">
        <v>29</v>
      </c>
      <c r="E1067" s="46" t="s">
        <v>46</v>
      </c>
      <c r="F1067" s="46" t="s">
        <v>46</v>
      </c>
      <c r="G1067" s="46" t="s">
        <v>42</v>
      </c>
      <c r="H1067" s="46" t="s">
        <v>37</v>
      </c>
      <c r="I1067" s="46" t="s">
        <v>42</v>
      </c>
      <c r="J1067" s="46" t="s">
        <v>42</v>
      </c>
      <c r="K1067" s="46" t="s">
        <v>42</v>
      </c>
      <c r="L1067" s="46" t="s">
        <v>42</v>
      </c>
      <c r="M1067" s="46" t="s">
        <v>42</v>
      </c>
      <c r="N1067" s="46" t="s">
        <v>46</v>
      </c>
      <c r="O1067" s="46" t="s">
        <v>37</v>
      </c>
      <c r="P1067" s="46" t="s">
        <v>46</v>
      </c>
      <c r="Q1067" s="46" t="s">
        <v>46</v>
      </c>
      <c r="R1067" s="46" t="s">
        <v>46</v>
      </c>
      <c r="S1067" s="46" t="s">
        <v>46</v>
      </c>
      <c r="T1067" s="46" t="s">
        <v>46</v>
      </c>
      <c r="U1067" s="46" t="s">
        <v>42</v>
      </c>
      <c r="V1067" s="46" t="s">
        <v>37</v>
      </c>
      <c r="W1067" s="46" t="s">
        <v>42</v>
      </c>
      <c r="X1067" s="46" t="s">
        <v>42</v>
      </c>
      <c r="Y1067" s="46" t="s">
        <v>42</v>
      </c>
      <c r="Z1067" s="46" t="s">
        <v>42</v>
      </c>
      <c r="AA1067" s="46" t="s">
        <v>42</v>
      </c>
      <c r="AB1067" s="46" t="s">
        <v>46</v>
      </c>
      <c r="AC1067" s="46" t="s">
        <v>37</v>
      </c>
      <c r="AD1067" s="46" t="s">
        <v>46</v>
      </c>
      <c r="AE1067" s="46" t="s">
        <v>46</v>
      </c>
      <c r="AF1067" s="46" t="s">
        <v>46</v>
      </c>
      <c r="AG1067" s="46" t="s">
        <v>46</v>
      </c>
      <c r="AH1067" s="46" t="s">
        <v>43</v>
      </c>
      <c r="AI1067" s="46" t="s">
        <v>42</v>
      </c>
      <c r="AJ1067" s="46">
        <f>=SUM(E1068:AI1068)</f>
      </c>
      <c r="AK1067" s="46">
        <f>=+AY1067</f>
      </c>
      <c r="AL1067" s="46"/>
      <c r="AM1067" s="1"/>
      <c r="AN1067" s="1">
        <f>=COUNTIF(E1067:AI1067,"A")+COUNTIF(E1067:AI1067,"B")+COUNTIF(E1067:AI1067,"C")+COUNTIF(E1067:AI1067,"D")+COUNTIF(E1067:AI1067,"E")+COUNTIF(E1067:AI1067,"F")+COUNTIF(E1067:AI1067,"M")+COUNTIF(E1067:AI1067,"AB")+COUNTIF(E1067:AI1067,"UZ")+COUNTIF(E1067:AI1067,"G")+(COUNTIF(E1067:AI1067,"RT.")/2)+(COUNTIF(E1067:AI1067,"ÇRT.")/2)</f>
      </c>
      <c r="AO1067" s="1">
        <f>=COUNTIF(E1067:AI1067,"O")</f>
      </c>
      <c r="AP1067" s="1">
        <f>=COUNTIF(E1067:AI1067,"RT")+(COUNTIF(E1067:AI1067,"RT.")/2)</f>
      </c>
      <c r="AQ1067" s="1">
        <f>=COUNTIF(E1067:AI1067,"ÇRT")+(COUNTIF(E1067:AI1067,"ÇRT.")/2)</f>
      </c>
      <c r="AR1067" s="1">
        <f>=COUNTIF(E1067:AI1067,"ÇHT")</f>
      </c>
      <c r="AS1067" s="1">
        <f>=COUNTIF(E1067:AI1067,"Ö")+COUNTIF(E1067:AI1067,"T")</f>
      </c>
      <c r="AT1067" s="1">
        <f>=COUNTIF(E1067:AI1067,"Y")</f>
      </c>
      <c r="AU1067" s="1">
        <f>=COUNTIF(E1067:AI1067,"R.")</f>
      </c>
      <c r="AV1067" s="1">
        <f>=COUNTIF(E1067:AI1067,"Ü")</f>
      </c>
      <c r="AW1067" s="1">
        <f>=COUNTIF(E1067:AI1067,"R")</f>
      </c>
      <c r="AX1067" s="1">
        <f>=COUNTIF(E1067:AI1067,"DV")</f>
      </c>
      <c r="AY1067" s="1">
        <f>=+AN1067+AO1067+AP1067+AQ1067+AR1067+AS1067+AT1067+AU1067</f>
      </c>
    </row>
    <row r="1068" ht="16" customHeight="1" spans="1:51" x14ac:dyDescent="0.25">
      <c r="A1068" s="45"/>
      <c r="B1068" s="46"/>
      <c r="C1068" s="46"/>
      <c r="D1068" s="46" t="s">
        <v>33</v>
      </c>
      <c r="E1068" s="46"/>
      <c r="F1068" s="46"/>
      <c r="G1068" s="46"/>
      <c r="H1068" s="46"/>
      <c r="I1068" s="46"/>
      <c r="J1068" s="46"/>
      <c r="K1068" s="46"/>
      <c r="L1068" s="46"/>
      <c r="M1068" s="46"/>
      <c r="N1068" s="46"/>
      <c r="O1068" s="46"/>
      <c r="P1068" s="46"/>
      <c r="Q1068" s="46"/>
      <c r="R1068" s="46"/>
      <c r="S1068" s="46"/>
      <c r="T1068" s="46"/>
      <c r="U1068" s="46"/>
      <c r="V1068" s="46"/>
      <c r="W1068" s="46"/>
      <c r="X1068" s="46"/>
      <c r="Y1068" s="46"/>
      <c r="Z1068" s="46"/>
      <c r="AA1068" s="46"/>
      <c r="AB1068" s="46"/>
      <c r="AC1068" s="46"/>
      <c r="AD1068" s="46"/>
      <c r="AE1068" s="46"/>
      <c r="AF1068" s="46"/>
      <c r="AG1068" s="46"/>
      <c r="AH1068" s="46"/>
      <c r="AI1068" s="46"/>
      <c r="AJ1068" s="46"/>
      <c r="AK1068" s="46"/>
      <c r="AL1068" s="46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</row>
    <row r="1069" ht="16" customHeight="1" spans="1:51" x14ac:dyDescent="0.25">
      <c r="A1069" s="45"/>
      <c r="B1069" s="46" t="s">
        <v>1118</v>
      </c>
      <c r="C1069" s="46" t="s">
        <v>1119</v>
      </c>
      <c r="D1069" s="46" t="s">
        <v>29</v>
      </c>
      <c r="E1069" s="46" t="s">
        <v>46</v>
      </c>
      <c r="F1069" s="46" t="s">
        <v>46</v>
      </c>
      <c r="G1069" s="46" t="s">
        <v>42</v>
      </c>
      <c r="H1069" s="46" t="s">
        <v>42</v>
      </c>
      <c r="I1069" s="46" t="s">
        <v>42</v>
      </c>
      <c r="J1069" s="46" t="s">
        <v>37</v>
      </c>
      <c r="K1069" s="46" t="s">
        <v>42</v>
      </c>
      <c r="L1069" s="46" t="s">
        <v>42</v>
      </c>
      <c r="M1069" s="46" t="s">
        <v>42</v>
      </c>
      <c r="N1069" s="46" t="s">
        <v>46</v>
      </c>
      <c r="O1069" s="46" t="s">
        <v>46</v>
      </c>
      <c r="P1069" s="46" t="s">
        <v>46</v>
      </c>
      <c r="Q1069" s="46" t="s">
        <v>37</v>
      </c>
      <c r="R1069" s="46" t="s">
        <v>46</v>
      </c>
      <c r="S1069" s="46" t="s">
        <v>46</v>
      </c>
      <c r="T1069" s="46" t="s">
        <v>42</v>
      </c>
      <c r="U1069" s="46" t="s">
        <v>46</v>
      </c>
      <c r="V1069" s="46" t="s">
        <v>42</v>
      </c>
      <c r="W1069" s="46" t="s">
        <v>42</v>
      </c>
      <c r="X1069" s="46" t="s">
        <v>37</v>
      </c>
      <c r="Y1069" s="46" t="s">
        <v>42</v>
      </c>
      <c r="Z1069" s="46" t="s">
        <v>42</v>
      </c>
      <c r="AA1069" s="46" t="s">
        <v>42</v>
      </c>
      <c r="AB1069" s="46" t="s">
        <v>46</v>
      </c>
      <c r="AC1069" s="46" t="s">
        <v>46</v>
      </c>
      <c r="AD1069" s="46" t="s">
        <v>46</v>
      </c>
      <c r="AE1069" s="46" t="s">
        <v>37</v>
      </c>
      <c r="AF1069" s="46" t="s">
        <v>46</v>
      </c>
      <c r="AG1069" s="46" t="s">
        <v>46</v>
      </c>
      <c r="AH1069" s="46" t="s">
        <v>43</v>
      </c>
      <c r="AI1069" s="46" t="s">
        <v>42</v>
      </c>
      <c r="AJ1069" s="46">
        <f>=SUM(E1070:AI1070)</f>
      </c>
      <c r="AK1069" s="46">
        <f>=+AY1069</f>
      </c>
      <c r="AL1069" s="46"/>
      <c r="AM1069" s="1"/>
      <c r="AN1069" s="1">
        <f>=COUNTIF(E1069:AI1069,"A")+COUNTIF(E1069:AI1069,"B")+COUNTIF(E1069:AI1069,"C")+COUNTIF(E1069:AI1069,"D")+COUNTIF(E1069:AI1069,"E")+COUNTIF(E1069:AI1069,"F")+COUNTIF(E1069:AI1069,"M")+COUNTIF(E1069:AI1069,"AB")+COUNTIF(E1069:AI1069,"UZ")+COUNTIF(E1069:AI1069,"G")+(COUNTIF(E1069:AI1069,"RT.")/2)+(COUNTIF(E1069:AI1069,"ÇRT.")/2)</f>
      </c>
      <c r="AO1069" s="1">
        <f>=COUNTIF(E1069:AI1069,"O")</f>
      </c>
      <c r="AP1069" s="1">
        <f>=COUNTIF(E1069:AI1069,"RT")+(COUNTIF(E1069:AI1069,"RT.")/2)</f>
      </c>
      <c r="AQ1069" s="1">
        <f>=COUNTIF(E1069:AI1069,"ÇRT")+(COUNTIF(E1069:AI1069,"ÇRT.")/2)</f>
      </c>
      <c r="AR1069" s="1">
        <f>=COUNTIF(E1069:AI1069,"ÇHT")</f>
      </c>
      <c r="AS1069" s="1">
        <f>=COUNTIF(E1069:AI1069,"Ö")+COUNTIF(E1069:AI1069,"T")</f>
      </c>
      <c r="AT1069" s="1">
        <f>=COUNTIF(E1069:AI1069,"Y")</f>
      </c>
      <c r="AU1069" s="1">
        <f>=COUNTIF(E1069:AI1069,"R.")</f>
      </c>
      <c r="AV1069" s="1">
        <f>=COUNTIF(E1069:AI1069,"Ü")</f>
      </c>
      <c r="AW1069" s="1">
        <f>=COUNTIF(E1069:AI1069,"R")</f>
      </c>
      <c r="AX1069" s="1">
        <f>=COUNTIF(E1069:AI1069,"DV")</f>
      </c>
      <c r="AY1069" s="1">
        <f>=+AN1069+AO1069+AP1069+AQ1069+AR1069+AS1069+AT1069+AU1069</f>
      </c>
    </row>
    <row r="1070" ht="16" customHeight="1" spans="1:51" x14ac:dyDescent="0.25">
      <c r="A1070" s="45"/>
      <c r="B1070" s="46"/>
      <c r="C1070" s="46"/>
      <c r="D1070" s="46" t="s">
        <v>33</v>
      </c>
      <c r="E1070" s="46"/>
      <c r="F1070" s="46"/>
      <c r="G1070" s="46"/>
      <c r="H1070" s="46"/>
      <c r="I1070" s="46"/>
      <c r="J1070" s="46"/>
      <c r="K1070" s="46"/>
      <c r="L1070" s="46"/>
      <c r="M1070" s="46"/>
      <c r="N1070" s="46"/>
      <c r="O1070" s="46"/>
      <c r="P1070" s="46"/>
      <c r="Q1070" s="46"/>
      <c r="R1070" s="46"/>
      <c r="S1070" s="46"/>
      <c r="T1070" s="46"/>
      <c r="U1070" s="46"/>
      <c r="V1070" s="46"/>
      <c r="W1070" s="46"/>
      <c r="X1070" s="46"/>
      <c r="Y1070" s="46"/>
      <c r="Z1070" s="46"/>
      <c r="AA1070" s="46"/>
      <c r="AB1070" s="46"/>
      <c r="AC1070" s="46"/>
      <c r="AD1070" s="46"/>
      <c r="AE1070" s="46"/>
      <c r="AF1070" s="46"/>
      <c r="AG1070" s="46"/>
      <c r="AH1070" s="46"/>
      <c r="AI1070" s="46"/>
      <c r="AJ1070" s="46"/>
      <c r="AK1070" s="46"/>
      <c r="AL1070" s="46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</row>
    <row r="1071" ht="16" customHeight="1" spans="1:51" x14ac:dyDescent="0.25">
      <c r="A1071" s="45"/>
      <c r="B1071" s="46" t="s">
        <v>1120</v>
      </c>
      <c r="C1071" s="46" t="s">
        <v>1121</v>
      </c>
      <c r="D1071" s="46" t="s">
        <v>29</v>
      </c>
      <c r="E1071" s="46" t="s">
        <v>46</v>
      </c>
      <c r="F1071" s="46" t="s">
        <v>46</v>
      </c>
      <c r="G1071" s="46" t="s">
        <v>46</v>
      </c>
      <c r="H1071" s="46" t="s">
        <v>46</v>
      </c>
      <c r="I1071" s="46" t="s">
        <v>46</v>
      </c>
      <c r="J1071" s="46" t="s">
        <v>46</v>
      </c>
      <c r="K1071" s="46" t="s">
        <v>37</v>
      </c>
      <c r="L1071" s="46" t="s">
        <v>46</v>
      </c>
      <c r="M1071" s="46" t="s">
        <v>46</v>
      </c>
      <c r="N1071" s="46" t="s">
        <v>42</v>
      </c>
      <c r="O1071" s="46" t="s">
        <v>42</v>
      </c>
      <c r="P1071" s="46" t="s">
        <v>42</v>
      </c>
      <c r="Q1071" s="46" t="s">
        <v>42</v>
      </c>
      <c r="R1071" s="46" t="s">
        <v>37</v>
      </c>
      <c r="S1071" s="46" t="s">
        <v>42</v>
      </c>
      <c r="T1071" s="46" t="s">
        <v>42</v>
      </c>
      <c r="U1071" s="46" t="s">
        <v>46</v>
      </c>
      <c r="V1071" s="46" t="s">
        <v>46</v>
      </c>
      <c r="W1071" s="46" t="s">
        <v>46</v>
      </c>
      <c r="X1071" s="46" t="s">
        <v>46</v>
      </c>
      <c r="Y1071" s="46" t="s">
        <v>37</v>
      </c>
      <c r="Z1071" s="46" t="s">
        <v>46</v>
      </c>
      <c r="AA1071" s="46" t="s">
        <v>46</v>
      </c>
      <c r="AB1071" s="46" t="s">
        <v>42</v>
      </c>
      <c r="AC1071" s="46" t="s">
        <v>42</v>
      </c>
      <c r="AD1071" s="46" t="s">
        <v>42</v>
      </c>
      <c r="AE1071" s="46" t="s">
        <v>42</v>
      </c>
      <c r="AF1071" s="46" t="s">
        <v>37</v>
      </c>
      <c r="AG1071" s="46" t="s">
        <v>42</v>
      </c>
      <c r="AH1071" s="46" t="s">
        <v>43</v>
      </c>
      <c r="AI1071" s="46" t="s">
        <v>46</v>
      </c>
      <c r="AJ1071" s="46">
        <f>=SUM(E1072:AI1072)</f>
      </c>
      <c r="AK1071" s="46">
        <f>=+AY1071</f>
      </c>
      <c r="AL1071" s="46"/>
      <c r="AM1071" s="1"/>
      <c r="AN1071" s="1">
        <f>=COUNTIF(E1071:AI1071,"A")+COUNTIF(E1071:AI1071,"B")+COUNTIF(E1071:AI1071,"C")+COUNTIF(E1071:AI1071,"D")+COUNTIF(E1071:AI1071,"E")+COUNTIF(E1071:AI1071,"F")+COUNTIF(E1071:AI1071,"M")+COUNTIF(E1071:AI1071,"AB")+COUNTIF(E1071:AI1071,"UZ")+COUNTIF(E1071:AI1071,"G")+(COUNTIF(E1071:AI1071,"RT.")/2)+(COUNTIF(E1071:AI1071,"ÇRT.")/2)</f>
      </c>
      <c r="AO1071" s="1">
        <f>=COUNTIF(E1071:AI1071,"O")</f>
      </c>
      <c r="AP1071" s="1">
        <f>=COUNTIF(E1071:AI1071,"RT")+(COUNTIF(E1071:AI1071,"RT.")/2)</f>
      </c>
      <c r="AQ1071" s="1">
        <f>=COUNTIF(E1071:AI1071,"ÇRT")+(COUNTIF(E1071:AI1071,"ÇRT.")/2)</f>
      </c>
      <c r="AR1071" s="1">
        <f>=COUNTIF(E1071:AI1071,"ÇHT")</f>
      </c>
      <c r="AS1071" s="1">
        <f>=COUNTIF(E1071:AI1071,"Ö")+COUNTIF(E1071:AI1071,"T")</f>
      </c>
      <c r="AT1071" s="1">
        <f>=COUNTIF(E1071:AI1071,"Y")</f>
      </c>
      <c r="AU1071" s="1">
        <f>=COUNTIF(E1071:AI1071,"R.")</f>
      </c>
      <c r="AV1071" s="1">
        <f>=COUNTIF(E1071:AI1071,"Ü")</f>
      </c>
      <c r="AW1071" s="1">
        <f>=COUNTIF(E1071:AI1071,"R")</f>
      </c>
      <c r="AX1071" s="1">
        <f>=COUNTIF(E1071:AI1071,"DV")</f>
      </c>
      <c r="AY1071" s="1">
        <f>=+AN1071+AO1071+AP1071+AQ1071+AR1071+AS1071+AT1071+AU1071</f>
      </c>
    </row>
    <row r="1072" ht="16" customHeight="1" spans="1:51" x14ac:dyDescent="0.25">
      <c r="A1072" s="45"/>
      <c r="B1072" s="46"/>
      <c r="C1072" s="46"/>
      <c r="D1072" s="46" t="s">
        <v>33</v>
      </c>
      <c r="E1072" s="46"/>
      <c r="F1072" s="46"/>
      <c r="G1072" s="46"/>
      <c r="H1072" s="46"/>
      <c r="I1072" s="46"/>
      <c r="J1072" s="46"/>
      <c r="K1072" s="46"/>
      <c r="L1072" s="46"/>
      <c r="M1072" s="46"/>
      <c r="N1072" s="46"/>
      <c r="O1072" s="46"/>
      <c r="P1072" s="46"/>
      <c r="Q1072" s="46"/>
      <c r="R1072" s="46"/>
      <c r="S1072" s="46"/>
      <c r="T1072" s="46"/>
      <c r="U1072" s="46"/>
      <c r="V1072" s="46"/>
      <c r="W1072" s="46"/>
      <c r="X1072" s="46"/>
      <c r="Y1072" s="46"/>
      <c r="Z1072" s="46"/>
      <c r="AA1072" s="46"/>
      <c r="AB1072" s="46"/>
      <c r="AC1072" s="46"/>
      <c r="AD1072" s="46"/>
      <c r="AE1072" s="46"/>
      <c r="AF1072" s="46"/>
      <c r="AG1072" s="46"/>
      <c r="AH1072" s="46"/>
      <c r="AI1072" s="46"/>
      <c r="AJ1072" s="46"/>
      <c r="AK1072" s="46"/>
      <c r="AL1072" s="46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</row>
    <row r="1073" ht="16" customHeight="1" spans="1:51" x14ac:dyDescent="0.25">
      <c r="A1073" s="45"/>
      <c r="B1073" s="46" t="s">
        <v>1122</v>
      </c>
      <c r="C1073" s="46" t="s">
        <v>1123</v>
      </c>
      <c r="D1073" s="46" t="s">
        <v>29</v>
      </c>
      <c r="E1073" s="46" t="s">
        <v>46</v>
      </c>
      <c r="F1073" s="46" t="s">
        <v>37</v>
      </c>
      <c r="G1073" s="46" t="s">
        <v>46</v>
      </c>
      <c r="H1073" s="46" t="s">
        <v>46</v>
      </c>
      <c r="I1073" s="46" t="s">
        <v>46</v>
      </c>
      <c r="J1073" s="46" t="s">
        <v>46</v>
      </c>
      <c r="K1073" s="46" t="s">
        <v>46</v>
      </c>
      <c r="L1073" s="46" t="s">
        <v>46</v>
      </c>
      <c r="M1073" s="46" t="s">
        <v>37</v>
      </c>
      <c r="N1073" s="46" t="s">
        <v>46</v>
      </c>
      <c r="O1073" s="46" t="s">
        <v>46</v>
      </c>
      <c r="P1073" s="46" t="s">
        <v>46</v>
      </c>
      <c r="Q1073" s="46" t="s">
        <v>46</v>
      </c>
      <c r="R1073" s="46" t="s">
        <v>46</v>
      </c>
      <c r="S1073" s="46" t="s">
        <v>46</v>
      </c>
      <c r="T1073" s="46" t="s">
        <v>37</v>
      </c>
      <c r="U1073" s="46" t="s">
        <v>46</v>
      </c>
      <c r="V1073" s="46" t="s">
        <v>46</v>
      </c>
      <c r="W1073" s="46" t="s">
        <v>46</v>
      </c>
      <c r="X1073" s="46" t="s">
        <v>46</v>
      </c>
      <c r="Y1073" s="46" t="s">
        <v>46</v>
      </c>
      <c r="Z1073" s="46" t="s">
        <v>46</v>
      </c>
      <c r="AA1073" s="46" t="s">
        <v>37</v>
      </c>
      <c r="AB1073" s="46" t="s">
        <v>46</v>
      </c>
      <c r="AC1073" s="46" t="s">
        <v>46</v>
      </c>
      <c r="AD1073" s="46" t="s">
        <v>42</v>
      </c>
      <c r="AE1073" s="46" t="s">
        <v>42</v>
      </c>
      <c r="AF1073" s="46" t="s">
        <v>42</v>
      </c>
      <c r="AG1073" s="46" t="s">
        <v>46</v>
      </c>
      <c r="AH1073" s="46" t="s">
        <v>37</v>
      </c>
      <c r="AI1073" s="46" t="s">
        <v>46</v>
      </c>
      <c r="AJ1073" s="46">
        <f>=SUM(E1074:AI1074)</f>
      </c>
      <c r="AK1073" s="46">
        <f>=+AY1073</f>
      </c>
      <c r="AL1073" s="46"/>
      <c r="AM1073" s="1"/>
      <c r="AN1073" s="1">
        <f>=COUNTIF(E1073:AI1073,"A")+COUNTIF(E1073:AI1073,"B")+COUNTIF(E1073:AI1073,"C")+COUNTIF(E1073:AI1073,"D")+COUNTIF(E1073:AI1073,"E")+COUNTIF(E1073:AI1073,"F")+COUNTIF(E1073:AI1073,"M")+COUNTIF(E1073:AI1073,"AB")+COUNTIF(E1073:AI1073,"UZ")+COUNTIF(E1073:AI1073,"G")+(COUNTIF(E1073:AI1073,"RT.")/2)+(COUNTIF(E1073:AI1073,"ÇRT.")/2)</f>
      </c>
      <c r="AO1073" s="1">
        <f>=COUNTIF(E1073:AI1073,"O")</f>
      </c>
      <c r="AP1073" s="1">
        <f>=COUNTIF(E1073:AI1073,"RT")+(COUNTIF(E1073:AI1073,"RT.")/2)</f>
      </c>
      <c r="AQ1073" s="1">
        <f>=COUNTIF(E1073:AI1073,"ÇRT")+(COUNTIF(E1073:AI1073,"ÇRT.")/2)</f>
      </c>
      <c r="AR1073" s="1">
        <f>=COUNTIF(E1073:AI1073,"ÇHT")</f>
      </c>
      <c r="AS1073" s="1">
        <f>=COUNTIF(E1073:AI1073,"Ö")+COUNTIF(E1073:AI1073,"T")</f>
      </c>
      <c r="AT1073" s="1">
        <f>=COUNTIF(E1073:AI1073,"Y")</f>
      </c>
      <c r="AU1073" s="1">
        <f>=COUNTIF(E1073:AI1073,"R.")</f>
      </c>
      <c r="AV1073" s="1">
        <f>=COUNTIF(E1073:AI1073,"Ü")</f>
      </c>
      <c r="AW1073" s="1">
        <f>=COUNTIF(E1073:AI1073,"R")</f>
      </c>
      <c r="AX1073" s="1">
        <f>=COUNTIF(E1073:AI1073,"DV")</f>
      </c>
      <c r="AY1073" s="1">
        <f>=+AN1073+AO1073+AP1073+AQ1073+AR1073+AS1073+AT1073+AU1073</f>
      </c>
    </row>
    <row r="1074" ht="16" customHeight="1" spans="1:51" x14ac:dyDescent="0.25">
      <c r="A1074" s="45"/>
      <c r="B1074" s="46"/>
      <c r="C1074" s="46"/>
      <c r="D1074" s="46" t="s">
        <v>33</v>
      </c>
      <c r="E1074" s="46"/>
      <c r="F1074" s="46"/>
      <c r="G1074" s="46"/>
      <c r="H1074" s="46"/>
      <c r="I1074" s="46"/>
      <c r="J1074" s="46"/>
      <c r="K1074" s="46"/>
      <c r="L1074" s="46"/>
      <c r="M1074" s="46"/>
      <c r="N1074" s="46"/>
      <c r="O1074" s="46"/>
      <c r="P1074" s="46"/>
      <c r="Q1074" s="46"/>
      <c r="R1074" s="46"/>
      <c r="S1074" s="46"/>
      <c r="T1074" s="46"/>
      <c r="U1074" s="46"/>
      <c r="V1074" s="46"/>
      <c r="W1074" s="46"/>
      <c r="X1074" s="46"/>
      <c r="Y1074" s="46"/>
      <c r="Z1074" s="46"/>
      <c r="AA1074" s="46"/>
      <c r="AB1074" s="46"/>
      <c r="AC1074" s="46"/>
      <c r="AD1074" s="46"/>
      <c r="AE1074" s="46"/>
      <c r="AF1074" s="46"/>
      <c r="AG1074" s="46"/>
      <c r="AH1074" s="46"/>
      <c r="AI1074" s="46"/>
      <c r="AJ1074" s="46"/>
      <c r="AK1074" s="46"/>
      <c r="AL1074" s="46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</row>
    <row r="1075" ht="16" customHeight="1" spans="1:51" x14ac:dyDescent="0.25">
      <c r="A1075" s="45"/>
      <c r="B1075" s="46" t="s">
        <v>1124</v>
      </c>
      <c r="C1075" s="46" t="s">
        <v>1125</v>
      </c>
      <c r="D1075" s="46" t="s">
        <v>29</v>
      </c>
      <c r="E1075" s="46"/>
      <c r="F1075" s="46"/>
      <c r="G1075" s="46"/>
      <c r="H1075" s="46"/>
      <c r="I1075" s="46"/>
      <c r="J1075" s="46"/>
      <c r="K1075" s="46"/>
      <c r="L1075" s="46"/>
      <c r="M1075" s="46"/>
      <c r="N1075" s="46"/>
      <c r="O1075" s="46"/>
      <c r="P1075" s="46"/>
      <c r="Q1075" s="46" t="s">
        <v>46</v>
      </c>
      <c r="R1075" s="46" t="s">
        <v>42</v>
      </c>
      <c r="S1075" s="46" t="s">
        <v>42</v>
      </c>
      <c r="T1075" s="46" t="s">
        <v>42</v>
      </c>
      <c r="U1075" s="46" t="s">
        <v>42</v>
      </c>
      <c r="V1075" s="46" t="s">
        <v>42</v>
      </c>
      <c r="W1075" s="46" t="s">
        <v>42</v>
      </c>
      <c r="X1075" s="46" t="s">
        <v>42</v>
      </c>
      <c r="Y1075" s="46" t="s">
        <v>42</v>
      </c>
      <c r="Z1075" s="46" t="s">
        <v>37</v>
      </c>
      <c r="AA1075" s="46" t="s">
        <v>46</v>
      </c>
      <c r="AB1075" s="46" t="s">
        <v>42</v>
      </c>
      <c r="AC1075" s="46" t="s">
        <v>46</v>
      </c>
      <c r="AD1075" s="46" t="s">
        <v>46</v>
      </c>
      <c r="AE1075" s="46" t="s">
        <v>37</v>
      </c>
      <c r="AF1075" s="46" t="s">
        <v>46</v>
      </c>
      <c r="AG1075" s="46" t="s">
        <v>46</v>
      </c>
      <c r="AH1075" s="46" t="s">
        <v>43</v>
      </c>
      <c r="AI1075" s="46" t="s">
        <v>42</v>
      </c>
      <c r="AJ1075" s="46">
        <f>=SUM(E1076:AI1076)</f>
      </c>
      <c r="AK1075" s="46">
        <f>=+AY1075</f>
      </c>
      <c r="AL1075" s="46"/>
      <c r="AM1075" s="1"/>
      <c r="AN1075" s="1">
        <f>=COUNTIF(E1075:AI1075,"A")+COUNTIF(E1075:AI1075,"B")+COUNTIF(E1075:AI1075,"C")+COUNTIF(E1075:AI1075,"D")+COUNTIF(E1075:AI1075,"E")+COUNTIF(E1075:AI1075,"F")+COUNTIF(E1075:AI1075,"M")+COUNTIF(E1075:AI1075,"AB")+COUNTIF(E1075:AI1075,"UZ")+COUNTIF(E1075:AI1075,"G")+(COUNTIF(E1075:AI1075,"RT.")/2)+(COUNTIF(E1075:AI1075,"ÇRT.")/2)</f>
      </c>
      <c r="AO1075" s="1">
        <f>=COUNTIF(E1075:AI1075,"O")</f>
      </c>
      <c r="AP1075" s="1">
        <f>=COUNTIF(E1075:AI1075,"RT")+(COUNTIF(E1075:AI1075,"RT.")/2)</f>
      </c>
      <c r="AQ1075" s="1">
        <f>=COUNTIF(E1075:AI1075,"ÇRT")+(COUNTIF(E1075:AI1075,"ÇRT.")/2)</f>
      </c>
      <c r="AR1075" s="1">
        <f>=COUNTIF(E1075:AI1075,"ÇHT")</f>
      </c>
      <c r="AS1075" s="1">
        <f>=COUNTIF(E1075:AI1075,"Ö")+COUNTIF(E1075:AI1075,"T")</f>
      </c>
      <c r="AT1075" s="1">
        <f>=COUNTIF(E1075:AI1075,"Y")</f>
      </c>
      <c r="AU1075" s="1">
        <f>=COUNTIF(E1075:AI1075,"R.")</f>
      </c>
      <c r="AV1075" s="1">
        <f>=COUNTIF(E1075:AI1075,"Ü")</f>
      </c>
      <c r="AW1075" s="1">
        <f>=COUNTIF(E1075:AI1075,"R")</f>
      </c>
      <c r="AX1075" s="1">
        <f>=COUNTIF(E1075:AI1075,"DV")</f>
      </c>
      <c r="AY1075" s="1">
        <f>=+AN1075+AO1075+AP1075+AQ1075+AR1075+AS1075+AT1075+AU1075</f>
      </c>
    </row>
    <row r="1076" ht="16" customHeight="1" spans="1:51" x14ac:dyDescent="0.25">
      <c r="A1076" s="45"/>
      <c r="B1076" s="46"/>
      <c r="C1076" s="46"/>
      <c r="D1076" s="46" t="s">
        <v>33</v>
      </c>
      <c r="E1076" s="46"/>
      <c r="F1076" s="46"/>
      <c r="G1076" s="46"/>
      <c r="H1076" s="46"/>
      <c r="I1076" s="46"/>
      <c r="J1076" s="46"/>
      <c r="K1076" s="46"/>
      <c r="L1076" s="46"/>
      <c r="M1076" s="46"/>
      <c r="N1076" s="46"/>
      <c r="O1076" s="46"/>
      <c r="P1076" s="46"/>
      <c r="Q1076" s="46"/>
      <c r="R1076" s="46"/>
      <c r="S1076" s="46"/>
      <c r="T1076" s="46"/>
      <c r="U1076" s="46"/>
      <c r="V1076" s="46"/>
      <c r="W1076" s="46"/>
      <c r="X1076" s="46"/>
      <c r="Y1076" s="46"/>
      <c r="Z1076" s="46"/>
      <c r="AA1076" s="46"/>
      <c r="AB1076" s="46"/>
      <c r="AC1076" s="46"/>
      <c r="AD1076" s="46"/>
      <c r="AE1076" s="46"/>
      <c r="AF1076" s="46"/>
      <c r="AG1076" s="46"/>
      <c r="AH1076" s="46"/>
      <c r="AI1076" s="46"/>
      <c r="AJ1076" s="46"/>
      <c r="AK1076" s="46"/>
      <c r="AL1076" s="46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</row>
    <row r="1077" ht="16" customHeight="1" spans="1:51" x14ac:dyDescent="0.25">
      <c r="A1077" s="45"/>
      <c r="B1077" s="46" t="s">
        <v>1126</v>
      </c>
      <c r="C1077" s="46" t="s">
        <v>1127</v>
      </c>
      <c r="D1077" s="46" t="s">
        <v>29</v>
      </c>
      <c r="E1077" s="46" t="s">
        <v>42</v>
      </c>
      <c r="F1077" s="46" t="s">
        <v>42</v>
      </c>
      <c r="G1077" s="46" t="s">
        <v>46</v>
      </c>
      <c r="H1077" s="46" t="s">
        <v>46</v>
      </c>
      <c r="I1077" s="46" t="s">
        <v>46</v>
      </c>
      <c r="J1077" s="46" t="s">
        <v>42</v>
      </c>
      <c r="K1077" s="46" t="s">
        <v>46</v>
      </c>
      <c r="L1077" s="46" t="s">
        <v>37</v>
      </c>
      <c r="M1077" s="46" t="s">
        <v>46</v>
      </c>
      <c r="N1077" s="46" t="s">
        <v>46</v>
      </c>
      <c r="O1077" s="46" t="s">
        <v>46</v>
      </c>
      <c r="P1077" s="46" t="s">
        <v>46</v>
      </c>
      <c r="Q1077" s="46" t="s">
        <v>42</v>
      </c>
      <c r="R1077" s="46" t="s">
        <v>46</v>
      </c>
      <c r="S1077" s="46" t="s">
        <v>37</v>
      </c>
      <c r="T1077" s="46" t="s">
        <v>46</v>
      </c>
      <c r="U1077" s="46" t="s">
        <v>46</v>
      </c>
      <c r="V1077" s="46" t="s">
        <v>46</v>
      </c>
      <c r="W1077" s="46" t="s">
        <v>46</v>
      </c>
      <c r="X1077" s="46" t="s">
        <v>42</v>
      </c>
      <c r="Y1077" s="46" t="s">
        <v>42</v>
      </c>
      <c r="Z1077" s="46" t="s">
        <v>37</v>
      </c>
      <c r="AA1077" s="46" t="s">
        <v>46</v>
      </c>
      <c r="AB1077" s="46" t="s">
        <v>46</v>
      </c>
      <c r="AC1077" s="46" t="s">
        <v>46</v>
      </c>
      <c r="AD1077" s="46" t="s">
        <v>46</v>
      </c>
      <c r="AE1077" s="46" t="s">
        <v>42</v>
      </c>
      <c r="AF1077" s="46" t="s">
        <v>46</v>
      </c>
      <c r="AG1077" s="46" t="s">
        <v>37</v>
      </c>
      <c r="AH1077" s="46" t="s">
        <v>43</v>
      </c>
      <c r="AI1077" s="46" t="s">
        <v>46</v>
      </c>
      <c r="AJ1077" s="46">
        <f>=SUM(E1078:AI1078)</f>
      </c>
      <c r="AK1077" s="46">
        <f>=+AY1077</f>
      </c>
      <c r="AL1077" s="46"/>
      <c r="AM1077" s="1"/>
      <c r="AN1077" s="1">
        <f>=COUNTIF(E1077:AI1077,"A")+COUNTIF(E1077:AI1077,"B")+COUNTIF(E1077:AI1077,"C")+COUNTIF(E1077:AI1077,"D")+COUNTIF(E1077:AI1077,"E")+COUNTIF(E1077:AI1077,"F")+COUNTIF(E1077:AI1077,"M")+COUNTIF(E1077:AI1077,"AB")+COUNTIF(E1077:AI1077,"UZ")+COUNTIF(E1077:AI1077,"G")+(COUNTIF(E1077:AI1077,"RT.")/2)+(COUNTIF(E1077:AI1077,"ÇRT.")/2)</f>
      </c>
      <c r="AO1077" s="1">
        <f>=COUNTIF(E1077:AI1077,"O")</f>
      </c>
      <c r="AP1077" s="1">
        <f>=COUNTIF(E1077:AI1077,"RT")+(COUNTIF(E1077:AI1077,"RT.")/2)</f>
      </c>
      <c r="AQ1077" s="1">
        <f>=COUNTIF(E1077:AI1077,"ÇRT")+(COUNTIF(E1077:AI1077,"ÇRT.")/2)</f>
      </c>
      <c r="AR1077" s="1">
        <f>=COUNTIF(E1077:AI1077,"ÇHT")</f>
      </c>
      <c r="AS1077" s="1">
        <f>=COUNTIF(E1077:AI1077,"Ö")+COUNTIF(E1077:AI1077,"T")</f>
      </c>
      <c r="AT1077" s="1">
        <f>=COUNTIF(E1077:AI1077,"Y")</f>
      </c>
      <c r="AU1077" s="1">
        <f>=COUNTIF(E1077:AI1077,"R.")</f>
      </c>
      <c r="AV1077" s="1">
        <f>=COUNTIF(E1077:AI1077,"Ü")</f>
      </c>
      <c r="AW1077" s="1">
        <f>=COUNTIF(E1077:AI1077,"R")</f>
      </c>
      <c r="AX1077" s="1">
        <f>=COUNTIF(E1077:AI1077,"DV")</f>
      </c>
      <c r="AY1077" s="1">
        <f>=+AN1077+AO1077+AP1077+AQ1077+AR1077+AS1077+AT1077+AU1077</f>
      </c>
    </row>
    <row r="1078" ht="16" customHeight="1" spans="1:51" x14ac:dyDescent="0.25">
      <c r="A1078" s="45"/>
      <c r="B1078" s="46"/>
      <c r="C1078" s="46"/>
      <c r="D1078" s="46" t="s">
        <v>33</v>
      </c>
      <c r="E1078" s="46"/>
      <c r="F1078" s="46"/>
      <c r="G1078" s="46"/>
      <c r="H1078" s="46"/>
      <c r="I1078" s="46"/>
      <c r="J1078" s="46"/>
      <c r="K1078" s="46"/>
      <c r="L1078" s="46"/>
      <c r="M1078" s="46"/>
      <c r="N1078" s="46"/>
      <c r="O1078" s="46"/>
      <c r="P1078" s="46"/>
      <c r="Q1078" s="46"/>
      <c r="R1078" s="46"/>
      <c r="S1078" s="46"/>
      <c r="T1078" s="46"/>
      <c r="U1078" s="46"/>
      <c r="V1078" s="46"/>
      <c r="W1078" s="46"/>
      <c r="X1078" s="46"/>
      <c r="Y1078" s="46"/>
      <c r="Z1078" s="46"/>
      <c r="AA1078" s="46"/>
      <c r="AB1078" s="46"/>
      <c r="AC1078" s="46"/>
      <c r="AD1078" s="46"/>
      <c r="AE1078" s="46"/>
      <c r="AF1078" s="46"/>
      <c r="AG1078" s="46"/>
      <c r="AH1078" s="46"/>
      <c r="AI1078" s="46"/>
      <c r="AJ1078" s="46"/>
      <c r="AK1078" s="46"/>
      <c r="AL1078" s="46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</row>
    <row r="1079" ht="16" customHeight="1" spans="1:51" x14ac:dyDescent="0.25">
      <c r="A1079" s="45"/>
      <c r="B1079" s="46" t="s">
        <v>1128</v>
      </c>
      <c r="C1079" s="46" t="s">
        <v>1129</v>
      </c>
      <c r="D1079" s="46" t="s">
        <v>29</v>
      </c>
      <c r="E1079" s="46" t="s">
        <v>37</v>
      </c>
      <c r="F1079" s="46" t="s">
        <v>42</v>
      </c>
      <c r="G1079" s="46" t="s">
        <v>42</v>
      </c>
      <c r="H1079" s="46" t="s">
        <v>42</v>
      </c>
      <c r="I1079" s="46" t="s">
        <v>42</v>
      </c>
      <c r="J1079" s="46" t="s">
        <v>37</v>
      </c>
      <c r="K1079" s="46" t="s">
        <v>42</v>
      </c>
      <c r="L1079" s="46" t="s">
        <v>42</v>
      </c>
      <c r="M1079" s="46" t="s">
        <v>42</v>
      </c>
      <c r="N1079" s="46" t="s">
        <v>42</v>
      </c>
      <c r="O1079" s="46" t="s">
        <v>42</v>
      </c>
      <c r="P1079" s="46" t="s">
        <v>42</v>
      </c>
      <c r="Q1079" s="46" t="s">
        <v>37</v>
      </c>
      <c r="R1079" s="46" t="s">
        <v>42</v>
      </c>
      <c r="S1079" s="46" t="s">
        <v>42</v>
      </c>
      <c r="T1079" s="46" t="s">
        <v>42</v>
      </c>
      <c r="U1079" s="46" t="s">
        <v>42</v>
      </c>
      <c r="V1079" s="46" t="s">
        <v>42</v>
      </c>
      <c r="W1079" s="46" t="s">
        <v>42</v>
      </c>
      <c r="X1079" s="46" t="s">
        <v>37</v>
      </c>
      <c r="Y1079" s="46" t="s">
        <v>42</v>
      </c>
      <c r="Z1079" s="46" t="s">
        <v>42</v>
      </c>
      <c r="AA1079" s="46" t="s">
        <v>42</v>
      </c>
      <c r="AB1079" s="46" t="s">
        <v>42</v>
      </c>
      <c r="AC1079" s="46" t="s">
        <v>42</v>
      </c>
      <c r="AD1079" s="46" t="s">
        <v>42</v>
      </c>
      <c r="AE1079" s="46" t="s">
        <v>37</v>
      </c>
      <c r="AF1079" s="46" t="s">
        <v>42</v>
      </c>
      <c r="AG1079" s="46" t="s">
        <v>42</v>
      </c>
      <c r="AH1079" s="46" t="s">
        <v>43</v>
      </c>
      <c r="AI1079" s="46" t="s">
        <v>42</v>
      </c>
      <c r="AJ1079" s="46">
        <f>=SUM(E1080:AI1080)</f>
      </c>
      <c r="AK1079" s="46">
        <f>=+AY1079</f>
      </c>
      <c r="AL1079" s="46"/>
      <c r="AM1079" s="1"/>
      <c r="AN1079" s="1">
        <f>=COUNTIF(E1079:AI1079,"A")+COUNTIF(E1079:AI1079,"B")+COUNTIF(E1079:AI1079,"C")+COUNTIF(E1079:AI1079,"D")+COUNTIF(E1079:AI1079,"E")+COUNTIF(E1079:AI1079,"F")+COUNTIF(E1079:AI1079,"M")+COUNTIF(E1079:AI1079,"AB")+COUNTIF(E1079:AI1079,"UZ")+COUNTIF(E1079:AI1079,"G")+(COUNTIF(E1079:AI1079,"RT.")/2)+(COUNTIF(E1079:AI1079,"ÇRT.")/2)</f>
      </c>
      <c r="AO1079" s="1">
        <f>=COUNTIF(E1079:AI1079,"O")</f>
      </c>
      <c r="AP1079" s="1">
        <f>=COUNTIF(E1079:AI1079,"RT")+(COUNTIF(E1079:AI1079,"RT.")/2)</f>
      </c>
      <c r="AQ1079" s="1">
        <f>=COUNTIF(E1079:AI1079,"ÇRT")+(COUNTIF(E1079:AI1079,"ÇRT.")/2)</f>
      </c>
      <c r="AR1079" s="1">
        <f>=COUNTIF(E1079:AI1079,"ÇHT")</f>
      </c>
      <c r="AS1079" s="1">
        <f>=COUNTIF(E1079:AI1079,"Ö")+COUNTIF(E1079:AI1079,"T")</f>
      </c>
      <c r="AT1079" s="1">
        <f>=COUNTIF(E1079:AI1079,"Y")</f>
      </c>
      <c r="AU1079" s="1">
        <f>=COUNTIF(E1079:AI1079,"R.")</f>
      </c>
      <c r="AV1079" s="1">
        <f>=COUNTIF(E1079:AI1079,"Ü")</f>
      </c>
      <c r="AW1079" s="1">
        <f>=COUNTIF(E1079:AI1079,"R")</f>
      </c>
      <c r="AX1079" s="1">
        <f>=COUNTIF(E1079:AI1079,"DV")</f>
      </c>
      <c r="AY1079" s="1">
        <f>=+AN1079+AO1079+AP1079+AQ1079+AR1079+AS1079+AT1079+AU1079</f>
      </c>
    </row>
    <row r="1080" ht="16" customHeight="1" spans="1:51" x14ac:dyDescent="0.25">
      <c r="A1080" s="45"/>
      <c r="B1080" s="46"/>
      <c r="C1080" s="46"/>
      <c r="D1080" s="46" t="s">
        <v>33</v>
      </c>
      <c r="E1080" s="46"/>
      <c r="F1080" s="46"/>
      <c r="G1080" s="46"/>
      <c r="H1080" s="46"/>
      <c r="I1080" s="46"/>
      <c r="J1080" s="46"/>
      <c r="K1080" s="46"/>
      <c r="L1080" s="46"/>
      <c r="M1080" s="46"/>
      <c r="N1080" s="46"/>
      <c r="O1080" s="46"/>
      <c r="P1080" s="46"/>
      <c r="Q1080" s="46"/>
      <c r="R1080" s="46"/>
      <c r="S1080" s="46"/>
      <c r="T1080" s="46"/>
      <c r="U1080" s="46"/>
      <c r="V1080" s="46"/>
      <c r="W1080" s="46"/>
      <c r="X1080" s="46"/>
      <c r="Y1080" s="46"/>
      <c r="Z1080" s="46"/>
      <c r="AA1080" s="46"/>
      <c r="AB1080" s="46"/>
      <c r="AC1080" s="46"/>
      <c r="AD1080" s="46"/>
      <c r="AE1080" s="46"/>
      <c r="AF1080" s="46"/>
      <c r="AG1080" s="46"/>
      <c r="AH1080" s="46"/>
      <c r="AI1080" s="46"/>
      <c r="AJ1080" s="46"/>
      <c r="AK1080" s="46"/>
      <c r="AL1080" s="46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</row>
    <row r="1081" ht="16" customHeight="1" spans="1:51" x14ac:dyDescent="0.25">
      <c r="A1081" s="45"/>
      <c r="B1081" s="46" t="s">
        <v>1130</v>
      </c>
      <c r="C1081" s="46" t="s">
        <v>1131</v>
      </c>
      <c r="D1081" s="46" t="s">
        <v>29</v>
      </c>
      <c r="E1081" s="46" t="s">
        <v>46</v>
      </c>
      <c r="F1081" s="46" t="s">
        <v>46</v>
      </c>
      <c r="G1081" s="46" t="s">
        <v>36</v>
      </c>
      <c r="H1081" s="46" t="s">
        <v>36</v>
      </c>
      <c r="I1081" s="46" t="s">
        <v>37</v>
      </c>
      <c r="J1081" s="46" t="s">
        <v>36</v>
      </c>
      <c r="K1081" s="46" t="s">
        <v>36</v>
      </c>
      <c r="L1081" s="46" t="s">
        <v>36</v>
      </c>
      <c r="M1081" s="46" t="s">
        <v>36</v>
      </c>
      <c r="N1081" s="46" t="s">
        <v>46</v>
      </c>
      <c r="O1081" s="46" t="s">
        <v>46</v>
      </c>
      <c r="P1081" s="46" t="s">
        <v>46</v>
      </c>
      <c r="Q1081" s="46" t="s">
        <v>37</v>
      </c>
      <c r="R1081" s="46" t="s">
        <v>46</v>
      </c>
      <c r="S1081" s="46" t="s">
        <v>46</v>
      </c>
      <c r="T1081" s="46" t="s">
        <v>46</v>
      </c>
      <c r="U1081" s="46" t="s">
        <v>36</v>
      </c>
      <c r="V1081" s="46" t="s">
        <v>46</v>
      </c>
      <c r="W1081" s="46" t="s">
        <v>36</v>
      </c>
      <c r="X1081" s="46" t="s">
        <v>37</v>
      </c>
      <c r="Y1081" s="46" t="s">
        <v>36</v>
      </c>
      <c r="Z1081" s="46" t="s">
        <v>36</v>
      </c>
      <c r="AA1081" s="46" t="s">
        <v>36</v>
      </c>
      <c r="AB1081" s="46" t="s">
        <v>46</v>
      </c>
      <c r="AC1081" s="46" t="s">
        <v>46</v>
      </c>
      <c r="AD1081" s="46" t="s">
        <v>46</v>
      </c>
      <c r="AE1081" s="46" t="s">
        <v>37</v>
      </c>
      <c r="AF1081" s="46" t="s">
        <v>46</v>
      </c>
      <c r="AG1081" s="46" t="s">
        <v>46</v>
      </c>
      <c r="AH1081" s="46" t="s">
        <v>43</v>
      </c>
      <c r="AI1081" s="46" t="s">
        <v>46</v>
      </c>
      <c r="AJ1081" s="46">
        <f>=SUM(E1082:AI1082)</f>
      </c>
      <c r="AK1081" s="46">
        <f>=+AY1081</f>
      </c>
      <c r="AL1081" s="46"/>
      <c r="AM1081" s="1"/>
      <c r="AN1081" s="1">
        <f>=COUNTIF(E1081:AI1081,"A")+COUNTIF(E1081:AI1081,"B")+COUNTIF(E1081:AI1081,"C")+COUNTIF(E1081:AI1081,"D")+COUNTIF(E1081:AI1081,"E")+COUNTIF(E1081:AI1081,"F")+COUNTIF(E1081:AI1081,"M")+COUNTIF(E1081:AI1081,"AB")+COUNTIF(E1081:AI1081,"UZ")+COUNTIF(E1081:AI1081,"G")+(COUNTIF(E1081:AI1081,"RT.")/2)+(COUNTIF(E1081:AI1081,"ÇRT.")/2)</f>
      </c>
      <c r="AO1081" s="1">
        <f>=COUNTIF(E1081:AI1081,"O")</f>
      </c>
      <c r="AP1081" s="1">
        <f>=COUNTIF(E1081:AI1081,"RT")+(COUNTIF(E1081:AI1081,"RT.")/2)</f>
      </c>
      <c r="AQ1081" s="1">
        <f>=COUNTIF(E1081:AI1081,"ÇRT")+(COUNTIF(E1081:AI1081,"ÇRT.")/2)</f>
      </c>
      <c r="AR1081" s="1">
        <f>=COUNTIF(E1081:AI1081,"ÇHT")</f>
      </c>
      <c r="AS1081" s="1">
        <f>=COUNTIF(E1081:AI1081,"Ö")+COUNTIF(E1081:AI1081,"T")</f>
      </c>
      <c r="AT1081" s="1">
        <f>=COUNTIF(E1081:AI1081,"Y")</f>
      </c>
      <c r="AU1081" s="1">
        <f>=COUNTIF(E1081:AI1081,"R.")</f>
      </c>
      <c r="AV1081" s="1">
        <f>=COUNTIF(E1081:AI1081,"Ü")</f>
      </c>
      <c r="AW1081" s="1">
        <f>=COUNTIF(E1081:AI1081,"R")</f>
      </c>
      <c r="AX1081" s="1">
        <f>=COUNTIF(E1081:AI1081,"DV")</f>
      </c>
      <c r="AY1081" s="1">
        <f>=+AN1081+AO1081+AP1081+AQ1081+AR1081+AS1081+AT1081+AU1081</f>
      </c>
    </row>
    <row r="1082" ht="16" customHeight="1" spans="1:51" x14ac:dyDescent="0.25">
      <c r="A1082" s="45"/>
      <c r="B1082" s="46"/>
      <c r="C1082" s="46"/>
      <c r="D1082" s="46" t="s">
        <v>33</v>
      </c>
      <c r="E1082" s="46"/>
      <c r="F1082" s="46"/>
      <c r="G1082" s="46"/>
      <c r="H1082" s="46"/>
      <c r="I1082" s="46"/>
      <c r="J1082" s="46"/>
      <c r="K1082" s="46"/>
      <c r="L1082" s="46"/>
      <c r="M1082" s="46"/>
      <c r="N1082" s="46"/>
      <c r="O1082" s="46"/>
      <c r="P1082" s="46"/>
      <c r="Q1082" s="46"/>
      <c r="R1082" s="46"/>
      <c r="S1082" s="46"/>
      <c r="T1082" s="46"/>
      <c r="U1082" s="46"/>
      <c r="V1082" s="46"/>
      <c r="W1082" s="46"/>
      <c r="X1082" s="46"/>
      <c r="Y1082" s="46"/>
      <c r="Z1082" s="46"/>
      <c r="AA1082" s="46"/>
      <c r="AB1082" s="46"/>
      <c r="AC1082" s="46"/>
      <c r="AD1082" s="46"/>
      <c r="AE1082" s="46"/>
      <c r="AF1082" s="46"/>
      <c r="AG1082" s="46"/>
      <c r="AH1082" s="46"/>
      <c r="AI1082" s="46"/>
      <c r="AJ1082" s="46"/>
      <c r="AK1082" s="46"/>
      <c r="AL1082" s="46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</row>
    <row r="1083" ht="16" customHeight="1" spans="1:51" x14ac:dyDescent="0.25">
      <c r="A1083" s="45"/>
      <c r="B1083" s="46" t="s">
        <v>1132</v>
      </c>
      <c r="C1083" s="46" t="s">
        <v>1133</v>
      </c>
      <c r="D1083" s="46" t="s">
        <v>29</v>
      </c>
      <c r="E1083" s="46" t="s">
        <v>42</v>
      </c>
      <c r="F1083" s="46" t="s">
        <v>37</v>
      </c>
      <c r="G1083" s="46" t="s">
        <v>153</v>
      </c>
      <c r="H1083" s="46" t="s">
        <v>153</v>
      </c>
      <c r="I1083" s="46" t="s">
        <v>46</v>
      </c>
      <c r="J1083" s="46" t="s">
        <v>46</v>
      </c>
      <c r="K1083" s="46" t="s">
        <v>46</v>
      </c>
      <c r="L1083" s="46" t="s">
        <v>46</v>
      </c>
      <c r="M1083" s="46" t="s">
        <v>37</v>
      </c>
      <c r="N1083" s="46" t="s">
        <v>42</v>
      </c>
      <c r="O1083" s="46" t="s">
        <v>153</v>
      </c>
      <c r="P1083" s="46" t="s">
        <v>42</v>
      </c>
      <c r="Q1083" s="46" t="s">
        <v>42</v>
      </c>
      <c r="R1083" s="46" t="s">
        <v>42</v>
      </c>
      <c r="S1083" s="46" t="s">
        <v>42</v>
      </c>
      <c r="T1083" s="46" t="s">
        <v>37</v>
      </c>
      <c r="U1083" s="46" t="s">
        <v>46</v>
      </c>
      <c r="V1083" s="46" t="s">
        <v>46</v>
      </c>
      <c r="W1083" s="46" t="s">
        <v>46</v>
      </c>
      <c r="X1083" s="46" t="s">
        <v>46</v>
      </c>
      <c r="Y1083" s="46" t="s">
        <v>46</v>
      </c>
      <c r="Z1083" s="46" t="s">
        <v>153</v>
      </c>
      <c r="AA1083" s="46" t="s">
        <v>37</v>
      </c>
      <c r="AB1083" s="46" t="s">
        <v>42</v>
      </c>
      <c r="AC1083" s="46" t="s">
        <v>42</v>
      </c>
      <c r="AD1083" s="46" t="s">
        <v>42</v>
      </c>
      <c r="AE1083" s="46" t="s">
        <v>42</v>
      </c>
      <c r="AF1083" s="46" t="s">
        <v>42</v>
      </c>
      <c r="AG1083" s="46" t="s">
        <v>42</v>
      </c>
      <c r="AH1083" s="46" t="s">
        <v>37</v>
      </c>
      <c r="AI1083" s="46" t="s">
        <v>46</v>
      </c>
      <c r="AJ1083" s="46">
        <f>=SUM(E1084:AI1084)</f>
      </c>
      <c r="AK1083" s="46">
        <f>=+AY1083</f>
      </c>
      <c r="AL1083" s="46"/>
      <c r="AM1083" s="1"/>
      <c r="AN1083" s="1">
        <f>=COUNTIF(E1083:AI1083,"A")+COUNTIF(E1083:AI1083,"B")+COUNTIF(E1083:AI1083,"C")+COUNTIF(E1083:AI1083,"D")+COUNTIF(E1083:AI1083,"E")+COUNTIF(E1083:AI1083,"F")+COUNTIF(E1083:AI1083,"M")+COUNTIF(E1083:AI1083,"AB")+COUNTIF(E1083:AI1083,"UZ")+COUNTIF(E1083:AI1083,"G")+(COUNTIF(E1083:AI1083,"RT.")/2)+(COUNTIF(E1083:AI1083,"ÇRT.")/2)</f>
      </c>
      <c r="AO1083" s="1">
        <f>=COUNTIF(E1083:AI1083,"O")</f>
      </c>
      <c r="AP1083" s="1">
        <f>=COUNTIF(E1083:AI1083,"RT")+(COUNTIF(E1083:AI1083,"RT.")/2)</f>
      </c>
      <c r="AQ1083" s="1">
        <f>=COUNTIF(E1083:AI1083,"ÇRT")+(COUNTIF(E1083:AI1083,"ÇRT.")/2)</f>
      </c>
      <c r="AR1083" s="1">
        <f>=COUNTIF(E1083:AI1083,"ÇHT")</f>
      </c>
      <c r="AS1083" s="1">
        <f>=COUNTIF(E1083:AI1083,"Ö")+COUNTIF(E1083:AI1083,"T")</f>
      </c>
      <c r="AT1083" s="1">
        <f>=COUNTIF(E1083:AI1083,"Y")</f>
      </c>
      <c r="AU1083" s="1">
        <f>=COUNTIF(E1083:AI1083,"R.")</f>
      </c>
      <c r="AV1083" s="1">
        <f>=COUNTIF(E1083:AI1083,"Ü")</f>
      </c>
      <c r="AW1083" s="1">
        <f>=COUNTIF(E1083:AI1083,"R")</f>
      </c>
      <c r="AX1083" s="1">
        <f>=COUNTIF(E1083:AI1083,"DV")</f>
      </c>
      <c r="AY1083" s="1">
        <f>=+AN1083+AO1083+AP1083+AQ1083+AR1083+AS1083+AT1083+AU1083</f>
      </c>
    </row>
    <row r="1084" ht="16" customHeight="1" spans="1:51" x14ac:dyDescent="0.25">
      <c r="A1084" s="45"/>
      <c r="B1084" s="46"/>
      <c r="C1084" s="46"/>
      <c r="D1084" s="46" t="s">
        <v>33</v>
      </c>
      <c r="E1084" s="46"/>
      <c r="F1084" s="46"/>
      <c r="G1084" s="46"/>
      <c r="H1084" s="46"/>
      <c r="I1084" s="46"/>
      <c r="J1084" s="46"/>
      <c r="K1084" s="46"/>
      <c r="L1084" s="46"/>
      <c r="M1084" s="46"/>
      <c r="N1084" s="46"/>
      <c r="O1084" s="46"/>
      <c r="P1084" s="46"/>
      <c r="Q1084" s="46"/>
      <c r="R1084" s="46"/>
      <c r="S1084" s="46"/>
      <c r="T1084" s="46"/>
      <c r="U1084" s="46"/>
      <c r="V1084" s="46"/>
      <c r="W1084" s="46"/>
      <c r="X1084" s="46"/>
      <c r="Y1084" s="46"/>
      <c r="Z1084" s="46"/>
      <c r="AA1084" s="46"/>
      <c r="AB1084" s="46"/>
      <c r="AC1084" s="46"/>
      <c r="AD1084" s="46"/>
      <c r="AE1084" s="46"/>
      <c r="AF1084" s="46"/>
      <c r="AG1084" s="46"/>
      <c r="AH1084" s="46"/>
      <c r="AI1084" s="46"/>
      <c r="AJ1084" s="46"/>
      <c r="AK1084" s="46"/>
      <c r="AL1084" s="46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</row>
    <row r="1085" ht="16" customHeight="1" spans="1:51" x14ac:dyDescent="0.25">
      <c r="A1085" s="45"/>
      <c r="B1085" s="46" t="s">
        <v>1134</v>
      </c>
      <c r="C1085" s="46" t="s">
        <v>1135</v>
      </c>
      <c r="D1085" s="46" t="s">
        <v>29</v>
      </c>
      <c r="E1085" s="46" t="s">
        <v>37</v>
      </c>
      <c r="F1085" s="46" t="s">
        <v>46</v>
      </c>
      <c r="G1085" s="46" t="s">
        <v>42</v>
      </c>
      <c r="H1085" s="46" t="s">
        <v>42</v>
      </c>
      <c r="I1085" s="46" t="s">
        <v>42</v>
      </c>
      <c r="J1085" s="46" t="s">
        <v>42</v>
      </c>
      <c r="K1085" s="46" t="s">
        <v>42</v>
      </c>
      <c r="L1085" s="46" t="s">
        <v>37</v>
      </c>
      <c r="M1085" s="46" t="s">
        <v>42</v>
      </c>
      <c r="N1085" s="46" t="s">
        <v>46</v>
      </c>
      <c r="O1085" s="46" t="s">
        <v>46</v>
      </c>
      <c r="P1085" s="46" t="s">
        <v>46</v>
      </c>
      <c r="Q1085" s="46" t="s">
        <v>46</v>
      </c>
      <c r="R1085" s="46" t="s">
        <v>46</v>
      </c>
      <c r="S1085" s="46" t="s">
        <v>37</v>
      </c>
      <c r="T1085" s="46" t="s">
        <v>46</v>
      </c>
      <c r="U1085" s="46" t="s">
        <v>46</v>
      </c>
      <c r="V1085" s="46" t="s">
        <v>42</v>
      </c>
      <c r="W1085" s="46" t="s">
        <v>42</v>
      </c>
      <c r="X1085" s="46" t="s">
        <v>42</v>
      </c>
      <c r="Y1085" s="46" t="s">
        <v>42</v>
      </c>
      <c r="Z1085" s="46" t="s">
        <v>37</v>
      </c>
      <c r="AA1085" s="46" t="s">
        <v>42</v>
      </c>
      <c r="AB1085" s="46" t="s">
        <v>46</v>
      </c>
      <c r="AC1085" s="46" t="s">
        <v>46</v>
      </c>
      <c r="AD1085" s="46" t="s">
        <v>46</v>
      </c>
      <c r="AE1085" s="46" t="s">
        <v>46</v>
      </c>
      <c r="AF1085" s="46" t="s">
        <v>46</v>
      </c>
      <c r="AG1085" s="46" t="s">
        <v>37</v>
      </c>
      <c r="AH1085" s="46" t="s">
        <v>43</v>
      </c>
      <c r="AI1085" s="46" t="s">
        <v>42</v>
      </c>
      <c r="AJ1085" s="46">
        <f>=SUM(E1086:AI1086)</f>
      </c>
      <c r="AK1085" s="46">
        <f>=+AY1085</f>
      </c>
      <c r="AL1085" s="46"/>
      <c r="AM1085" s="1"/>
      <c r="AN1085" s="1">
        <f>=COUNTIF(E1085:AI1085,"A")+COUNTIF(E1085:AI1085,"B")+COUNTIF(E1085:AI1085,"C")+COUNTIF(E1085:AI1085,"D")+COUNTIF(E1085:AI1085,"E")+COUNTIF(E1085:AI1085,"F")+COUNTIF(E1085:AI1085,"M")+COUNTIF(E1085:AI1085,"AB")+COUNTIF(E1085:AI1085,"UZ")+COUNTIF(E1085:AI1085,"G")+(COUNTIF(E1085:AI1085,"RT.")/2)+(COUNTIF(E1085:AI1085,"ÇRT.")/2)</f>
      </c>
      <c r="AO1085" s="1">
        <f>=COUNTIF(E1085:AI1085,"O")</f>
      </c>
      <c r="AP1085" s="1">
        <f>=COUNTIF(E1085:AI1085,"RT")+(COUNTIF(E1085:AI1085,"RT.")/2)</f>
      </c>
      <c r="AQ1085" s="1">
        <f>=COUNTIF(E1085:AI1085,"ÇRT")+(COUNTIF(E1085:AI1085,"ÇRT.")/2)</f>
      </c>
      <c r="AR1085" s="1">
        <f>=COUNTIF(E1085:AI1085,"ÇHT")</f>
      </c>
      <c r="AS1085" s="1">
        <f>=COUNTIF(E1085:AI1085,"Ö")+COUNTIF(E1085:AI1085,"T")</f>
      </c>
      <c r="AT1085" s="1">
        <f>=COUNTIF(E1085:AI1085,"Y")</f>
      </c>
      <c r="AU1085" s="1">
        <f>=COUNTIF(E1085:AI1085,"R.")</f>
      </c>
      <c r="AV1085" s="1">
        <f>=COUNTIF(E1085:AI1085,"Ü")</f>
      </c>
      <c r="AW1085" s="1">
        <f>=COUNTIF(E1085:AI1085,"R")</f>
      </c>
      <c r="AX1085" s="1">
        <f>=COUNTIF(E1085:AI1085,"DV")</f>
      </c>
      <c r="AY1085" s="1">
        <f>=+AN1085+AO1085+AP1085+AQ1085+AR1085+AS1085+AT1085+AU1085</f>
      </c>
    </row>
    <row r="1086" ht="16" customHeight="1" spans="1:51" x14ac:dyDescent="0.25">
      <c r="A1086" s="45"/>
      <c r="B1086" s="46"/>
      <c r="C1086" s="46"/>
      <c r="D1086" s="46" t="s">
        <v>33</v>
      </c>
      <c r="E1086" s="46"/>
      <c r="F1086" s="46"/>
      <c r="G1086" s="46"/>
      <c r="H1086" s="46"/>
      <c r="I1086" s="46"/>
      <c r="J1086" s="46"/>
      <c r="K1086" s="46"/>
      <c r="L1086" s="46"/>
      <c r="M1086" s="46"/>
      <c r="N1086" s="46"/>
      <c r="O1086" s="46"/>
      <c r="P1086" s="46"/>
      <c r="Q1086" s="46"/>
      <c r="R1086" s="46"/>
      <c r="S1086" s="46"/>
      <c r="T1086" s="46"/>
      <c r="U1086" s="46"/>
      <c r="V1086" s="46"/>
      <c r="W1086" s="46"/>
      <c r="X1086" s="46"/>
      <c r="Y1086" s="46"/>
      <c r="Z1086" s="46"/>
      <c r="AA1086" s="46"/>
      <c r="AB1086" s="46"/>
      <c r="AC1086" s="46"/>
      <c r="AD1086" s="46"/>
      <c r="AE1086" s="46"/>
      <c r="AF1086" s="46"/>
      <c r="AG1086" s="46"/>
      <c r="AH1086" s="46"/>
      <c r="AI1086" s="46"/>
      <c r="AJ1086" s="46"/>
      <c r="AK1086" s="46"/>
      <c r="AL1086" s="46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</row>
    <row r="1087" ht="16" customHeight="1" spans="1:51" x14ac:dyDescent="0.25">
      <c r="A1087" s="45"/>
      <c r="B1087" s="46" t="s">
        <v>1136</v>
      </c>
      <c r="C1087" s="46" t="s">
        <v>1137</v>
      </c>
      <c r="D1087" s="46" t="s">
        <v>29</v>
      </c>
      <c r="E1087" s="46" t="s">
        <v>42</v>
      </c>
      <c r="F1087" s="46" t="s">
        <v>42</v>
      </c>
      <c r="G1087" s="46" t="s">
        <v>46</v>
      </c>
      <c r="H1087" s="46" t="s">
        <v>46</v>
      </c>
      <c r="I1087" s="46" t="s">
        <v>46</v>
      </c>
      <c r="J1087" s="46" t="s">
        <v>46</v>
      </c>
      <c r="K1087" s="46" t="s">
        <v>37</v>
      </c>
      <c r="L1087" s="46" t="s">
        <v>31</v>
      </c>
      <c r="M1087" s="46" t="s">
        <v>42</v>
      </c>
      <c r="N1087" s="46" t="s">
        <v>42</v>
      </c>
      <c r="O1087" s="46" t="s">
        <v>42</v>
      </c>
      <c r="P1087" s="46" t="s">
        <v>42</v>
      </c>
      <c r="Q1087" s="46" t="s">
        <v>42</v>
      </c>
      <c r="R1087" s="46" t="s">
        <v>37</v>
      </c>
      <c r="S1087" s="46" t="s">
        <v>42</v>
      </c>
      <c r="T1087" s="46" t="s">
        <v>42</v>
      </c>
      <c r="U1087" s="46" t="s">
        <v>42</v>
      </c>
      <c r="V1087" s="46" t="s">
        <v>46</v>
      </c>
      <c r="W1087" s="46" t="s">
        <v>46</v>
      </c>
      <c r="X1087" s="46" t="s">
        <v>46</v>
      </c>
      <c r="Y1087" s="46" t="s">
        <v>37</v>
      </c>
      <c r="Z1087" s="46" t="s">
        <v>46</v>
      </c>
      <c r="AA1087" s="46" t="s">
        <v>46</v>
      </c>
      <c r="AB1087" s="46" t="s">
        <v>42</v>
      </c>
      <c r="AC1087" s="46" t="s">
        <v>42</v>
      </c>
      <c r="AD1087" s="46" t="s">
        <v>42</v>
      </c>
      <c r="AE1087" s="46" t="s">
        <v>42</v>
      </c>
      <c r="AF1087" s="46" t="s">
        <v>42</v>
      </c>
      <c r="AG1087" s="46" t="s">
        <v>42</v>
      </c>
      <c r="AH1087" s="46" t="s">
        <v>43</v>
      </c>
      <c r="AI1087" s="46" t="s">
        <v>37</v>
      </c>
      <c r="AJ1087" s="46">
        <f>=SUM(E1088:AI1088)</f>
      </c>
      <c r="AK1087" s="46">
        <f>=+AY1087</f>
      </c>
      <c r="AL1087" s="46"/>
      <c r="AM1087" s="1"/>
      <c r="AN1087" s="1">
        <f>=COUNTIF(E1087:AI1087,"A")+COUNTIF(E1087:AI1087,"B")+COUNTIF(E1087:AI1087,"C")+COUNTIF(E1087:AI1087,"D")+COUNTIF(E1087:AI1087,"E")+COUNTIF(E1087:AI1087,"F")+COUNTIF(E1087:AI1087,"M")+COUNTIF(E1087:AI1087,"AB")+COUNTIF(E1087:AI1087,"UZ")+COUNTIF(E1087:AI1087,"G")+(COUNTIF(E1087:AI1087,"RT.")/2)+(COUNTIF(E1087:AI1087,"ÇRT.")/2)</f>
      </c>
      <c r="AO1087" s="1">
        <f>=COUNTIF(E1087:AI1087,"O")</f>
      </c>
      <c r="AP1087" s="1">
        <f>=COUNTIF(E1087:AI1087,"RT")+(COUNTIF(E1087:AI1087,"RT.")/2)</f>
      </c>
      <c r="AQ1087" s="1">
        <f>=COUNTIF(E1087:AI1087,"ÇRT")+(COUNTIF(E1087:AI1087,"ÇRT.")/2)</f>
      </c>
      <c r="AR1087" s="1">
        <f>=COUNTIF(E1087:AI1087,"ÇHT")</f>
      </c>
      <c r="AS1087" s="1">
        <f>=COUNTIF(E1087:AI1087,"Ö")+COUNTIF(E1087:AI1087,"T")</f>
      </c>
      <c r="AT1087" s="1">
        <f>=COUNTIF(E1087:AI1087,"Y")</f>
      </c>
      <c r="AU1087" s="1">
        <f>=COUNTIF(E1087:AI1087,"R.")</f>
      </c>
      <c r="AV1087" s="1">
        <f>=COUNTIF(E1087:AI1087,"Ü")</f>
      </c>
      <c r="AW1087" s="1">
        <f>=COUNTIF(E1087:AI1087,"R")</f>
      </c>
      <c r="AX1087" s="1">
        <f>=COUNTIF(E1087:AI1087,"DV")</f>
      </c>
      <c r="AY1087" s="1">
        <f>=+AN1087+AO1087+AP1087+AQ1087+AR1087+AS1087+AT1087+AU1087</f>
      </c>
    </row>
    <row r="1088" ht="16" customHeight="1" spans="1:51" x14ac:dyDescent="0.25">
      <c r="A1088" s="45"/>
      <c r="B1088" s="46"/>
      <c r="C1088" s="46"/>
      <c r="D1088" s="46" t="s">
        <v>33</v>
      </c>
      <c r="E1088" s="46"/>
      <c r="F1088" s="46"/>
      <c r="G1088" s="46"/>
      <c r="H1088" s="46"/>
      <c r="I1088" s="46"/>
      <c r="J1088" s="46"/>
      <c r="K1088" s="46"/>
      <c r="L1088" s="46"/>
      <c r="M1088" s="46"/>
      <c r="N1088" s="46"/>
      <c r="O1088" s="46"/>
      <c r="P1088" s="46"/>
      <c r="Q1088" s="46"/>
      <c r="R1088" s="46"/>
      <c r="S1088" s="46"/>
      <c r="T1088" s="46"/>
      <c r="U1088" s="46"/>
      <c r="V1088" s="46"/>
      <c r="W1088" s="46"/>
      <c r="X1088" s="46"/>
      <c r="Y1088" s="46"/>
      <c r="Z1088" s="46"/>
      <c r="AA1088" s="46"/>
      <c r="AB1088" s="46"/>
      <c r="AC1088" s="46"/>
      <c r="AD1088" s="46"/>
      <c r="AE1088" s="46"/>
      <c r="AF1088" s="46"/>
      <c r="AG1088" s="46"/>
      <c r="AH1088" s="46"/>
      <c r="AI1088" s="46"/>
      <c r="AJ1088" s="46"/>
      <c r="AK1088" s="46"/>
      <c r="AL1088" s="46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</row>
    <row r="1089" ht="16" customHeight="1" spans="1:51" x14ac:dyDescent="0.25">
      <c r="A1089" s="45" t="s">
        <v>1138</v>
      </c>
      <c r="B1089" s="46" t="s">
        <v>1139</v>
      </c>
      <c r="C1089" s="46" t="s">
        <v>1140</v>
      </c>
      <c r="D1089" s="46" t="s">
        <v>29</v>
      </c>
      <c r="E1089" s="46" t="s">
        <v>30</v>
      </c>
      <c r="F1089" s="46" t="s">
        <v>37</v>
      </c>
      <c r="G1089" s="46" t="s">
        <v>59</v>
      </c>
      <c r="H1089" s="46" t="s">
        <v>59</v>
      </c>
      <c r="I1089" s="46" t="s">
        <v>59</v>
      </c>
      <c r="J1089" s="46" t="s">
        <v>59</v>
      </c>
      <c r="K1089" s="46" t="s">
        <v>59</v>
      </c>
      <c r="L1089" s="46" t="s">
        <v>59</v>
      </c>
      <c r="M1089" s="46" t="s">
        <v>37</v>
      </c>
      <c r="N1089" s="46" t="s">
        <v>59</v>
      </c>
      <c r="O1089" s="46" t="s">
        <v>59</v>
      </c>
      <c r="P1089" s="46" t="s">
        <v>59</v>
      </c>
      <c r="Q1089" s="46" t="s">
        <v>59</v>
      </c>
      <c r="R1089" s="46" t="s">
        <v>59</v>
      </c>
      <c r="S1089" s="46" t="s">
        <v>59</v>
      </c>
      <c r="T1089" s="46" t="s">
        <v>37</v>
      </c>
      <c r="U1089" s="46" t="s">
        <v>30</v>
      </c>
      <c r="V1089" s="46" t="s">
        <v>30</v>
      </c>
      <c r="W1089" s="46" t="s">
        <v>30</v>
      </c>
      <c r="X1089" s="46" t="s">
        <v>30</v>
      </c>
      <c r="Y1089" s="46" t="s">
        <v>30</v>
      </c>
      <c r="Z1089" s="46" t="s">
        <v>30</v>
      </c>
      <c r="AA1089" s="46" t="s">
        <v>37</v>
      </c>
      <c r="AB1089" s="46" t="s">
        <v>30</v>
      </c>
      <c r="AC1089" s="46" t="s">
        <v>30</v>
      </c>
      <c r="AD1089" s="46" t="s">
        <v>30</v>
      </c>
      <c r="AE1089" s="46" t="s">
        <v>30</v>
      </c>
      <c r="AF1089" s="46" t="s">
        <v>30</v>
      </c>
      <c r="AG1089" s="46" t="s">
        <v>30</v>
      </c>
      <c r="AH1089" s="46" t="s">
        <v>37</v>
      </c>
      <c r="AI1089" s="46" t="s">
        <v>59</v>
      </c>
      <c r="AJ1089" s="46">
        <f>=SUM(E1090:AI1090)</f>
      </c>
      <c r="AK1089" s="46">
        <f>=+AY1089</f>
      </c>
      <c r="AL1089" s="46"/>
      <c r="AM1089" s="1"/>
      <c r="AN1089" s="1">
        <f>=COUNTIF(E1089:AI1089,"A")+COUNTIF(E1089:AI1089,"B")+COUNTIF(E1089:AI1089,"C")+COUNTIF(E1089:AI1089,"D")+COUNTIF(E1089:AI1089,"E")+COUNTIF(E1089:AI1089,"F")+COUNTIF(E1089:AI1089,"M")+COUNTIF(E1089:AI1089,"AB")+COUNTIF(E1089:AI1089,"UZ")+COUNTIF(E1089:AI1089,"G")+(COUNTIF(E1089:AI1089,"RT.")/2)+(COUNTIF(E1089:AI1089,"ÇRT.")/2)</f>
      </c>
      <c r="AO1089" s="1">
        <f>=COUNTIF(E1089:AI1089,"O")</f>
      </c>
      <c r="AP1089" s="1">
        <f>=COUNTIF(E1089:AI1089,"RT")+(COUNTIF(E1089:AI1089,"RT.")/2)</f>
      </c>
      <c r="AQ1089" s="1">
        <f>=COUNTIF(E1089:AI1089,"ÇRT")+(COUNTIF(E1089:AI1089,"ÇRT.")/2)</f>
      </c>
      <c r="AR1089" s="1">
        <f>=COUNTIF(E1089:AI1089,"ÇHT")</f>
      </c>
      <c r="AS1089" s="1">
        <f>=COUNTIF(E1089:AI1089,"Ö")+COUNTIF(E1089:AI1089,"T")</f>
      </c>
      <c r="AT1089" s="1">
        <f>=COUNTIF(E1089:AI1089,"Y")</f>
      </c>
      <c r="AU1089" s="1">
        <f>=COUNTIF(E1089:AI1089,"R.")</f>
      </c>
      <c r="AV1089" s="1">
        <f>=COUNTIF(E1089:AI1089,"Ü")</f>
      </c>
      <c r="AW1089" s="1">
        <f>=COUNTIF(E1089:AI1089,"R")</f>
      </c>
      <c r="AX1089" s="1">
        <f>=COUNTIF(E1089:AI1089,"DV")</f>
      </c>
      <c r="AY1089" s="1">
        <f>=+AN1089+AO1089+AP1089+AQ1089+AR1089+AS1089+AT1089+AU1089</f>
      </c>
    </row>
    <row r="1090" ht="16" customHeight="1" spans="1:51" x14ac:dyDescent="0.25">
      <c r="A1090" s="45"/>
      <c r="B1090" s="46"/>
      <c r="C1090" s="46"/>
      <c r="D1090" s="46" t="s">
        <v>33</v>
      </c>
      <c r="E1090" s="46"/>
      <c r="F1090" s="46"/>
      <c r="G1090" s="46"/>
      <c r="H1090" s="46"/>
      <c r="I1090" s="46"/>
      <c r="J1090" s="46"/>
      <c r="K1090" s="46"/>
      <c r="L1090" s="46"/>
      <c r="M1090" s="46"/>
      <c r="N1090" s="46"/>
      <c r="O1090" s="46"/>
      <c r="P1090" s="46"/>
      <c r="Q1090" s="46"/>
      <c r="R1090" s="46"/>
      <c r="S1090" s="46">
        <v>0</v>
      </c>
      <c r="T1090" s="46"/>
      <c r="U1090" s="46"/>
      <c r="V1090" s="46"/>
      <c r="W1090" s="46"/>
      <c r="X1090" s="46"/>
      <c r="Y1090" s="46"/>
      <c r="Z1090" s="46"/>
      <c r="AA1090" s="46"/>
      <c r="AB1090" s="46"/>
      <c r="AC1090" s="46"/>
      <c r="AD1090" s="46"/>
      <c r="AE1090" s="46"/>
      <c r="AF1090" s="46"/>
      <c r="AG1090" s="46"/>
      <c r="AH1090" s="46"/>
      <c r="AI1090" s="46"/>
      <c r="AJ1090" s="46"/>
      <c r="AK1090" s="46"/>
      <c r="AL1090" s="46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</row>
    <row r="1091" ht="16" customHeight="1" spans="1:51" x14ac:dyDescent="0.25">
      <c r="A1091" s="45"/>
      <c r="B1091" s="46" t="s">
        <v>1141</v>
      </c>
      <c r="C1091" s="46" t="s">
        <v>1142</v>
      </c>
      <c r="D1091" s="46" t="s">
        <v>29</v>
      </c>
      <c r="E1091" s="46" t="s">
        <v>36</v>
      </c>
      <c r="F1091" s="46" t="s">
        <v>36</v>
      </c>
      <c r="G1091" s="46" t="s">
        <v>36</v>
      </c>
      <c r="H1091" s="46" t="s">
        <v>37</v>
      </c>
      <c r="I1091" s="46" t="s">
        <v>36</v>
      </c>
      <c r="J1091" s="46" t="s">
        <v>36</v>
      </c>
      <c r="K1091" s="46" t="s">
        <v>36</v>
      </c>
      <c r="L1091" s="46" t="s">
        <v>36</v>
      </c>
      <c r="M1091" s="46" t="s">
        <v>36</v>
      </c>
      <c r="N1091" s="46" t="s">
        <v>36</v>
      </c>
      <c r="O1091" s="46" t="s">
        <v>37</v>
      </c>
      <c r="P1091" s="46" t="s">
        <v>31</v>
      </c>
      <c r="Q1091" s="46" t="s">
        <v>31</v>
      </c>
      <c r="R1091" s="46" t="s">
        <v>32</v>
      </c>
      <c r="S1091" s="46" t="s">
        <v>36</v>
      </c>
      <c r="T1091" s="46" t="s">
        <v>36</v>
      </c>
      <c r="U1091" s="46" t="s">
        <v>36</v>
      </c>
      <c r="V1091" s="46" t="s">
        <v>37</v>
      </c>
      <c r="W1091" s="46" t="s">
        <v>36</v>
      </c>
      <c r="X1091" s="46" t="s">
        <v>36</v>
      </c>
      <c r="Y1091" s="46" t="s">
        <v>36</v>
      </c>
      <c r="Z1091" s="46" t="s">
        <v>36</v>
      </c>
      <c r="AA1091" s="46" t="s">
        <v>36</v>
      </c>
      <c r="AB1091" s="46" t="s">
        <v>36</v>
      </c>
      <c r="AC1091" s="46" t="s">
        <v>222</v>
      </c>
      <c r="AD1091" s="46" t="s">
        <v>36</v>
      </c>
      <c r="AE1091" s="46" t="s">
        <v>36</v>
      </c>
      <c r="AF1091" s="46" t="s">
        <v>36</v>
      </c>
      <c r="AG1091" s="46" t="s">
        <v>36</v>
      </c>
      <c r="AH1091" s="46" t="s">
        <v>43</v>
      </c>
      <c r="AI1091" s="46" t="s">
        <v>36</v>
      </c>
      <c r="AJ1091" s="46">
        <f>=SUM(E1092:AI1092)</f>
      </c>
      <c r="AK1091" s="46">
        <f>=+AY1091</f>
      </c>
      <c r="AL1091" s="46"/>
      <c r="AM1091" s="1"/>
      <c r="AN1091" s="1">
        <f>=COUNTIF(E1091:AI1091,"A")+COUNTIF(E1091:AI1091,"B")+COUNTIF(E1091:AI1091,"C")+COUNTIF(E1091:AI1091,"D")+COUNTIF(E1091:AI1091,"E")+COUNTIF(E1091:AI1091,"F")+COUNTIF(E1091:AI1091,"M")+COUNTIF(E1091:AI1091,"AB")+COUNTIF(E1091:AI1091,"UZ")+COUNTIF(E1091:AI1091,"G")+(COUNTIF(E1091:AI1091,"RT.")/2)+(COUNTIF(E1091:AI1091,"ÇRT.")/2)</f>
      </c>
      <c r="AO1091" s="1">
        <f>=COUNTIF(E1091:AI1091,"O")</f>
      </c>
      <c r="AP1091" s="1">
        <f>=COUNTIF(E1091:AI1091,"RT")+(COUNTIF(E1091:AI1091,"RT.")/2)</f>
      </c>
      <c r="AQ1091" s="1">
        <f>=COUNTIF(E1091:AI1091,"ÇRT")+(COUNTIF(E1091:AI1091,"ÇRT.")/2)</f>
      </c>
      <c r="AR1091" s="1">
        <f>=COUNTIF(E1091:AI1091,"ÇHT")</f>
      </c>
      <c r="AS1091" s="1">
        <f>=COUNTIF(E1091:AI1091,"Ö")+COUNTIF(E1091:AI1091,"T")</f>
      </c>
      <c r="AT1091" s="1">
        <f>=COUNTIF(E1091:AI1091,"Y")</f>
      </c>
      <c r="AU1091" s="1">
        <f>=COUNTIF(E1091:AI1091,"R.")</f>
      </c>
      <c r="AV1091" s="1">
        <f>=COUNTIF(E1091:AI1091,"Ü")</f>
      </c>
      <c r="AW1091" s="1">
        <f>=COUNTIF(E1091:AI1091,"R")</f>
      </c>
      <c r="AX1091" s="1">
        <f>=COUNTIF(E1091:AI1091,"DV")</f>
      </c>
      <c r="AY1091" s="1">
        <f>=+AN1091+AO1091+AP1091+AQ1091+AR1091+AS1091+AT1091+AU1091</f>
      </c>
    </row>
    <row r="1092" ht="16" customHeight="1" spans="1:51" x14ac:dyDescent="0.25">
      <c r="A1092" s="45"/>
      <c r="B1092" s="46"/>
      <c r="C1092" s="46"/>
      <c r="D1092" s="46" t="s">
        <v>33</v>
      </c>
      <c r="E1092" s="46"/>
      <c r="F1092" s="46"/>
      <c r="G1092" s="46"/>
      <c r="H1092" s="46"/>
      <c r="I1092" s="46"/>
      <c r="J1092" s="46"/>
      <c r="K1092" s="46"/>
      <c r="L1092" s="46"/>
      <c r="M1092" s="46"/>
      <c r="N1092" s="46"/>
      <c r="O1092" s="46"/>
      <c r="P1092" s="46"/>
      <c r="Q1092" s="46"/>
      <c r="R1092" s="46"/>
      <c r="S1092" s="46"/>
      <c r="T1092" s="46"/>
      <c r="U1092" s="46"/>
      <c r="V1092" s="46"/>
      <c r="W1092" s="46"/>
      <c r="X1092" s="46"/>
      <c r="Y1092" s="46"/>
      <c r="Z1092" s="46"/>
      <c r="AA1092" s="46"/>
      <c r="AB1092" s="46"/>
      <c r="AC1092" s="46"/>
      <c r="AD1092" s="46"/>
      <c r="AE1092" s="46"/>
      <c r="AF1092" s="46"/>
      <c r="AG1092" s="46"/>
      <c r="AH1092" s="46"/>
      <c r="AI1092" s="46"/>
      <c r="AJ1092" s="46"/>
      <c r="AK1092" s="46"/>
      <c r="AL1092" s="46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</row>
    <row r="1093" ht="16" customHeight="1" spans="1:51" x14ac:dyDescent="0.25">
      <c r="A1093" s="45"/>
      <c r="B1093" s="46" t="s">
        <v>1143</v>
      </c>
      <c r="C1093" s="46" t="s">
        <v>1144</v>
      </c>
      <c r="D1093" s="46" t="s">
        <v>29</v>
      </c>
      <c r="E1093" s="46" t="s">
        <v>59</v>
      </c>
      <c r="F1093" s="46" t="s">
        <v>59</v>
      </c>
      <c r="G1093" s="46" t="s">
        <v>59</v>
      </c>
      <c r="H1093" s="46" t="s">
        <v>59</v>
      </c>
      <c r="I1093" s="46" t="s">
        <v>59</v>
      </c>
      <c r="J1093" s="46" t="s">
        <v>37</v>
      </c>
      <c r="K1093" s="46" t="s">
        <v>59</v>
      </c>
      <c r="L1093" s="46" t="s">
        <v>59</v>
      </c>
      <c r="M1093" s="46" t="s">
        <v>59</v>
      </c>
      <c r="N1093" s="46" t="s">
        <v>59</v>
      </c>
      <c r="O1093" s="46" t="s">
        <v>59</v>
      </c>
      <c r="P1093" s="46" t="s">
        <v>59</v>
      </c>
      <c r="Q1093" s="46" t="s">
        <v>37</v>
      </c>
      <c r="R1093" s="46" t="s">
        <v>59</v>
      </c>
      <c r="S1093" s="46" t="s">
        <v>59</v>
      </c>
      <c r="T1093" s="46" t="s">
        <v>59</v>
      </c>
      <c r="U1093" s="46" t="s">
        <v>59</v>
      </c>
      <c r="V1093" s="46" t="s">
        <v>59</v>
      </c>
      <c r="W1093" s="46" t="s">
        <v>59</v>
      </c>
      <c r="X1093" s="46" t="s">
        <v>59</v>
      </c>
      <c r="Y1093" s="46" t="s">
        <v>59</v>
      </c>
      <c r="Z1093" s="46" t="s">
        <v>37</v>
      </c>
      <c r="AA1093" s="46" t="s">
        <v>59</v>
      </c>
      <c r="AB1093" s="46" t="s">
        <v>59</v>
      </c>
      <c r="AC1093" s="46" t="s">
        <v>37</v>
      </c>
      <c r="AD1093" s="46" t="s">
        <v>59</v>
      </c>
      <c r="AE1093" s="46" t="s">
        <v>59</v>
      </c>
      <c r="AF1093" s="46" t="s">
        <v>59</v>
      </c>
      <c r="AG1093" s="46" t="s">
        <v>59</v>
      </c>
      <c r="AH1093" s="46" t="s">
        <v>43</v>
      </c>
      <c r="AI1093" s="46" t="s">
        <v>59</v>
      </c>
      <c r="AJ1093" s="46">
        <f>=SUM(E1094:AI1094)</f>
      </c>
      <c r="AK1093" s="46">
        <f>=+AY1093</f>
      </c>
      <c r="AL1093" s="46"/>
      <c r="AM1093" s="1"/>
      <c r="AN1093" s="1">
        <f>=COUNTIF(E1093:AI1093,"A")+COUNTIF(E1093:AI1093,"B")+COUNTIF(E1093:AI1093,"C")+COUNTIF(E1093:AI1093,"D")+COUNTIF(E1093:AI1093,"E")+COUNTIF(E1093:AI1093,"F")+COUNTIF(E1093:AI1093,"M")+COUNTIF(E1093:AI1093,"AB")+COUNTIF(E1093:AI1093,"UZ")+COUNTIF(E1093:AI1093,"G")+(COUNTIF(E1093:AI1093,"RT.")/2)+(COUNTIF(E1093:AI1093,"ÇRT.")/2)</f>
      </c>
      <c r="AO1093" s="1">
        <f>=COUNTIF(E1093:AI1093,"O")</f>
      </c>
      <c r="AP1093" s="1">
        <f>=COUNTIF(E1093:AI1093,"RT")+(COUNTIF(E1093:AI1093,"RT.")/2)</f>
      </c>
      <c r="AQ1093" s="1">
        <f>=COUNTIF(E1093:AI1093,"ÇRT")+(COUNTIF(E1093:AI1093,"ÇRT.")/2)</f>
      </c>
      <c r="AR1093" s="1">
        <f>=COUNTIF(E1093:AI1093,"ÇHT")</f>
      </c>
      <c r="AS1093" s="1">
        <f>=COUNTIF(E1093:AI1093,"Ö")+COUNTIF(E1093:AI1093,"T")</f>
      </c>
      <c r="AT1093" s="1">
        <f>=COUNTIF(E1093:AI1093,"Y")</f>
      </c>
      <c r="AU1093" s="1">
        <f>=COUNTIF(E1093:AI1093,"R.")</f>
      </c>
      <c r="AV1093" s="1">
        <f>=COUNTIF(E1093:AI1093,"Ü")</f>
      </c>
      <c r="AW1093" s="1">
        <f>=COUNTIF(E1093:AI1093,"R")</f>
      </c>
      <c r="AX1093" s="1">
        <f>=COUNTIF(E1093:AI1093,"DV")</f>
      </c>
      <c r="AY1093" s="1">
        <f>=+AN1093+AO1093+AP1093+AQ1093+AR1093+AS1093+AT1093+AU1093</f>
      </c>
    </row>
    <row r="1094" ht="16" customHeight="1" spans="1:51" x14ac:dyDescent="0.25">
      <c r="A1094" s="45"/>
      <c r="B1094" s="46"/>
      <c r="C1094" s="46"/>
      <c r="D1094" s="46" t="s">
        <v>33</v>
      </c>
      <c r="E1094" s="46"/>
      <c r="F1094" s="46"/>
      <c r="G1094" s="46"/>
      <c r="H1094" s="46"/>
      <c r="I1094" s="46"/>
      <c r="J1094" s="46"/>
      <c r="K1094" s="46"/>
      <c r="L1094" s="46"/>
      <c r="M1094" s="46"/>
      <c r="N1094" s="46"/>
      <c r="O1094" s="46"/>
      <c r="P1094" s="46"/>
      <c r="Q1094" s="46"/>
      <c r="R1094" s="46"/>
      <c r="S1094" s="46"/>
      <c r="T1094" s="46"/>
      <c r="U1094" s="46"/>
      <c r="V1094" s="46"/>
      <c r="W1094" s="46"/>
      <c r="X1094" s="46"/>
      <c r="Y1094" s="46"/>
      <c r="Z1094" s="46"/>
      <c r="AA1094" s="46"/>
      <c r="AB1094" s="46"/>
      <c r="AC1094" s="46"/>
      <c r="AD1094" s="46"/>
      <c r="AE1094" s="46"/>
      <c r="AF1094" s="46"/>
      <c r="AG1094" s="46"/>
      <c r="AH1094" s="46"/>
      <c r="AI1094" s="46"/>
      <c r="AJ1094" s="46"/>
      <c r="AK1094" s="46"/>
      <c r="AL1094" s="46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</row>
    <row r="1095" ht="16" customHeight="1" spans="1:51" x14ac:dyDescent="0.25">
      <c r="A1095" s="45"/>
      <c r="B1095" s="46" t="s">
        <v>1145</v>
      </c>
      <c r="C1095" s="46" t="s">
        <v>1146</v>
      </c>
      <c r="D1095" s="46" t="s">
        <v>29</v>
      </c>
      <c r="E1095" s="46" t="s">
        <v>59</v>
      </c>
      <c r="F1095" s="46" t="s">
        <v>59</v>
      </c>
      <c r="G1095" s="46" t="s">
        <v>37</v>
      </c>
      <c r="H1095" s="46" t="s">
        <v>36</v>
      </c>
      <c r="I1095" s="46" t="s">
        <v>36</v>
      </c>
      <c r="J1095" s="46" t="s">
        <v>36</v>
      </c>
      <c r="K1095" s="46" t="s">
        <v>31</v>
      </c>
      <c r="L1095" s="46" t="s">
        <v>36</v>
      </c>
      <c r="M1095" s="46" t="s">
        <v>36</v>
      </c>
      <c r="N1095" s="46" t="s">
        <v>37</v>
      </c>
      <c r="O1095" s="46" t="s">
        <v>36</v>
      </c>
      <c r="P1095" s="46" t="s">
        <v>36</v>
      </c>
      <c r="Q1095" s="46" t="s">
        <v>36</v>
      </c>
      <c r="R1095" s="46" t="s">
        <v>36</v>
      </c>
      <c r="S1095" s="46" t="s">
        <v>36</v>
      </c>
      <c r="T1095" s="46" t="s">
        <v>36</v>
      </c>
      <c r="U1095" s="46" t="s">
        <v>37</v>
      </c>
      <c r="V1095" s="46" t="s">
        <v>36</v>
      </c>
      <c r="W1095" s="46" t="s">
        <v>36</v>
      </c>
      <c r="X1095" s="46" t="s">
        <v>36</v>
      </c>
      <c r="Y1095" s="46" t="s">
        <v>36</v>
      </c>
      <c r="Z1095" s="46" t="s">
        <v>59</v>
      </c>
      <c r="AA1095" s="46" t="s">
        <v>59</v>
      </c>
      <c r="AB1095" s="46" t="s">
        <v>37</v>
      </c>
      <c r="AC1095" s="46" t="s">
        <v>59</v>
      </c>
      <c r="AD1095" s="46" t="s">
        <v>59</v>
      </c>
      <c r="AE1095" s="46" t="s">
        <v>59</v>
      </c>
      <c r="AF1095" s="46" t="s">
        <v>59</v>
      </c>
      <c r="AG1095" s="46" t="s">
        <v>59</v>
      </c>
      <c r="AH1095" s="46" t="s">
        <v>43</v>
      </c>
      <c r="AI1095" s="46" t="s">
        <v>37</v>
      </c>
      <c r="AJ1095" s="46">
        <f>=SUM(E1096:AI1096)</f>
      </c>
      <c r="AK1095" s="46">
        <f>=+AY1095</f>
      </c>
      <c r="AL1095" s="46"/>
      <c r="AM1095" s="1"/>
      <c r="AN1095" s="1">
        <f>=COUNTIF(E1095:AI1095,"A")+COUNTIF(E1095:AI1095,"B")+COUNTIF(E1095:AI1095,"C")+COUNTIF(E1095:AI1095,"D")+COUNTIF(E1095:AI1095,"E")+COUNTIF(E1095:AI1095,"F")+COUNTIF(E1095:AI1095,"M")+COUNTIF(E1095:AI1095,"AB")+COUNTIF(E1095:AI1095,"UZ")+COUNTIF(E1095:AI1095,"G")+(COUNTIF(E1095:AI1095,"RT.")/2)+(COUNTIF(E1095:AI1095,"ÇRT.")/2)</f>
      </c>
      <c r="AO1095" s="1">
        <f>=COUNTIF(E1095:AI1095,"O")</f>
      </c>
      <c r="AP1095" s="1">
        <f>=COUNTIF(E1095:AI1095,"RT")+(COUNTIF(E1095:AI1095,"RT.")/2)</f>
      </c>
      <c r="AQ1095" s="1">
        <f>=COUNTIF(E1095:AI1095,"ÇRT")+(COUNTIF(E1095:AI1095,"ÇRT.")/2)</f>
      </c>
      <c r="AR1095" s="1">
        <f>=COUNTIF(E1095:AI1095,"ÇHT")</f>
      </c>
      <c r="AS1095" s="1">
        <f>=COUNTIF(E1095:AI1095,"Ö")+COUNTIF(E1095:AI1095,"T")</f>
      </c>
      <c r="AT1095" s="1">
        <f>=COUNTIF(E1095:AI1095,"Y")</f>
      </c>
      <c r="AU1095" s="1">
        <f>=COUNTIF(E1095:AI1095,"R.")</f>
      </c>
      <c r="AV1095" s="1">
        <f>=COUNTIF(E1095:AI1095,"Ü")</f>
      </c>
      <c r="AW1095" s="1">
        <f>=COUNTIF(E1095:AI1095,"R")</f>
      </c>
      <c r="AX1095" s="1">
        <f>=COUNTIF(E1095:AI1095,"DV")</f>
      </c>
      <c r="AY1095" s="1">
        <f>=+AN1095+AO1095+AP1095+AQ1095+AR1095+AS1095+AT1095+AU1095</f>
      </c>
    </row>
    <row r="1096" ht="16" customHeight="1" spans="1:51" x14ac:dyDescent="0.25">
      <c r="A1096" s="45"/>
      <c r="B1096" s="46"/>
      <c r="C1096" s="46"/>
      <c r="D1096" s="46" t="s">
        <v>33</v>
      </c>
      <c r="E1096" s="46"/>
      <c r="F1096" s="46"/>
      <c r="G1096" s="46"/>
      <c r="H1096" s="46"/>
      <c r="I1096" s="46"/>
      <c r="J1096" s="46"/>
      <c r="K1096" s="46"/>
      <c r="L1096" s="46"/>
      <c r="M1096" s="46"/>
      <c r="N1096" s="46"/>
      <c r="O1096" s="46"/>
      <c r="P1096" s="46"/>
      <c r="Q1096" s="46"/>
      <c r="R1096" s="46"/>
      <c r="S1096" s="46"/>
      <c r="T1096" s="46"/>
      <c r="U1096" s="46"/>
      <c r="V1096" s="46"/>
      <c r="W1096" s="46"/>
      <c r="X1096" s="46"/>
      <c r="Y1096" s="46"/>
      <c r="Z1096" s="46"/>
      <c r="AA1096" s="46"/>
      <c r="AB1096" s="46"/>
      <c r="AC1096" s="46"/>
      <c r="AD1096" s="46"/>
      <c r="AE1096" s="46"/>
      <c r="AF1096" s="46"/>
      <c r="AG1096" s="46"/>
      <c r="AH1096" s="46"/>
      <c r="AI1096" s="46"/>
      <c r="AJ1096" s="46"/>
      <c r="AK1096" s="46"/>
      <c r="AL1096" s="46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</row>
    <row r="1097" ht="16" customHeight="1" spans="1:51" x14ac:dyDescent="0.25">
      <c r="A1097" s="45"/>
      <c r="B1097" s="46" t="s">
        <v>1147</v>
      </c>
      <c r="C1097" s="46" t="s">
        <v>1148</v>
      </c>
      <c r="D1097" s="46" t="s">
        <v>29</v>
      </c>
      <c r="E1097" s="46" t="s">
        <v>59</v>
      </c>
      <c r="F1097" s="46" t="s">
        <v>37</v>
      </c>
      <c r="G1097" s="46" t="s">
        <v>59</v>
      </c>
      <c r="H1097" s="46" t="s">
        <v>59</v>
      </c>
      <c r="I1097" s="46" t="s">
        <v>59</v>
      </c>
      <c r="J1097" s="46" t="s">
        <v>59</v>
      </c>
      <c r="K1097" s="46" t="s">
        <v>59</v>
      </c>
      <c r="L1097" s="46" t="s">
        <v>59</v>
      </c>
      <c r="M1097" s="46" t="s">
        <v>37</v>
      </c>
      <c r="N1097" s="46" t="s">
        <v>59</v>
      </c>
      <c r="O1097" s="46" t="s">
        <v>59</v>
      </c>
      <c r="P1097" s="46" t="s">
        <v>59</v>
      </c>
      <c r="Q1097" s="46" t="s">
        <v>59</v>
      </c>
      <c r="R1097" s="46" t="s">
        <v>59</v>
      </c>
      <c r="S1097" s="46" t="s">
        <v>59</v>
      </c>
      <c r="T1097" s="46" t="s">
        <v>37</v>
      </c>
      <c r="U1097" s="46" t="s">
        <v>59</v>
      </c>
      <c r="V1097" s="46" t="s">
        <v>59</v>
      </c>
      <c r="W1097" s="46" t="s">
        <v>59</v>
      </c>
      <c r="X1097" s="46" t="s">
        <v>59</v>
      </c>
      <c r="Y1097" s="46" t="s">
        <v>59</v>
      </c>
      <c r="Z1097" s="46" t="s">
        <v>59</v>
      </c>
      <c r="AA1097" s="46" t="s">
        <v>37</v>
      </c>
      <c r="AB1097" s="46" t="s">
        <v>59</v>
      </c>
      <c r="AC1097" s="46" t="s">
        <v>59</v>
      </c>
      <c r="AD1097" s="46" t="s">
        <v>59</v>
      </c>
      <c r="AE1097" s="46" t="s">
        <v>59</v>
      </c>
      <c r="AF1097" s="46" t="s">
        <v>59</v>
      </c>
      <c r="AG1097" s="46" t="s">
        <v>59</v>
      </c>
      <c r="AH1097" s="46" t="s">
        <v>37</v>
      </c>
      <c r="AI1097" s="46" t="s">
        <v>59</v>
      </c>
      <c r="AJ1097" s="46">
        <f>=SUM(E1098:AI1098)</f>
      </c>
      <c r="AK1097" s="46">
        <f>=+AY1097</f>
      </c>
      <c r="AL1097" s="46"/>
      <c r="AM1097" s="1"/>
      <c r="AN1097" s="1">
        <f>=COUNTIF(E1097:AI1097,"A")+COUNTIF(E1097:AI1097,"B")+COUNTIF(E1097:AI1097,"C")+COUNTIF(E1097:AI1097,"D")+COUNTIF(E1097:AI1097,"E")+COUNTIF(E1097:AI1097,"F")+COUNTIF(E1097:AI1097,"M")+COUNTIF(E1097:AI1097,"AB")+COUNTIF(E1097:AI1097,"UZ")+COUNTIF(E1097:AI1097,"G")+(COUNTIF(E1097:AI1097,"RT.")/2)+(COUNTIF(E1097:AI1097,"ÇRT.")/2)</f>
      </c>
      <c r="AO1097" s="1">
        <f>=COUNTIF(E1097:AI1097,"O")</f>
      </c>
      <c r="AP1097" s="1">
        <f>=COUNTIF(E1097:AI1097,"RT")+(COUNTIF(E1097:AI1097,"RT.")/2)</f>
      </c>
      <c r="AQ1097" s="1">
        <f>=COUNTIF(E1097:AI1097,"ÇRT")+(COUNTIF(E1097:AI1097,"ÇRT.")/2)</f>
      </c>
      <c r="AR1097" s="1">
        <f>=COUNTIF(E1097:AI1097,"ÇHT")</f>
      </c>
      <c r="AS1097" s="1">
        <f>=COUNTIF(E1097:AI1097,"Ö")+COUNTIF(E1097:AI1097,"T")</f>
      </c>
      <c r="AT1097" s="1">
        <f>=COUNTIF(E1097:AI1097,"Y")</f>
      </c>
      <c r="AU1097" s="1">
        <f>=COUNTIF(E1097:AI1097,"R.")</f>
      </c>
      <c r="AV1097" s="1">
        <f>=COUNTIF(E1097:AI1097,"Ü")</f>
      </c>
      <c r="AW1097" s="1">
        <f>=COUNTIF(E1097:AI1097,"R")</f>
      </c>
      <c r="AX1097" s="1">
        <f>=COUNTIF(E1097:AI1097,"DV")</f>
      </c>
      <c r="AY1097" s="1">
        <f>=+AN1097+AO1097+AP1097+AQ1097+AR1097+AS1097+AT1097+AU1097</f>
      </c>
    </row>
    <row r="1098" ht="16" customHeight="1" spans="1:51" x14ac:dyDescent="0.25">
      <c r="A1098" s="45"/>
      <c r="B1098" s="46"/>
      <c r="C1098" s="46"/>
      <c r="D1098" s="46" t="s">
        <v>33</v>
      </c>
      <c r="E1098" s="46">
        <v>0</v>
      </c>
      <c r="F1098" s="46">
        <v>0</v>
      </c>
      <c r="G1098" s="46">
        <v>0</v>
      </c>
      <c r="H1098" s="46"/>
      <c r="I1098" s="46"/>
      <c r="J1098" s="46">
        <v>0</v>
      </c>
      <c r="K1098" s="46"/>
      <c r="L1098" s="46">
        <v>0</v>
      </c>
      <c r="M1098" s="46"/>
      <c r="N1098" s="46"/>
      <c r="O1098" s="46"/>
      <c r="P1098" s="46"/>
      <c r="Q1098" s="46"/>
      <c r="R1098" s="46"/>
      <c r="S1098" s="46"/>
      <c r="T1098" s="46"/>
      <c r="U1098" s="46"/>
      <c r="V1098" s="46"/>
      <c r="W1098" s="46"/>
      <c r="X1098" s="46"/>
      <c r="Y1098" s="46"/>
      <c r="Z1098" s="46"/>
      <c r="AA1098" s="46"/>
      <c r="AB1098" s="46"/>
      <c r="AC1098" s="46"/>
      <c r="AD1098" s="46"/>
      <c r="AE1098" s="46"/>
      <c r="AF1098" s="46"/>
      <c r="AG1098" s="46"/>
      <c r="AH1098" s="46"/>
      <c r="AI1098" s="46"/>
      <c r="AJ1098" s="46"/>
      <c r="AK1098" s="46"/>
      <c r="AL1098" s="46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</row>
    <row r="1099" ht="16" customHeight="1" spans="1:51" x14ac:dyDescent="0.25">
      <c r="A1099" s="45"/>
      <c r="B1099" s="46" t="s">
        <v>1149</v>
      </c>
      <c r="C1099" s="46" t="s">
        <v>1150</v>
      </c>
      <c r="D1099" s="46" t="s">
        <v>29</v>
      </c>
      <c r="E1099" s="46" t="s">
        <v>59</v>
      </c>
      <c r="F1099" s="46" t="s">
        <v>59</v>
      </c>
      <c r="G1099" s="46" t="s">
        <v>59</v>
      </c>
      <c r="H1099" s="46" t="s">
        <v>59</v>
      </c>
      <c r="I1099" s="46" t="s">
        <v>59</v>
      </c>
      <c r="J1099" s="46" t="s">
        <v>37</v>
      </c>
      <c r="K1099" s="46" t="s">
        <v>59</v>
      </c>
      <c r="L1099" s="46" t="s">
        <v>59</v>
      </c>
      <c r="M1099" s="46" t="s">
        <v>59</v>
      </c>
      <c r="N1099" s="46" t="s">
        <v>59</v>
      </c>
      <c r="O1099" s="46" t="s">
        <v>59</v>
      </c>
      <c r="P1099" s="46" t="s">
        <v>59</v>
      </c>
      <c r="Q1099" s="46" t="s">
        <v>59</v>
      </c>
      <c r="R1099" s="46" t="s">
        <v>37</v>
      </c>
      <c r="S1099" s="46" t="s">
        <v>59</v>
      </c>
      <c r="T1099" s="46" t="s">
        <v>59</v>
      </c>
      <c r="U1099" s="46" t="s">
        <v>59</v>
      </c>
      <c r="V1099" s="46" t="s">
        <v>59</v>
      </c>
      <c r="W1099" s="46" t="s">
        <v>59</v>
      </c>
      <c r="X1099" s="46" t="s">
        <v>59</v>
      </c>
      <c r="Y1099" s="46" t="s">
        <v>37</v>
      </c>
      <c r="Z1099" s="46" t="s">
        <v>59</v>
      </c>
      <c r="AA1099" s="46" t="s">
        <v>59</v>
      </c>
      <c r="AB1099" s="46" t="s">
        <v>59</v>
      </c>
      <c r="AC1099" s="46" t="s">
        <v>59</v>
      </c>
      <c r="AD1099" s="46" t="s">
        <v>59</v>
      </c>
      <c r="AE1099" s="46" t="s">
        <v>59</v>
      </c>
      <c r="AF1099" s="46" t="s">
        <v>37</v>
      </c>
      <c r="AG1099" s="46" t="s">
        <v>59</v>
      </c>
      <c r="AH1099" s="46" t="s">
        <v>43</v>
      </c>
      <c r="AI1099" s="46" t="s">
        <v>59</v>
      </c>
      <c r="AJ1099" s="46">
        <f>=SUM(E1100:AI1100)</f>
      </c>
      <c r="AK1099" s="46">
        <f>=+AY1099</f>
      </c>
      <c r="AL1099" s="46"/>
      <c r="AM1099" s="1"/>
      <c r="AN1099" s="1">
        <f>=COUNTIF(E1099:AI1099,"A")+COUNTIF(E1099:AI1099,"B")+COUNTIF(E1099:AI1099,"C")+COUNTIF(E1099:AI1099,"D")+COUNTIF(E1099:AI1099,"E")+COUNTIF(E1099:AI1099,"F")+COUNTIF(E1099:AI1099,"M")+COUNTIF(E1099:AI1099,"AB")+COUNTIF(E1099:AI1099,"UZ")+COUNTIF(E1099:AI1099,"G")+(COUNTIF(E1099:AI1099,"RT.")/2)+(COUNTIF(E1099:AI1099,"ÇRT.")/2)</f>
      </c>
      <c r="AO1099" s="1">
        <f>=COUNTIF(E1099:AI1099,"O")</f>
      </c>
      <c r="AP1099" s="1">
        <f>=COUNTIF(E1099:AI1099,"RT")+(COUNTIF(E1099:AI1099,"RT.")/2)</f>
      </c>
      <c r="AQ1099" s="1">
        <f>=COUNTIF(E1099:AI1099,"ÇRT")+(COUNTIF(E1099:AI1099,"ÇRT.")/2)</f>
      </c>
      <c r="AR1099" s="1">
        <f>=COUNTIF(E1099:AI1099,"ÇHT")</f>
      </c>
      <c r="AS1099" s="1">
        <f>=COUNTIF(E1099:AI1099,"Ö")+COUNTIF(E1099:AI1099,"T")</f>
      </c>
      <c r="AT1099" s="1">
        <f>=COUNTIF(E1099:AI1099,"Y")</f>
      </c>
      <c r="AU1099" s="1">
        <f>=COUNTIF(E1099:AI1099,"R.")</f>
      </c>
      <c r="AV1099" s="1">
        <f>=COUNTIF(E1099:AI1099,"Ü")</f>
      </c>
      <c r="AW1099" s="1">
        <f>=COUNTIF(E1099:AI1099,"R")</f>
      </c>
      <c r="AX1099" s="1">
        <f>=COUNTIF(E1099:AI1099,"DV")</f>
      </c>
      <c r="AY1099" s="1">
        <f>=+AN1099+AO1099+AP1099+AQ1099+AR1099+AS1099+AT1099+AU1099</f>
      </c>
    </row>
    <row r="1100" ht="16" customHeight="1" spans="1:51" x14ac:dyDescent="0.25">
      <c r="A1100" s="45"/>
      <c r="B1100" s="46"/>
      <c r="C1100" s="46"/>
      <c r="D1100" s="46" t="s">
        <v>33</v>
      </c>
      <c r="E1100" s="46"/>
      <c r="F1100" s="46"/>
      <c r="G1100" s="46"/>
      <c r="H1100" s="46"/>
      <c r="I1100" s="46"/>
      <c r="J1100" s="46"/>
      <c r="K1100" s="46"/>
      <c r="L1100" s="46"/>
      <c r="M1100" s="46"/>
      <c r="N1100" s="46"/>
      <c r="O1100" s="46"/>
      <c r="P1100" s="46"/>
      <c r="Q1100" s="46"/>
      <c r="R1100" s="46"/>
      <c r="S1100" s="46"/>
      <c r="T1100" s="46"/>
      <c r="U1100" s="46"/>
      <c r="V1100" s="46"/>
      <c r="W1100" s="46"/>
      <c r="X1100" s="46"/>
      <c r="Y1100" s="46"/>
      <c r="Z1100" s="46"/>
      <c r="AA1100" s="46"/>
      <c r="AB1100" s="46"/>
      <c r="AC1100" s="46"/>
      <c r="AD1100" s="46"/>
      <c r="AE1100" s="46"/>
      <c r="AF1100" s="46"/>
      <c r="AG1100" s="46"/>
      <c r="AH1100" s="46"/>
      <c r="AI1100" s="46"/>
      <c r="AJ1100" s="46"/>
      <c r="AK1100" s="46"/>
      <c r="AL1100" s="46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</row>
    <row r="1101" ht="16" customHeight="1" spans="1:51" x14ac:dyDescent="0.25">
      <c r="A1101" s="45"/>
      <c r="B1101" s="46" t="s">
        <v>1151</v>
      </c>
      <c r="C1101" s="46" t="s">
        <v>1152</v>
      </c>
      <c r="D1101" s="46" t="s">
        <v>29</v>
      </c>
      <c r="E1101" s="46" t="s">
        <v>36</v>
      </c>
      <c r="F1101" s="46" t="s">
        <v>36</v>
      </c>
      <c r="G1101" s="46" t="s">
        <v>36</v>
      </c>
      <c r="H1101" s="46" t="s">
        <v>36</v>
      </c>
      <c r="I1101" s="46" t="s">
        <v>36</v>
      </c>
      <c r="J1101" s="46" t="s">
        <v>36</v>
      </c>
      <c r="K1101" s="46" t="s">
        <v>37</v>
      </c>
      <c r="L1101" s="46" t="s">
        <v>36</v>
      </c>
      <c r="M1101" s="46" t="s">
        <v>36</v>
      </c>
      <c r="N1101" s="46" t="s">
        <v>36</v>
      </c>
      <c r="O1101" s="46" t="s">
        <v>36</v>
      </c>
      <c r="P1101" s="46" t="s">
        <v>36</v>
      </c>
      <c r="Q1101" s="46" t="s">
        <v>36</v>
      </c>
      <c r="R1101" s="46" t="s">
        <v>37</v>
      </c>
      <c r="S1101" s="46" t="s">
        <v>36</v>
      </c>
      <c r="T1101" s="46" t="s">
        <v>36</v>
      </c>
      <c r="U1101" s="46" t="s">
        <v>36</v>
      </c>
      <c r="V1101" s="46" t="s">
        <v>36</v>
      </c>
      <c r="W1101" s="46" t="s">
        <v>36</v>
      </c>
      <c r="X1101" s="46" t="s">
        <v>36</v>
      </c>
      <c r="Y1101" s="46" t="s">
        <v>37</v>
      </c>
      <c r="Z1101" s="46" t="s">
        <v>36</v>
      </c>
      <c r="AA1101" s="46" t="s">
        <v>36</v>
      </c>
      <c r="AB1101" s="46" t="s">
        <v>36</v>
      </c>
      <c r="AC1101" s="46" t="s">
        <v>36</v>
      </c>
      <c r="AD1101" s="46" t="s">
        <v>36</v>
      </c>
      <c r="AE1101" s="46" t="s">
        <v>36</v>
      </c>
      <c r="AF1101" s="46" t="s">
        <v>37</v>
      </c>
      <c r="AG1101" s="46" t="s">
        <v>36</v>
      </c>
      <c r="AH1101" s="46" t="s">
        <v>43</v>
      </c>
      <c r="AI1101" s="46" t="s">
        <v>36</v>
      </c>
      <c r="AJ1101" s="46">
        <f>=SUM(E1102:AI1102)</f>
      </c>
      <c r="AK1101" s="46">
        <f>=+AY1101</f>
      </c>
      <c r="AL1101" s="46"/>
      <c r="AM1101" s="1"/>
      <c r="AN1101" s="1">
        <f>=COUNTIF(E1101:AI1101,"A")+COUNTIF(E1101:AI1101,"B")+COUNTIF(E1101:AI1101,"C")+COUNTIF(E1101:AI1101,"D")+COUNTIF(E1101:AI1101,"E")+COUNTIF(E1101:AI1101,"F")+COUNTIF(E1101:AI1101,"M")+COUNTIF(E1101:AI1101,"AB")+COUNTIF(E1101:AI1101,"UZ")+COUNTIF(E1101:AI1101,"G")+(COUNTIF(E1101:AI1101,"RT.")/2)+(COUNTIF(E1101:AI1101,"ÇRT.")/2)</f>
      </c>
      <c r="AO1101" s="1">
        <f>=COUNTIF(E1101:AI1101,"O")</f>
      </c>
      <c r="AP1101" s="1">
        <f>=COUNTIF(E1101:AI1101,"RT")+(COUNTIF(E1101:AI1101,"RT.")/2)</f>
      </c>
      <c r="AQ1101" s="1">
        <f>=COUNTIF(E1101:AI1101,"ÇRT")+(COUNTIF(E1101:AI1101,"ÇRT.")/2)</f>
      </c>
      <c r="AR1101" s="1">
        <f>=COUNTIF(E1101:AI1101,"ÇHT")</f>
      </c>
      <c r="AS1101" s="1">
        <f>=COUNTIF(E1101:AI1101,"Ö")+COUNTIF(E1101:AI1101,"T")</f>
      </c>
      <c r="AT1101" s="1">
        <f>=COUNTIF(E1101:AI1101,"Y")</f>
      </c>
      <c r="AU1101" s="1">
        <f>=COUNTIF(E1101:AI1101,"R.")</f>
      </c>
      <c r="AV1101" s="1">
        <f>=COUNTIF(E1101:AI1101,"Ü")</f>
      </c>
      <c r="AW1101" s="1">
        <f>=COUNTIF(E1101:AI1101,"R")</f>
      </c>
      <c r="AX1101" s="1">
        <f>=COUNTIF(E1101:AI1101,"DV")</f>
      </c>
      <c r="AY1101" s="1">
        <f>=+AN1101+AO1101+AP1101+AQ1101+AR1101+AS1101+AT1101+AU1101</f>
      </c>
    </row>
    <row r="1102" ht="16" customHeight="1" spans="1:51" x14ac:dyDescent="0.25">
      <c r="A1102" s="45"/>
      <c r="B1102" s="46"/>
      <c r="C1102" s="46"/>
      <c r="D1102" s="46" t="s">
        <v>33</v>
      </c>
      <c r="E1102" s="46"/>
      <c r="F1102" s="46"/>
      <c r="G1102" s="46"/>
      <c r="H1102" s="46"/>
      <c r="I1102" s="46"/>
      <c r="J1102" s="46"/>
      <c r="K1102" s="46"/>
      <c r="L1102" s="46"/>
      <c r="M1102" s="46"/>
      <c r="N1102" s="46"/>
      <c r="O1102" s="46"/>
      <c r="P1102" s="46"/>
      <c r="Q1102" s="46"/>
      <c r="R1102" s="46"/>
      <c r="S1102" s="46"/>
      <c r="T1102" s="46"/>
      <c r="U1102" s="46"/>
      <c r="V1102" s="46"/>
      <c r="W1102" s="46"/>
      <c r="X1102" s="46"/>
      <c r="Y1102" s="46"/>
      <c r="Z1102" s="46"/>
      <c r="AA1102" s="46"/>
      <c r="AB1102" s="46"/>
      <c r="AC1102" s="46"/>
      <c r="AD1102" s="46"/>
      <c r="AE1102" s="46"/>
      <c r="AF1102" s="46"/>
      <c r="AG1102" s="46"/>
      <c r="AH1102" s="46"/>
      <c r="AI1102" s="46"/>
      <c r="AJ1102" s="46"/>
      <c r="AK1102" s="46"/>
      <c r="AL1102" s="46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</row>
    <row r="1103" ht="16" customHeight="1" spans="1:51" x14ac:dyDescent="0.25">
      <c r="A1103" s="45"/>
      <c r="B1103" s="46" t="s">
        <v>1153</v>
      </c>
      <c r="C1103" s="46" t="s">
        <v>1154</v>
      </c>
      <c r="D1103" s="46" t="s">
        <v>29</v>
      </c>
      <c r="E1103" s="46" t="s">
        <v>37</v>
      </c>
      <c r="F1103" s="46" t="s">
        <v>36</v>
      </c>
      <c r="G1103" s="46" t="s">
        <v>36</v>
      </c>
      <c r="H1103" s="46" t="s">
        <v>36</v>
      </c>
      <c r="I1103" s="46" t="s">
        <v>36</v>
      </c>
      <c r="J1103" s="46" t="s">
        <v>36</v>
      </c>
      <c r="K1103" s="46" t="s">
        <v>36</v>
      </c>
      <c r="L1103" s="46" t="s">
        <v>37</v>
      </c>
      <c r="M1103" s="46" t="s">
        <v>36</v>
      </c>
      <c r="N1103" s="46" t="s">
        <v>36</v>
      </c>
      <c r="O1103" s="46" t="s">
        <v>36</v>
      </c>
      <c r="P1103" s="46" t="s">
        <v>36</v>
      </c>
      <c r="Q1103" s="46" t="s">
        <v>36</v>
      </c>
      <c r="R1103" s="46" t="s">
        <v>36</v>
      </c>
      <c r="S1103" s="46" t="s">
        <v>37</v>
      </c>
      <c r="T1103" s="46" t="s">
        <v>36</v>
      </c>
      <c r="U1103" s="46" t="s">
        <v>36</v>
      </c>
      <c r="V1103" s="46" t="s">
        <v>36</v>
      </c>
      <c r="W1103" s="46" t="s">
        <v>36</v>
      </c>
      <c r="X1103" s="46" t="s">
        <v>36</v>
      </c>
      <c r="Y1103" s="46" t="s">
        <v>36</v>
      </c>
      <c r="Z1103" s="46" t="s">
        <v>36</v>
      </c>
      <c r="AA1103" s="46" t="s">
        <v>36</v>
      </c>
      <c r="AB1103" s="46" t="s">
        <v>36</v>
      </c>
      <c r="AC1103" s="46" t="s">
        <v>36</v>
      </c>
      <c r="AD1103" s="46" t="s">
        <v>37</v>
      </c>
      <c r="AE1103" s="46" t="s">
        <v>36</v>
      </c>
      <c r="AF1103" s="46" t="s">
        <v>36</v>
      </c>
      <c r="AG1103" s="46" t="s">
        <v>37</v>
      </c>
      <c r="AH1103" s="46" t="s">
        <v>43</v>
      </c>
      <c r="AI1103" s="46" t="s">
        <v>36</v>
      </c>
      <c r="AJ1103" s="46">
        <f>=SUM(E1104:AI1104)</f>
      </c>
      <c r="AK1103" s="46">
        <f>=+AY1103</f>
      </c>
      <c r="AL1103" s="46"/>
      <c r="AM1103" s="1"/>
      <c r="AN1103" s="1">
        <f>=COUNTIF(E1103:AI1103,"A")+COUNTIF(E1103:AI1103,"B")+COUNTIF(E1103:AI1103,"C")+COUNTIF(E1103:AI1103,"D")+COUNTIF(E1103:AI1103,"E")+COUNTIF(E1103:AI1103,"F")+COUNTIF(E1103:AI1103,"M")+COUNTIF(E1103:AI1103,"AB")+COUNTIF(E1103:AI1103,"UZ")+COUNTIF(E1103:AI1103,"G")+(COUNTIF(E1103:AI1103,"RT.")/2)+(COUNTIF(E1103:AI1103,"ÇRT.")/2)</f>
      </c>
      <c r="AO1103" s="1">
        <f>=COUNTIF(E1103:AI1103,"O")</f>
      </c>
      <c r="AP1103" s="1">
        <f>=COUNTIF(E1103:AI1103,"RT")+(COUNTIF(E1103:AI1103,"RT.")/2)</f>
      </c>
      <c r="AQ1103" s="1">
        <f>=COUNTIF(E1103:AI1103,"ÇRT")+(COUNTIF(E1103:AI1103,"ÇRT.")/2)</f>
      </c>
      <c r="AR1103" s="1">
        <f>=COUNTIF(E1103:AI1103,"ÇHT")</f>
      </c>
      <c r="AS1103" s="1">
        <f>=COUNTIF(E1103:AI1103,"Ö")+COUNTIF(E1103:AI1103,"T")</f>
      </c>
      <c r="AT1103" s="1">
        <f>=COUNTIF(E1103:AI1103,"Y")</f>
      </c>
      <c r="AU1103" s="1">
        <f>=COUNTIF(E1103:AI1103,"R.")</f>
      </c>
      <c r="AV1103" s="1">
        <f>=COUNTIF(E1103:AI1103,"Ü")</f>
      </c>
      <c r="AW1103" s="1">
        <f>=COUNTIF(E1103:AI1103,"R")</f>
      </c>
      <c r="AX1103" s="1">
        <f>=COUNTIF(E1103:AI1103,"DV")</f>
      </c>
      <c r="AY1103" s="1">
        <f>=+AN1103+AO1103+AP1103+AQ1103+AR1103+AS1103+AT1103+AU1103</f>
      </c>
    </row>
    <row r="1104" ht="16" customHeight="1" spans="1:51" x14ac:dyDescent="0.25">
      <c r="A1104" s="45"/>
      <c r="B1104" s="46"/>
      <c r="C1104" s="46"/>
      <c r="D1104" s="46" t="s">
        <v>33</v>
      </c>
      <c r="E1104" s="46"/>
      <c r="F1104" s="46"/>
      <c r="G1104" s="46"/>
      <c r="H1104" s="46"/>
      <c r="I1104" s="46"/>
      <c r="J1104" s="46"/>
      <c r="K1104" s="46"/>
      <c r="L1104" s="46"/>
      <c r="M1104" s="46"/>
      <c r="N1104" s="46"/>
      <c r="O1104" s="46"/>
      <c r="P1104" s="46"/>
      <c r="Q1104" s="46"/>
      <c r="R1104" s="46"/>
      <c r="S1104" s="46"/>
      <c r="T1104" s="46"/>
      <c r="U1104" s="46"/>
      <c r="V1104" s="46"/>
      <c r="W1104" s="46"/>
      <c r="X1104" s="46"/>
      <c r="Y1104" s="46"/>
      <c r="Z1104" s="46"/>
      <c r="AA1104" s="46"/>
      <c r="AB1104" s="46"/>
      <c r="AC1104" s="46"/>
      <c r="AD1104" s="46"/>
      <c r="AE1104" s="46"/>
      <c r="AF1104" s="46"/>
      <c r="AG1104" s="46"/>
      <c r="AH1104" s="46"/>
      <c r="AI1104" s="46"/>
      <c r="AJ1104" s="46"/>
      <c r="AK1104" s="46"/>
      <c r="AL1104" s="46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</row>
    <row r="1105" ht="16" customHeight="1" spans="1:51" x14ac:dyDescent="0.25">
      <c r="A1105" s="45"/>
      <c r="B1105" s="46" t="s">
        <v>1155</v>
      </c>
      <c r="C1105" s="46" t="s">
        <v>1156</v>
      </c>
      <c r="D1105" s="46" t="s">
        <v>29</v>
      </c>
      <c r="E1105" s="46" t="s">
        <v>36</v>
      </c>
      <c r="F1105" s="46" t="s">
        <v>36</v>
      </c>
      <c r="G1105" s="46" t="s">
        <v>37</v>
      </c>
      <c r="H1105" s="46" t="s">
        <v>36</v>
      </c>
      <c r="I1105" s="46" t="s">
        <v>36</v>
      </c>
      <c r="J1105" s="46" t="s">
        <v>36</v>
      </c>
      <c r="K1105" s="46" t="s">
        <v>36</v>
      </c>
      <c r="L1105" s="46" t="s">
        <v>36</v>
      </c>
      <c r="M1105" s="46" t="s">
        <v>36</v>
      </c>
      <c r="N1105" s="46" t="s">
        <v>37</v>
      </c>
      <c r="O1105" s="46" t="s">
        <v>36</v>
      </c>
      <c r="P1105" s="46" t="s">
        <v>36</v>
      </c>
      <c r="Q1105" s="46" t="s">
        <v>36</v>
      </c>
      <c r="R1105" s="46" t="s">
        <v>36</v>
      </c>
      <c r="S1105" s="46" t="s">
        <v>36</v>
      </c>
      <c r="T1105" s="46" t="s">
        <v>36</v>
      </c>
      <c r="U1105" s="46" t="s">
        <v>37</v>
      </c>
      <c r="V1105" s="46" t="s">
        <v>36</v>
      </c>
      <c r="W1105" s="46" t="s">
        <v>36</v>
      </c>
      <c r="X1105" s="46" t="s">
        <v>36</v>
      </c>
      <c r="Y1105" s="46" t="s">
        <v>36</v>
      </c>
      <c r="Z1105" s="46" t="s">
        <v>36</v>
      </c>
      <c r="AA1105" s="46" t="s">
        <v>36</v>
      </c>
      <c r="AB1105" s="46" t="s">
        <v>37</v>
      </c>
      <c r="AC1105" s="46" t="s">
        <v>36</v>
      </c>
      <c r="AD1105" s="46" t="s">
        <v>36</v>
      </c>
      <c r="AE1105" s="46" t="s">
        <v>36</v>
      </c>
      <c r="AF1105" s="46" t="s">
        <v>36</v>
      </c>
      <c r="AG1105" s="46" t="s">
        <v>36</v>
      </c>
      <c r="AH1105" s="46" t="s">
        <v>43</v>
      </c>
      <c r="AI1105" s="46" t="s">
        <v>37</v>
      </c>
      <c r="AJ1105" s="46">
        <f>=SUM(E1106:AI1106)</f>
      </c>
      <c r="AK1105" s="46">
        <f>=+AY1105</f>
      </c>
      <c r="AL1105" s="46"/>
      <c r="AM1105" s="1"/>
      <c r="AN1105" s="1">
        <f>=COUNTIF(E1105:AI1105,"A")+COUNTIF(E1105:AI1105,"B")+COUNTIF(E1105:AI1105,"C")+COUNTIF(E1105:AI1105,"D")+COUNTIF(E1105:AI1105,"E")+COUNTIF(E1105:AI1105,"F")+COUNTIF(E1105:AI1105,"M")+COUNTIF(E1105:AI1105,"AB")+COUNTIF(E1105:AI1105,"UZ")+COUNTIF(E1105:AI1105,"G")+(COUNTIF(E1105:AI1105,"RT.")/2)+(COUNTIF(E1105:AI1105,"ÇRT.")/2)</f>
      </c>
      <c r="AO1105" s="1">
        <f>=COUNTIF(E1105:AI1105,"O")</f>
      </c>
      <c r="AP1105" s="1">
        <f>=COUNTIF(E1105:AI1105,"RT")+(COUNTIF(E1105:AI1105,"RT.")/2)</f>
      </c>
      <c r="AQ1105" s="1">
        <f>=COUNTIF(E1105:AI1105,"ÇRT")+(COUNTIF(E1105:AI1105,"ÇRT.")/2)</f>
      </c>
      <c r="AR1105" s="1">
        <f>=COUNTIF(E1105:AI1105,"ÇHT")</f>
      </c>
      <c r="AS1105" s="1">
        <f>=COUNTIF(E1105:AI1105,"Ö")+COUNTIF(E1105:AI1105,"T")</f>
      </c>
      <c r="AT1105" s="1">
        <f>=COUNTIF(E1105:AI1105,"Y")</f>
      </c>
      <c r="AU1105" s="1">
        <f>=COUNTIF(E1105:AI1105,"R.")</f>
      </c>
      <c r="AV1105" s="1">
        <f>=COUNTIF(E1105:AI1105,"Ü")</f>
      </c>
      <c r="AW1105" s="1">
        <f>=COUNTIF(E1105:AI1105,"R")</f>
      </c>
      <c r="AX1105" s="1">
        <f>=COUNTIF(E1105:AI1105,"DV")</f>
      </c>
      <c r="AY1105" s="1">
        <f>=+AN1105+AO1105+AP1105+AQ1105+AR1105+AS1105+AT1105+AU1105</f>
      </c>
    </row>
    <row r="1106" ht="16" customHeight="1" spans="1:51" x14ac:dyDescent="0.25">
      <c r="A1106" s="45"/>
      <c r="B1106" s="46"/>
      <c r="C1106" s="46"/>
      <c r="D1106" s="46" t="s">
        <v>33</v>
      </c>
      <c r="E1106" s="46"/>
      <c r="F1106" s="46"/>
      <c r="G1106" s="46"/>
      <c r="H1106" s="46"/>
      <c r="I1106" s="46"/>
      <c r="J1106" s="46"/>
      <c r="K1106" s="46"/>
      <c r="L1106" s="46"/>
      <c r="M1106" s="46"/>
      <c r="N1106" s="46"/>
      <c r="O1106" s="46"/>
      <c r="P1106" s="46"/>
      <c r="Q1106" s="46"/>
      <c r="R1106" s="46"/>
      <c r="S1106" s="46"/>
      <c r="T1106" s="46"/>
      <c r="U1106" s="46"/>
      <c r="V1106" s="46"/>
      <c r="W1106" s="46"/>
      <c r="X1106" s="46"/>
      <c r="Y1106" s="46"/>
      <c r="Z1106" s="46"/>
      <c r="AA1106" s="46"/>
      <c r="AB1106" s="46"/>
      <c r="AC1106" s="46"/>
      <c r="AD1106" s="46"/>
      <c r="AE1106" s="46"/>
      <c r="AF1106" s="46"/>
      <c r="AG1106" s="46"/>
      <c r="AH1106" s="46"/>
      <c r="AI1106" s="46"/>
      <c r="AJ1106" s="46"/>
      <c r="AK1106" s="46"/>
      <c r="AL1106" s="46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</row>
    <row r="1107" ht="16" customHeight="1" spans="1:51" x14ac:dyDescent="0.25">
      <c r="A1107" s="45"/>
      <c r="B1107" s="46" t="s">
        <v>1157</v>
      </c>
      <c r="C1107" s="46" t="s">
        <v>1158</v>
      </c>
      <c r="D1107" s="46" t="s">
        <v>29</v>
      </c>
      <c r="E1107" s="46" t="s">
        <v>59</v>
      </c>
      <c r="F1107" s="46" t="s">
        <v>59</v>
      </c>
      <c r="G1107" s="46" t="s">
        <v>59</v>
      </c>
      <c r="H1107" s="46" t="s">
        <v>59</v>
      </c>
      <c r="I1107" s="46" t="s">
        <v>37</v>
      </c>
      <c r="J1107" s="46" t="s">
        <v>30</v>
      </c>
      <c r="K1107" s="46" t="s">
        <v>30</v>
      </c>
      <c r="L1107" s="46" t="s">
        <v>30</v>
      </c>
      <c r="M1107" s="46" t="s">
        <v>30</v>
      </c>
      <c r="N1107" s="46" t="s">
        <v>30</v>
      </c>
      <c r="O1107" s="46" t="s">
        <v>30</v>
      </c>
      <c r="P1107" s="46" t="s">
        <v>37</v>
      </c>
      <c r="Q1107" s="46" t="s">
        <v>30</v>
      </c>
      <c r="R1107" s="46" t="s">
        <v>30</v>
      </c>
      <c r="S1107" s="46" t="s">
        <v>30</v>
      </c>
      <c r="T1107" s="46" t="s">
        <v>30</v>
      </c>
      <c r="U1107" s="46" t="s">
        <v>30</v>
      </c>
      <c r="V1107" s="46" t="s">
        <v>30</v>
      </c>
      <c r="W1107" s="46" t="s">
        <v>37</v>
      </c>
      <c r="X1107" s="46" t="s">
        <v>59</v>
      </c>
      <c r="Y1107" s="46" t="s">
        <v>59</v>
      </c>
      <c r="Z1107" s="46" t="s">
        <v>59</v>
      </c>
      <c r="AA1107" s="46" t="s">
        <v>59</v>
      </c>
      <c r="AB1107" s="46" t="s">
        <v>59</v>
      </c>
      <c r="AC1107" s="46" t="s">
        <v>59</v>
      </c>
      <c r="AD1107" s="46" t="s">
        <v>37</v>
      </c>
      <c r="AE1107" s="46" t="s">
        <v>59</v>
      </c>
      <c r="AF1107" s="46" t="s">
        <v>59</v>
      </c>
      <c r="AG1107" s="46" t="s">
        <v>59</v>
      </c>
      <c r="AH1107" s="46" t="s">
        <v>43</v>
      </c>
      <c r="AI1107" s="46" t="s">
        <v>59</v>
      </c>
      <c r="AJ1107" s="46">
        <f>=SUM(E1108:AI1108)</f>
      </c>
      <c r="AK1107" s="46">
        <f>=+AY1107</f>
      </c>
      <c r="AL1107" s="46"/>
      <c r="AM1107" s="1"/>
      <c r="AN1107" s="1">
        <f>=COUNTIF(E1107:AI1107,"A")+COUNTIF(E1107:AI1107,"B")+COUNTIF(E1107:AI1107,"C")+COUNTIF(E1107:AI1107,"D")+COUNTIF(E1107:AI1107,"E")+COUNTIF(E1107:AI1107,"F")+COUNTIF(E1107:AI1107,"M")+COUNTIF(E1107:AI1107,"AB")+COUNTIF(E1107:AI1107,"UZ")+COUNTIF(E1107:AI1107,"G")+(COUNTIF(E1107:AI1107,"RT.")/2)+(COUNTIF(E1107:AI1107,"ÇRT.")/2)</f>
      </c>
      <c r="AO1107" s="1">
        <f>=COUNTIF(E1107:AI1107,"O")</f>
      </c>
      <c r="AP1107" s="1">
        <f>=COUNTIF(E1107:AI1107,"RT")+(COUNTIF(E1107:AI1107,"RT.")/2)</f>
      </c>
      <c r="AQ1107" s="1">
        <f>=COUNTIF(E1107:AI1107,"ÇRT")+(COUNTIF(E1107:AI1107,"ÇRT.")/2)</f>
      </c>
      <c r="AR1107" s="1">
        <f>=COUNTIF(E1107:AI1107,"ÇHT")</f>
      </c>
      <c r="AS1107" s="1">
        <f>=COUNTIF(E1107:AI1107,"Ö")+COUNTIF(E1107:AI1107,"T")</f>
      </c>
      <c r="AT1107" s="1">
        <f>=COUNTIF(E1107:AI1107,"Y")</f>
      </c>
      <c r="AU1107" s="1">
        <f>=COUNTIF(E1107:AI1107,"R.")</f>
      </c>
      <c r="AV1107" s="1">
        <f>=COUNTIF(E1107:AI1107,"Ü")</f>
      </c>
      <c r="AW1107" s="1">
        <f>=COUNTIF(E1107:AI1107,"R")</f>
      </c>
      <c r="AX1107" s="1">
        <f>=COUNTIF(E1107:AI1107,"DV")</f>
      </c>
      <c r="AY1107" s="1">
        <f>=+AN1107+AO1107+AP1107+AQ1107+AR1107+AS1107+AT1107+AU1107</f>
      </c>
    </row>
    <row r="1108" ht="16" customHeight="1" spans="1:51" x14ac:dyDescent="0.25">
      <c r="A1108" s="45"/>
      <c r="B1108" s="46"/>
      <c r="C1108" s="46"/>
      <c r="D1108" s="46" t="s">
        <v>33</v>
      </c>
      <c r="E1108" s="46">
        <v>0</v>
      </c>
      <c r="F1108" s="46"/>
      <c r="G1108" s="46"/>
      <c r="H1108" s="46"/>
      <c r="I1108" s="46"/>
      <c r="J1108" s="46">
        <v>0</v>
      </c>
      <c r="K1108" s="46"/>
      <c r="L1108" s="46"/>
      <c r="M1108" s="46"/>
      <c r="N1108" s="46"/>
      <c r="O1108" s="46"/>
      <c r="P1108" s="46"/>
      <c r="Q1108" s="46"/>
      <c r="R1108" s="46"/>
      <c r="S1108" s="46"/>
      <c r="T1108" s="46"/>
      <c r="U1108" s="46"/>
      <c r="V1108" s="46"/>
      <c r="W1108" s="46"/>
      <c r="X1108" s="46"/>
      <c r="Y1108" s="46"/>
      <c r="Z1108" s="46"/>
      <c r="AA1108" s="46"/>
      <c r="AB1108" s="46"/>
      <c r="AC1108" s="46"/>
      <c r="AD1108" s="46"/>
      <c r="AE1108" s="46"/>
      <c r="AF1108" s="46">
        <v>0</v>
      </c>
      <c r="AG1108" s="46">
        <v>0</v>
      </c>
      <c r="AH1108" s="46"/>
      <c r="AI1108" s="46"/>
      <c r="AJ1108" s="46"/>
      <c r="AK1108" s="46"/>
      <c r="AL1108" s="46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/>
      <c r="AY1108" s="1"/>
    </row>
    <row r="1109" ht="16" customHeight="1" spans="1:51" x14ac:dyDescent="0.25">
      <c r="A1109" s="45"/>
      <c r="B1109" s="46" t="s">
        <v>1159</v>
      </c>
      <c r="C1109" s="46" t="s">
        <v>1160</v>
      </c>
      <c r="D1109" s="46" t="s">
        <v>29</v>
      </c>
      <c r="E1109" s="46" t="s">
        <v>59</v>
      </c>
      <c r="F1109" s="46" t="s">
        <v>37</v>
      </c>
      <c r="G1109" s="46" t="s">
        <v>59</v>
      </c>
      <c r="H1109" s="46" t="s">
        <v>59</v>
      </c>
      <c r="I1109" s="46" t="s">
        <v>59</v>
      </c>
      <c r="J1109" s="46" t="s">
        <v>59</v>
      </c>
      <c r="K1109" s="46" t="s">
        <v>37</v>
      </c>
      <c r="L1109" s="46" t="s">
        <v>59</v>
      </c>
      <c r="M1109" s="46" t="s">
        <v>59</v>
      </c>
      <c r="N1109" s="46" t="s">
        <v>59</v>
      </c>
      <c r="O1109" s="46" t="s">
        <v>59</v>
      </c>
      <c r="P1109" s="46" t="s">
        <v>59</v>
      </c>
      <c r="Q1109" s="46" t="s">
        <v>59</v>
      </c>
      <c r="R1109" s="46" t="s">
        <v>59</v>
      </c>
      <c r="S1109" s="46" t="s">
        <v>59</v>
      </c>
      <c r="T1109" s="46" t="s">
        <v>37</v>
      </c>
      <c r="U1109" s="46" t="s">
        <v>59</v>
      </c>
      <c r="V1109" s="46" t="s">
        <v>59</v>
      </c>
      <c r="W1109" s="46" t="s">
        <v>59</v>
      </c>
      <c r="X1109" s="46" t="s">
        <v>59</v>
      </c>
      <c r="Y1109" s="46" t="s">
        <v>59</v>
      </c>
      <c r="Z1109" s="46" t="s">
        <v>59</v>
      </c>
      <c r="AA1109" s="46" t="s">
        <v>37</v>
      </c>
      <c r="AB1109" s="46" t="s">
        <v>59</v>
      </c>
      <c r="AC1109" s="46" t="s">
        <v>59</v>
      </c>
      <c r="AD1109" s="46" t="s">
        <v>59</v>
      </c>
      <c r="AE1109" s="46" t="s">
        <v>59</v>
      </c>
      <c r="AF1109" s="46" t="s">
        <v>59</v>
      </c>
      <c r="AG1109" s="46" t="s">
        <v>37</v>
      </c>
      <c r="AH1109" s="46" t="s">
        <v>43</v>
      </c>
      <c r="AI1109" s="46" t="s">
        <v>59</v>
      </c>
      <c r="AJ1109" s="46">
        <f>=SUM(E1110:AI1110)</f>
      </c>
      <c r="AK1109" s="46">
        <f>=+AY1109</f>
      </c>
      <c r="AL1109" s="46"/>
      <c r="AM1109" s="1"/>
      <c r="AN1109" s="1">
        <f>=COUNTIF(E1109:AI1109,"A")+COUNTIF(E1109:AI1109,"B")+COUNTIF(E1109:AI1109,"C")+COUNTIF(E1109:AI1109,"D")+COUNTIF(E1109:AI1109,"E")+COUNTIF(E1109:AI1109,"F")+COUNTIF(E1109:AI1109,"M")+COUNTIF(E1109:AI1109,"AB")+COUNTIF(E1109:AI1109,"UZ")+COUNTIF(E1109:AI1109,"G")+(COUNTIF(E1109:AI1109,"RT.")/2)+(COUNTIF(E1109:AI1109,"ÇRT.")/2)</f>
      </c>
      <c r="AO1109" s="1">
        <f>=COUNTIF(E1109:AI1109,"O")</f>
      </c>
      <c r="AP1109" s="1">
        <f>=COUNTIF(E1109:AI1109,"RT")+(COUNTIF(E1109:AI1109,"RT.")/2)</f>
      </c>
      <c r="AQ1109" s="1">
        <f>=COUNTIF(E1109:AI1109,"ÇRT")+(COUNTIF(E1109:AI1109,"ÇRT.")/2)</f>
      </c>
      <c r="AR1109" s="1">
        <f>=COUNTIF(E1109:AI1109,"ÇHT")</f>
      </c>
      <c r="AS1109" s="1">
        <f>=COUNTIF(E1109:AI1109,"Ö")+COUNTIF(E1109:AI1109,"T")</f>
      </c>
      <c r="AT1109" s="1">
        <f>=COUNTIF(E1109:AI1109,"Y")</f>
      </c>
      <c r="AU1109" s="1">
        <f>=COUNTIF(E1109:AI1109,"R.")</f>
      </c>
      <c r="AV1109" s="1">
        <f>=COUNTIF(E1109:AI1109,"Ü")</f>
      </c>
      <c r="AW1109" s="1">
        <f>=COUNTIF(E1109:AI1109,"R")</f>
      </c>
      <c r="AX1109" s="1">
        <f>=COUNTIF(E1109:AI1109,"DV")</f>
      </c>
      <c r="AY1109" s="1">
        <f>=+AN1109+AO1109+AP1109+AQ1109+AR1109+AS1109+AT1109+AU1109</f>
      </c>
    </row>
    <row r="1110" ht="16" customHeight="1" spans="1:51" x14ac:dyDescent="0.25">
      <c r="A1110" s="45"/>
      <c r="B1110" s="46"/>
      <c r="C1110" s="46"/>
      <c r="D1110" s="46" t="s">
        <v>33</v>
      </c>
      <c r="E1110" s="46"/>
      <c r="F1110" s="46"/>
      <c r="G1110" s="46"/>
      <c r="H1110" s="46"/>
      <c r="I1110" s="46"/>
      <c r="J1110" s="46"/>
      <c r="K1110" s="46"/>
      <c r="L1110" s="46"/>
      <c r="M1110" s="46"/>
      <c r="N1110" s="46"/>
      <c r="O1110" s="46"/>
      <c r="P1110" s="46"/>
      <c r="Q1110" s="46"/>
      <c r="R1110" s="46"/>
      <c r="S1110" s="46"/>
      <c r="T1110" s="46"/>
      <c r="U1110" s="46"/>
      <c r="V1110" s="46"/>
      <c r="W1110" s="46"/>
      <c r="X1110" s="46"/>
      <c r="Y1110" s="46"/>
      <c r="Z1110" s="46"/>
      <c r="AA1110" s="46"/>
      <c r="AB1110" s="46"/>
      <c r="AC1110" s="46"/>
      <c r="AD1110" s="46"/>
      <c r="AE1110" s="46"/>
      <c r="AF1110" s="46"/>
      <c r="AG1110" s="46"/>
      <c r="AH1110" s="46"/>
      <c r="AI1110" s="46"/>
      <c r="AJ1110" s="46"/>
      <c r="AK1110" s="46"/>
      <c r="AL1110" s="46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  <c r="AY1110" s="1"/>
    </row>
    <row r="1111" ht="16" customHeight="1" spans="1:51" x14ac:dyDescent="0.25">
      <c r="A1111" s="45"/>
      <c r="B1111" s="46" t="s">
        <v>1161</v>
      </c>
      <c r="C1111" s="46" t="s">
        <v>1162</v>
      </c>
      <c r="D1111" s="46" t="s">
        <v>29</v>
      </c>
      <c r="E1111" s="46" t="s">
        <v>36</v>
      </c>
      <c r="F1111" s="46" t="s">
        <v>36</v>
      </c>
      <c r="G1111" s="46" t="s">
        <v>36</v>
      </c>
      <c r="H1111" s="46" t="s">
        <v>36</v>
      </c>
      <c r="I1111" s="46" t="s">
        <v>36</v>
      </c>
      <c r="J1111" s="46" t="s">
        <v>36</v>
      </c>
      <c r="K1111" s="46" t="s">
        <v>37</v>
      </c>
      <c r="L1111" s="46" t="s">
        <v>36</v>
      </c>
      <c r="M1111" s="46" t="s">
        <v>36</v>
      </c>
      <c r="N1111" s="46" t="s">
        <v>36</v>
      </c>
      <c r="O1111" s="46" t="s">
        <v>36</v>
      </c>
      <c r="P1111" s="46" t="s">
        <v>153</v>
      </c>
      <c r="Q1111" s="46" t="s">
        <v>36</v>
      </c>
      <c r="R1111" s="46" t="s">
        <v>37</v>
      </c>
      <c r="S1111" s="46" t="s">
        <v>36</v>
      </c>
      <c r="T1111" s="46" t="s">
        <v>36</v>
      </c>
      <c r="U1111" s="46" t="s">
        <v>36</v>
      </c>
      <c r="V1111" s="46" t="s">
        <v>36</v>
      </c>
      <c r="W1111" s="46" t="s">
        <v>36</v>
      </c>
      <c r="X1111" s="46" t="s">
        <v>36</v>
      </c>
      <c r="Y1111" s="46" t="s">
        <v>37</v>
      </c>
      <c r="Z1111" s="46" t="s">
        <v>36</v>
      </c>
      <c r="AA1111" s="46" t="s">
        <v>36</v>
      </c>
      <c r="AB1111" s="46" t="s">
        <v>36</v>
      </c>
      <c r="AC1111" s="46" t="s">
        <v>31</v>
      </c>
      <c r="AD1111" s="46" t="s">
        <v>36</v>
      </c>
      <c r="AE1111" s="46" t="s">
        <v>36</v>
      </c>
      <c r="AF1111" s="46" t="s">
        <v>37</v>
      </c>
      <c r="AG1111" s="46" t="s">
        <v>36</v>
      </c>
      <c r="AH1111" s="46" t="s">
        <v>43</v>
      </c>
      <c r="AI1111" s="46" t="s">
        <v>36</v>
      </c>
      <c r="AJ1111" s="46">
        <f>=SUM(E1112:AI1112)</f>
      </c>
      <c r="AK1111" s="46">
        <f>=+AY1111</f>
      </c>
      <c r="AL1111" s="46"/>
      <c r="AM1111" s="1"/>
      <c r="AN1111" s="1">
        <f>=COUNTIF(E1111:AI1111,"A")+COUNTIF(E1111:AI1111,"B")+COUNTIF(E1111:AI1111,"C")+COUNTIF(E1111:AI1111,"D")+COUNTIF(E1111:AI1111,"E")+COUNTIF(E1111:AI1111,"F")+COUNTIF(E1111:AI1111,"M")+COUNTIF(E1111:AI1111,"AB")+COUNTIF(E1111:AI1111,"UZ")+COUNTIF(E1111:AI1111,"G")+(COUNTIF(E1111:AI1111,"RT.")/2)+(COUNTIF(E1111:AI1111,"ÇRT.")/2)</f>
      </c>
      <c r="AO1111" s="1">
        <f>=COUNTIF(E1111:AI1111,"O")</f>
      </c>
      <c r="AP1111" s="1">
        <f>=COUNTIF(E1111:AI1111,"RT")+(COUNTIF(E1111:AI1111,"RT.")/2)</f>
      </c>
      <c r="AQ1111" s="1">
        <f>=COUNTIF(E1111:AI1111,"ÇRT")+(COUNTIF(E1111:AI1111,"ÇRT.")/2)</f>
      </c>
      <c r="AR1111" s="1">
        <f>=COUNTIF(E1111:AI1111,"ÇHT")</f>
      </c>
      <c r="AS1111" s="1">
        <f>=COUNTIF(E1111:AI1111,"Ö")+COUNTIF(E1111:AI1111,"T")</f>
      </c>
      <c r="AT1111" s="1">
        <f>=COUNTIF(E1111:AI1111,"Y")</f>
      </c>
      <c r="AU1111" s="1">
        <f>=COUNTIF(E1111:AI1111,"R.")</f>
      </c>
      <c r="AV1111" s="1">
        <f>=COUNTIF(E1111:AI1111,"Ü")</f>
      </c>
      <c r="AW1111" s="1">
        <f>=COUNTIF(E1111:AI1111,"R")</f>
      </c>
      <c r="AX1111" s="1">
        <f>=COUNTIF(E1111:AI1111,"DV")</f>
      </c>
      <c r="AY1111" s="1">
        <f>=+AN1111+AO1111+AP1111+AQ1111+AR1111+AS1111+AT1111+AU1111</f>
      </c>
    </row>
    <row r="1112" ht="16" customHeight="1" spans="1:51" x14ac:dyDescent="0.25">
      <c r="A1112" s="45"/>
      <c r="B1112" s="46"/>
      <c r="C1112" s="46"/>
      <c r="D1112" s="46" t="s">
        <v>33</v>
      </c>
      <c r="E1112" s="46"/>
      <c r="F1112" s="46"/>
      <c r="G1112" s="46"/>
      <c r="H1112" s="46"/>
      <c r="I1112" s="46"/>
      <c r="J1112" s="46"/>
      <c r="K1112" s="46"/>
      <c r="L1112" s="46"/>
      <c r="M1112" s="46"/>
      <c r="N1112" s="46"/>
      <c r="O1112" s="46"/>
      <c r="P1112" s="46"/>
      <c r="Q1112" s="46"/>
      <c r="R1112" s="46"/>
      <c r="S1112" s="46"/>
      <c r="T1112" s="46"/>
      <c r="U1112" s="46"/>
      <c r="V1112" s="46"/>
      <c r="W1112" s="46"/>
      <c r="X1112" s="46"/>
      <c r="Y1112" s="46"/>
      <c r="Z1112" s="46"/>
      <c r="AA1112" s="46"/>
      <c r="AB1112" s="46"/>
      <c r="AC1112" s="46"/>
      <c r="AD1112" s="46"/>
      <c r="AE1112" s="46"/>
      <c r="AF1112" s="46"/>
      <c r="AG1112" s="46"/>
      <c r="AH1112" s="46"/>
      <c r="AI1112" s="46"/>
      <c r="AJ1112" s="46"/>
      <c r="AK1112" s="46"/>
      <c r="AL1112" s="46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  <c r="AX1112" s="1"/>
      <c r="AY1112" s="1"/>
    </row>
    <row r="1113" ht="16" customHeight="1" spans="1:51" x14ac:dyDescent="0.25">
      <c r="A1113" s="45"/>
      <c r="B1113" s="46" t="s">
        <v>1163</v>
      </c>
      <c r="C1113" s="46" t="s">
        <v>1164</v>
      </c>
      <c r="D1113" s="46" t="s">
        <v>29</v>
      </c>
      <c r="E1113" s="46" t="s">
        <v>36</v>
      </c>
      <c r="F1113" s="46" t="s">
        <v>37</v>
      </c>
      <c r="G1113" s="46" t="s">
        <v>36</v>
      </c>
      <c r="H1113" s="46" t="s">
        <v>153</v>
      </c>
      <c r="I1113" s="46" t="s">
        <v>153</v>
      </c>
      <c r="J1113" s="46" t="s">
        <v>37</v>
      </c>
      <c r="K1113" s="46" t="s">
        <v>36</v>
      </c>
      <c r="L1113" s="46" t="s">
        <v>36</v>
      </c>
      <c r="M1113" s="46" t="s">
        <v>36</v>
      </c>
      <c r="N1113" s="46" t="s">
        <v>36</v>
      </c>
      <c r="O1113" s="46" t="s">
        <v>153</v>
      </c>
      <c r="P1113" s="46" t="s">
        <v>37</v>
      </c>
      <c r="Q1113" s="46" t="s">
        <v>153</v>
      </c>
      <c r="R1113" s="46" t="s">
        <v>36</v>
      </c>
      <c r="S1113" s="46" t="s">
        <v>36</v>
      </c>
      <c r="T1113" s="46" t="s">
        <v>36</v>
      </c>
      <c r="U1113" s="46" t="s">
        <v>37</v>
      </c>
      <c r="V1113" s="46" t="s">
        <v>36</v>
      </c>
      <c r="W1113" s="46" t="s">
        <v>36</v>
      </c>
      <c r="X1113" s="46" t="s">
        <v>36</v>
      </c>
      <c r="Y1113" s="46" t="s">
        <v>36</v>
      </c>
      <c r="Z1113" s="46" t="s">
        <v>36</v>
      </c>
      <c r="AA1113" s="46" t="s">
        <v>36</v>
      </c>
      <c r="AB1113" s="46" t="s">
        <v>37</v>
      </c>
      <c r="AC1113" s="46" t="s">
        <v>36</v>
      </c>
      <c r="AD1113" s="46" t="s">
        <v>36</v>
      </c>
      <c r="AE1113" s="46" t="s">
        <v>36</v>
      </c>
      <c r="AF1113" s="46" t="s">
        <v>36</v>
      </c>
      <c r="AG1113" s="46" t="s">
        <v>36</v>
      </c>
      <c r="AH1113" s="46" t="s">
        <v>43</v>
      </c>
      <c r="AI1113" s="46" t="s">
        <v>36</v>
      </c>
      <c r="AJ1113" s="46">
        <f>=SUM(E1114:AI1114)</f>
      </c>
      <c r="AK1113" s="46">
        <f>=+AY1113</f>
      </c>
      <c r="AL1113" s="46"/>
      <c r="AM1113" s="1"/>
      <c r="AN1113" s="1">
        <f>=COUNTIF(E1113:AI1113,"A")+COUNTIF(E1113:AI1113,"B")+COUNTIF(E1113:AI1113,"C")+COUNTIF(E1113:AI1113,"D")+COUNTIF(E1113:AI1113,"E")+COUNTIF(E1113:AI1113,"F")+COUNTIF(E1113:AI1113,"M")+COUNTIF(E1113:AI1113,"AB")+COUNTIF(E1113:AI1113,"UZ")+COUNTIF(E1113:AI1113,"G")+(COUNTIF(E1113:AI1113,"RT.")/2)+(COUNTIF(E1113:AI1113,"ÇRT.")/2)</f>
      </c>
      <c r="AO1113" s="1">
        <f>=COUNTIF(E1113:AI1113,"O")</f>
      </c>
      <c r="AP1113" s="1">
        <f>=COUNTIF(E1113:AI1113,"RT")+(COUNTIF(E1113:AI1113,"RT.")/2)</f>
      </c>
      <c r="AQ1113" s="1">
        <f>=COUNTIF(E1113:AI1113,"ÇRT")+(COUNTIF(E1113:AI1113,"ÇRT.")/2)</f>
      </c>
      <c r="AR1113" s="1">
        <f>=COUNTIF(E1113:AI1113,"ÇHT")</f>
      </c>
      <c r="AS1113" s="1">
        <f>=COUNTIF(E1113:AI1113,"Ö")+COUNTIF(E1113:AI1113,"T")</f>
      </c>
      <c r="AT1113" s="1">
        <f>=COUNTIF(E1113:AI1113,"Y")</f>
      </c>
      <c r="AU1113" s="1">
        <f>=COUNTIF(E1113:AI1113,"R.")</f>
      </c>
      <c r="AV1113" s="1">
        <f>=COUNTIF(E1113:AI1113,"Ü")</f>
      </c>
      <c r="AW1113" s="1">
        <f>=COUNTIF(E1113:AI1113,"R")</f>
      </c>
      <c r="AX1113" s="1">
        <f>=COUNTIF(E1113:AI1113,"DV")</f>
      </c>
      <c r="AY1113" s="1">
        <f>=+AN1113+AO1113+AP1113+AQ1113+AR1113+AS1113+AT1113+AU1113</f>
      </c>
    </row>
    <row r="1114" ht="16" customHeight="1" spans="1:51" x14ac:dyDescent="0.25">
      <c r="A1114" s="45"/>
      <c r="B1114" s="46"/>
      <c r="C1114" s="46"/>
      <c r="D1114" s="46" t="s">
        <v>33</v>
      </c>
      <c r="E1114" s="46"/>
      <c r="F1114" s="46"/>
      <c r="G1114" s="46"/>
      <c r="H1114" s="46"/>
      <c r="I1114" s="46"/>
      <c r="J1114" s="46"/>
      <c r="K1114" s="46"/>
      <c r="L1114" s="46"/>
      <c r="M1114" s="46"/>
      <c r="N1114" s="46"/>
      <c r="O1114" s="46"/>
      <c r="P1114" s="46"/>
      <c r="Q1114" s="46"/>
      <c r="R1114" s="46"/>
      <c r="S1114" s="46"/>
      <c r="T1114" s="46"/>
      <c r="U1114" s="46"/>
      <c r="V1114" s="46"/>
      <c r="W1114" s="46"/>
      <c r="X1114" s="46"/>
      <c r="Y1114" s="46"/>
      <c r="Z1114" s="46"/>
      <c r="AA1114" s="46"/>
      <c r="AB1114" s="46"/>
      <c r="AC1114" s="46"/>
      <c r="AD1114" s="46"/>
      <c r="AE1114" s="46"/>
      <c r="AF1114" s="46"/>
      <c r="AG1114" s="46"/>
      <c r="AH1114" s="46"/>
      <c r="AI1114" s="46"/>
      <c r="AJ1114" s="46"/>
      <c r="AK1114" s="46"/>
      <c r="AL1114" s="46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/>
      <c r="AY1114" s="1"/>
    </row>
    <row r="1115" ht="16" customHeight="1" spans="1:51" x14ac:dyDescent="0.25">
      <c r="A1115" s="45"/>
      <c r="B1115" s="46" t="s">
        <v>1165</v>
      </c>
      <c r="C1115" s="46" t="s">
        <v>1166</v>
      </c>
      <c r="D1115" s="46" t="s">
        <v>29</v>
      </c>
      <c r="E1115" s="46" t="s">
        <v>37</v>
      </c>
      <c r="F1115" s="46" t="s">
        <v>59</v>
      </c>
      <c r="G1115" s="46" t="s">
        <v>59</v>
      </c>
      <c r="H1115" s="46" t="s">
        <v>59</v>
      </c>
      <c r="I1115" s="46" t="s">
        <v>59</v>
      </c>
      <c r="J1115" s="46" t="s">
        <v>59</v>
      </c>
      <c r="K1115" s="46" t="s">
        <v>59</v>
      </c>
      <c r="L1115" s="46" t="s">
        <v>37</v>
      </c>
      <c r="M1115" s="46" t="s">
        <v>59</v>
      </c>
      <c r="N1115" s="46" t="s">
        <v>59</v>
      </c>
      <c r="O1115" s="46" t="s">
        <v>59</v>
      </c>
      <c r="P1115" s="46" t="s">
        <v>59</v>
      </c>
      <c r="Q1115" s="46" t="s">
        <v>59</v>
      </c>
      <c r="R1115" s="46" t="s">
        <v>46</v>
      </c>
      <c r="S1115" s="46" t="s">
        <v>37</v>
      </c>
      <c r="T1115" s="46" t="s">
        <v>59</v>
      </c>
      <c r="U1115" s="46" t="s">
        <v>59</v>
      </c>
      <c r="V1115" s="46" t="s">
        <v>59</v>
      </c>
      <c r="W1115" s="46" t="s">
        <v>31</v>
      </c>
      <c r="X1115" s="46" t="s">
        <v>31</v>
      </c>
      <c r="Y1115" s="46" t="s">
        <v>59</v>
      </c>
      <c r="Z1115" s="46" t="s">
        <v>37</v>
      </c>
      <c r="AA1115" s="46" t="s">
        <v>59</v>
      </c>
      <c r="AB1115" s="46" t="s">
        <v>59</v>
      </c>
      <c r="AC1115" s="46" t="s">
        <v>59</v>
      </c>
      <c r="AD1115" s="46" t="s">
        <v>59</v>
      </c>
      <c r="AE1115" s="46" t="s">
        <v>59</v>
      </c>
      <c r="AF1115" s="46" t="s">
        <v>59</v>
      </c>
      <c r="AG1115" s="46" t="s">
        <v>37</v>
      </c>
      <c r="AH1115" s="46" t="s">
        <v>43</v>
      </c>
      <c r="AI1115" s="46" t="s">
        <v>59</v>
      </c>
      <c r="AJ1115" s="46">
        <f>=SUM(E1116:AI1116)</f>
      </c>
      <c r="AK1115" s="46">
        <f>=+AY1115</f>
      </c>
      <c r="AL1115" s="46"/>
      <c r="AM1115" s="1"/>
      <c r="AN1115" s="1">
        <f>=COUNTIF(E1115:AI1115,"A")+COUNTIF(E1115:AI1115,"B")+COUNTIF(E1115:AI1115,"C")+COUNTIF(E1115:AI1115,"D")+COUNTIF(E1115:AI1115,"E")+COUNTIF(E1115:AI1115,"F")+COUNTIF(E1115:AI1115,"M")+COUNTIF(E1115:AI1115,"AB")+COUNTIF(E1115:AI1115,"UZ")+COUNTIF(E1115:AI1115,"G")+(COUNTIF(E1115:AI1115,"RT.")/2)+(COUNTIF(E1115:AI1115,"ÇRT.")/2)</f>
      </c>
      <c r="AO1115" s="1">
        <f>=COUNTIF(E1115:AI1115,"O")</f>
      </c>
      <c r="AP1115" s="1">
        <f>=COUNTIF(E1115:AI1115,"RT")+(COUNTIF(E1115:AI1115,"RT.")/2)</f>
      </c>
      <c r="AQ1115" s="1">
        <f>=COUNTIF(E1115:AI1115,"ÇRT")+(COUNTIF(E1115:AI1115,"ÇRT.")/2)</f>
      </c>
      <c r="AR1115" s="1">
        <f>=COUNTIF(E1115:AI1115,"ÇHT")</f>
      </c>
      <c r="AS1115" s="1">
        <f>=COUNTIF(E1115:AI1115,"Ö")+COUNTIF(E1115:AI1115,"T")</f>
      </c>
      <c r="AT1115" s="1">
        <f>=COUNTIF(E1115:AI1115,"Y")</f>
      </c>
      <c r="AU1115" s="1">
        <f>=COUNTIF(E1115:AI1115,"R.")</f>
      </c>
      <c r="AV1115" s="1">
        <f>=COUNTIF(E1115:AI1115,"Ü")</f>
      </c>
      <c r="AW1115" s="1">
        <f>=COUNTIF(E1115:AI1115,"R")</f>
      </c>
      <c r="AX1115" s="1">
        <f>=COUNTIF(E1115:AI1115,"DV")</f>
      </c>
      <c r="AY1115" s="1">
        <f>=+AN1115+AO1115+AP1115+AQ1115+AR1115+AS1115+AT1115+AU1115</f>
      </c>
    </row>
    <row r="1116" ht="16" customHeight="1" spans="1:51" x14ac:dyDescent="0.25">
      <c r="A1116" s="45"/>
      <c r="B1116" s="46"/>
      <c r="C1116" s="46"/>
      <c r="D1116" s="46" t="s">
        <v>33</v>
      </c>
      <c r="E1116" s="46"/>
      <c r="F1116" s="46"/>
      <c r="G1116" s="46"/>
      <c r="H1116" s="46"/>
      <c r="I1116" s="46"/>
      <c r="J1116" s="46"/>
      <c r="K1116" s="46"/>
      <c r="L1116" s="46"/>
      <c r="M1116" s="46"/>
      <c r="N1116" s="46"/>
      <c r="O1116" s="46"/>
      <c r="P1116" s="46"/>
      <c r="Q1116" s="46"/>
      <c r="R1116" s="46"/>
      <c r="S1116" s="46"/>
      <c r="T1116" s="46"/>
      <c r="U1116" s="46"/>
      <c r="V1116" s="46"/>
      <c r="W1116" s="46"/>
      <c r="X1116" s="46"/>
      <c r="Y1116" s="46"/>
      <c r="Z1116" s="46"/>
      <c r="AA1116" s="46"/>
      <c r="AB1116" s="46"/>
      <c r="AC1116" s="46">
        <v>2</v>
      </c>
      <c r="AD1116" s="46">
        <v>2</v>
      </c>
      <c r="AE1116" s="46"/>
      <c r="AF1116" s="46"/>
      <c r="AG1116" s="46"/>
      <c r="AH1116" s="46"/>
      <c r="AI1116" s="46"/>
      <c r="AJ1116" s="46"/>
      <c r="AK1116" s="46"/>
      <c r="AL1116" s="46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</row>
    <row r="1117" ht="16" customHeight="1" spans="1:51" x14ac:dyDescent="0.25">
      <c r="A1117" s="45"/>
      <c r="B1117" s="46" t="s">
        <v>1167</v>
      </c>
      <c r="C1117" s="46" t="s">
        <v>1168</v>
      </c>
      <c r="D1117" s="46" t="s">
        <v>29</v>
      </c>
      <c r="E1117" s="46" t="s">
        <v>37</v>
      </c>
      <c r="F1117" s="46" t="s">
        <v>36</v>
      </c>
      <c r="G1117" s="46" t="s">
        <v>36</v>
      </c>
      <c r="H1117" s="46" t="s">
        <v>36</v>
      </c>
      <c r="I1117" s="46" t="s">
        <v>36</v>
      </c>
      <c r="J1117" s="46" t="s">
        <v>36</v>
      </c>
      <c r="K1117" s="46" t="s">
        <v>36</v>
      </c>
      <c r="L1117" s="46" t="s">
        <v>37</v>
      </c>
      <c r="M1117" s="46" t="s">
        <v>36</v>
      </c>
      <c r="N1117" s="46" t="s">
        <v>36</v>
      </c>
      <c r="O1117" s="46" t="s">
        <v>36</v>
      </c>
      <c r="P1117" s="46" t="s">
        <v>36</v>
      </c>
      <c r="Q1117" s="46" t="s">
        <v>36</v>
      </c>
      <c r="R1117" s="46" t="s">
        <v>36</v>
      </c>
      <c r="S1117" s="46" t="s">
        <v>37</v>
      </c>
      <c r="T1117" s="46" t="s">
        <v>36</v>
      </c>
      <c r="U1117" s="46" t="s">
        <v>36</v>
      </c>
      <c r="V1117" s="46" t="s">
        <v>36</v>
      </c>
      <c r="W1117" s="46" t="s">
        <v>36</v>
      </c>
      <c r="X1117" s="46" t="s">
        <v>36</v>
      </c>
      <c r="Y1117" s="46" t="s">
        <v>36</v>
      </c>
      <c r="Z1117" s="46" t="s">
        <v>37</v>
      </c>
      <c r="AA1117" s="46" t="s">
        <v>36</v>
      </c>
      <c r="AB1117" s="46" t="s">
        <v>36</v>
      </c>
      <c r="AC1117" s="46" t="s">
        <v>36</v>
      </c>
      <c r="AD1117" s="46" t="s">
        <v>36</v>
      </c>
      <c r="AE1117" s="46" t="s">
        <v>36</v>
      </c>
      <c r="AF1117" s="46" t="s">
        <v>36</v>
      </c>
      <c r="AG1117" s="46" t="s">
        <v>37</v>
      </c>
      <c r="AH1117" s="46" t="s">
        <v>43</v>
      </c>
      <c r="AI1117" s="46" t="s">
        <v>36</v>
      </c>
      <c r="AJ1117" s="46">
        <f>=SUM(E1118:AI1118)</f>
      </c>
      <c r="AK1117" s="46">
        <f>=+AY1117</f>
      </c>
      <c r="AL1117" s="46"/>
      <c r="AM1117" s="1"/>
      <c r="AN1117" s="1">
        <f>=COUNTIF(E1117:AI1117,"A")+COUNTIF(E1117:AI1117,"B")+COUNTIF(E1117:AI1117,"C")+COUNTIF(E1117:AI1117,"D")+COUNTIF(E1117:AI1117,"E")+COUNTIF(E1117:AI1117,"F")+COUNTIF(E1117:AI1117,"M")+COUNTIF(E1117:AI1117,"AB")+COUNTIF(E1117:AI1117,"UZ")+COUNTIF(E1117:AI1117,"G")+(COUNTIF(E1117:AI1117,"RT.")/2)+(COUNTIF(E1117:AI1117,"ÇRT.")/2)</f>
      </c>
      <c r="AO1117" s="1">
        <f>=COUNTIF(E1117:AI1117,"O")</f>
      </c>
      <c r="AP1117" s="1">
        <f>=COUNTIF(E1117:AI1117,"RT")+(COUNTIF(E1117:AI1117,"RT.")/2)</f>
      </c>
      <c r="AQ1117" s="1">
        <f>=COUNTIF(E1117:AI1117,"ÇRT")+(COUNTIF(E1117:AI1117,"ÇRT.")/2)</f>
      </c>
      <c r="AR1117" s="1">
        <f>=COUNTIF(E1117:AI1117,"ÇHT")</f>
      </c>
      <c r="AS1117" s="1">
        <f>=COUNTIF(E1117:AI1117,"Ö")+COUNTIF(E1117:AI1117,"T")</f>
      </c>
      <c r="AT1117" s="1">
        <f>=COUNTIF(E1117:AI1117,"Y")</f>
      </c>
      <c r="AU1117" s="1">
        <f>=COUNTIF(E1117:AI1117,"R.")</f>
      </c>
      <c r="AV1117" s="1">
        <f>=COUNTIF(E1117:AI1117,"Ü")</f>
      </c>
      <c r="AW1117" s="1">
        <f>=COUNTIF(E1117:AI1117,"R")</f>
      </c>
      <c r="AX1117" s="1">
        <f>=COUNTIF(E1117:AI1117,"DV")</f>
      </c>
      <c r="AY1117" s="1">
        <f>=+AN1117+AO1117+AP1117+AQ1117+AR1117+AS1117+AT1117+AU1117</f>
      </c>
    </row>
    <row r="1118" ht="16" customHeight="1" spans="1:51" x14ac:dyDescent="0.25">
      <c r="A1118" s="45"/>
      <c r="B1118" s="46"/>
      <c r="C1118" s="46"/>
      <c r="D1118" s="46" t="s">
        <v>33</v>
      </c>
      <c r="E1118" s="46"/>
      <c r="F1118" s="46"/>
      <c r="G1118" s="46"/>
      <c r="H1118" s="46"/>
      <c r="I1118" s="46"/>
      <c r="J1118" s="46"/>
      <c r="K1118" s="46"/>
      <c r="L1118" s="46"/>
      <c r="M1118" s="46"/>
      <c r="N1118" s="46"/>
      <c r="O1118" s="46"/>
      <c r="P1118" s="46"/>
      <c r="Q1118" s="46"/>
      <c r="R1118" s="46"/>
      <c r="S1118" s="46"/>
      <c r="T1118" s="46"/>
      <c r="U1118" s="46"/>
      <c r="V1118" s="46"/>
      <c r="W1118" s="46"/>
      <c r="X1118" s="46"/>
      <c r="Y1118" s="46"/>
      <c r="Z1118" s="46"/>
      <c r="AA1118" s="46"/>
      <c r="AB1118" s="46"/>
      <c r="AC1118" s="46"/>
      <c r="AD1118" s="46"/>
      <c r="AE1118" s="46"/>
      <c r="AF1118" s="46"/>
      <c r="AG1118" s="46"/>
      <c r="AH1118" s="46"/>
      <c r="AI1118" s="46"/>
      <c r="AJ1118" s="46"/>
      <c r="AK1118" s="46"/>
      <c r="AL1118" s="46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/>
    </row>
    <row r="1119" ht="16" customHeight="1" spans="1:51" x14ac:dyDescent="0.25">
      <c r="A1119" s="45"/>
      <c r="B1119" s="46" t="s">
        <v>1169</v>
      </c>
      <c r="C1119" s="46" t="s">
        <v>1170</v>
      </c>
      <c r="D1119" s="46" t="s">
        <v>29</v>
      </c>
      <c r="E1119" s="46" t="s">
        <v>36</v>
      </c>
      <c r="F1119" s="46" t="s">
        <v>36</v>
      </c>
      <c r="G1119" s="46" t="s">
        <v>36</v>
      </c>
      <c r="H1119" s="46" t="s">
        <v>36</v>
      </c>
      <c r="I1119" s="46" t="s">
        <v>36</v>
      </c>
      <c r="J1119" s="46" t="s">
        <v>37</v>
      </c>
      <c r="K1119" s="46" t="s">
        <v>36</v>
      </c>
      <c r="L1119" s="46" t="s">
        <v>36</v>
      </c>
      <c r="M1119" s="46" t="s">
        <v>36</v>
      </c>
      <c r="N1119" s="46" t="s">
        <v>36</v>
      </c>
      <c r="O1119" s="46" t="s">
        <v>36</v>
      </c>
      <c r="P1119" s="46" t="s">
        <v>36</v>
      </c>
      <c r="Q1119" s="46" t="s">
        <v>36</v>
      </c>
      <c r="R1119" s="46" t="s">
        <v>37</v>
      </c>
      <c r="S1119" s="46" t="s">
        <v>36</v>
      </c>
      <c r="T1119" s="46" t="s">
        <v>36</v>
      </c>
      <c r="U1119" s="46" t="s">
        <v>36</v>
      </c>
      <c r="V1119" s="46" t="s">
        <v>36</v>
      </c>
      <c r="W1119" s="46" t="s">
        <v>36</v>
      </c>
      <c r="X1119" s="46" t="s">
        <v>37</v>
      </c>
      <c r="Y1119" s="46" t="s">
        <v>36</v>
      </c>
      <c r="Z1119" s="46" t="s">
        <v>36</v>
      </c>
      <c r="AA1119" s="46" t="s">
        <v>36</v>
      </c>
      <c r="AB1119" s="46" t="s">
        <v>36</v>
      </c>
      <c r="AC1119" s="46" t="s">
        <v>36</v>
      </c>
      <c r="AD1119" s="46" t="s">
        <v>36</v>
      </c>
      <c r="AE1119" s="46" t="s">
        <v>37</v>
      </c>
      <c r="AF1119" s="46" t="s">
        <v>36</v>
      </c>
      <c r="AG1119" s="46" t="s">
        <v>36</v>
      </c>
      <c r="AH1119" s="46" t="s">
        <v>43</v>
      </c>
      <c r="AI1119" s="46" t="s">
        <v>36</v>
      </c>
      <c r="AJ1119" s="46">
        <f>=SUM(E1120:AI1120)</f>
      </c>
      <c r="AK1119" s="46">
        <f>=+AY1119</f>
      </c>
      <c r="AL1119" s="46"/>
      <c r="AM1119" s="1"/>
      <c r="AN1119" s="1">
        <f>=COUNTIF(E1119:AI1119,"A")+COUNTIF(E1119:AI1119,"B")+COUNTIF(E1119:AI1119,"C")+COUNTIF(E1119:AI1119,"D")+COUNTIF(E1119:AI1119,"E")+COUNTIF(E1119:AI1119,"F")+COUNTIF(E1119:AI1119,"M")+COUNTIF(E1119:AI1119,"AB")+COUNTIF(E1119:AI1119,"UZ")+COUNTIF(E1119:AI1119,"G")+(COUNTIF(E1119:AI1119,"RT.")/2)+(COUNTIF(E1119:AI1119,"ÇRT.")/2)</f>
      </c>
      <c r="AO1119" s="1">
        <f>=COUNTIF(E1119:AI1119,"O")</f>
      </c>
      <c r="AP1119" s="1">
        <f>=COUNTIF(E1119:AI1119,"RT")+(COUNTIF(E1119:AI1119,"RT.")/2)</f>
      </c>
      <c r="AQ1119" s="1">
        <f>=COUNTIF(E1119:AI1119,"ÇRT")+(COUNTIF(E1119:AI1119,"ÇRT.")/2)</f>
      </c>
      <c r="AR1119" s="1">
        <f>=COUNTIF(E1119:AI1119,"ÇHT")</f>
      </c>
      <c r="AS1119" s="1">
        <f>=COUNTIF(E1119:AI1119,"Ö")+COUNTIF(E1119:AI1119,"T")</f>
      </c>
      <c r="AT1119" s="1">
        <f>=COUNTIF(E1119:AI1119,"Y")</f>
      </c>
      <c r="AU1119" s="1">
        <f>=COUNTIF(E1119:AI1119,"R.")</f>
      </c>
      <c r="AV1119" s="1">
        <f>=COUNTIF(E1119:AI1119,"Ü")</f>
      </c>
      <c r="AW1119" s="1">
        <f>=COUNTIF(E1119:AI1119,"R")</f>
      </c>
      <c r="AX1119" s="1">
        <f>=COUNTIF(E1119:AI1119,"DV")</f>
      </c>
      <c r="AY1119" s="1">
        <f>=+AN1119+AO1119+AP1119+AQ1119+AR1119+AS1119+AT1119+AU1119</f>
      </c>
    </row>
    <row r="1120" ht="16" customHeight="1" spans="1:51" x14ac:dyDescent="0.25">
      <c r="A1120" s="45"/>
      <c r="B1120" s="46"/>
      <c r="C1120" s="46"/>
      <c r="D1120" s="46" t="s">
        <v>33</v>
      </c>
      <c r="E1120" s="46"/>
      <c r="F1120" s="46"/>
      <c r="G1120" s="46"/>
      <c r="H1120" s="46"/>
      <c r="I1120" s="46"/>
      <c r="J1120" s="46"/>
      <c r="K1120" s="46"/>
      <c r="L1120" s="46"/>
      <c r="M1120" s="46"/>
      <c r="N1120" s="46"/>
      <c r="O1120" s="46"/>
      <c r="P1120" s="46"/>
      <c r="Q1120" s="46"/>
      <c r="R1120" s="46"/>
      <c r="S1120" s="46"/>
      <c r="T1120" s="46"/>
      <c r="U1120" s="46"/>
      <c r="V1120" s="46"/>
      <c r="W1120" s="46"/>
      <c r="X1120" s="46"/>
      <c r="Y1120" s="46"/>
      <c r="Z1120" s="46"/>
      <c r="AA1120" s="46"/>
      <c r="AB1120" s="46"/>
      <c r="AC1120" s="46"/>
      <c r="AD1120" s="46"/>
      <c r="AE1120" s="46"/>
      <c r="AF1120" s="46"/>
      <c r="AG1120" s="46"/>
      <c r="AH1120" s="46"/>
      <c r="AI1120" s="46"/>
      <c r="AJ1120" s="46"/>
      <c r="AK1120" s="46"/>
      <c r="AL1120" s="46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  <c r="AX1120" s="1"/>
      <c r="AY1120" s="1"/>
    </row>
    <row r="1121" ht="16" customHeight="1" spans="1:51" x14ac:dyDescent="0.25">
      <c r="A1121" s="45"/>
      <c r="B1121" s="46" t="s">
        <v>1171</v>
      </c>
      <c r="C1121" s="46" t="s">
        <v>1172</v>
      </c>
      <c r="D1121" s="46" t="s">
        <v>29</v>
      </c>
      <c r="E1121" s="46" t="s">
        <v>59</v>
      </c>
      <c r="F1121" s="46" t="s">
        <v>31</v>
      </c>
      <c r="G1121" s="46" t="s">
        <v>31</v>
      </c>
      <c r="H1121" s="46" t="s">
        <v>153</v>
      </c>
      <c r="I1121" s="46" t="s">
        <v>31</v>
      </c>
      <c r="J1121" s="46" t="s">
        <v>31</v>
      </c>
      <c r="K1121" s="46" t="s">
        <v>37</v>
      </c>
      <c r="L1121" s="46" t="s">
        <v>31</v>
      </c>
      <c r="M1121" s="46" t="s">
        <v>31</v>
      </c>
      <c r="N1121" s="46" t="s">
        <v>31</v>
      </c>
      <c r="O1121" s="46" t="s">
        <v>31</v>
      </c>
      <c r="P1121" s="46" t="s">
        <v>59</v>
      </c>
      <c r="Q1121" s="46" t="s">
        <v>59</v>
      </c>
      <c r="R1121" s="46" t="s">
        <v>37</v>
      </c>
      <c r="S1121" s="46" t="s">
        <v>59</v>
      </c>
      <c r="T1121" s="46" t="s">
        <v>59</v>
      </c>
      <c r="U1121" s="46" t="s">
        <v>59</v>
      </c>
      <c r="V1121" s="46" t="s">
        <v>59</v>
      </c>
      <c r="W1121" s="46" t="s">
        <v>59</v>
      </c>
      <c r="X1121" s="46" t="s">
        <v>59</v>
      </c>
      <c r="Y1121" s="46" t="s">
        <v>37</v>
      </c>
      <c r="Z1121" s="46" t="s">
        <v>59</v>
      </c>
      <c r="AA1121" s="46" t="s">
        <v>59</v>
      </c>
      <c r="AB1121" s="46" t="s">
        <v>59</v>
      </c>
      <c r="AC1121" s="46" t="s">
        <v>59</v>
      </c>
      <c r="AD1121" s="46" t="s">
        <v>59</v>
      </c>
      <c r="AE1121" s="46" t="s">
        <v>59</v>
      </c>
      <c r="AF1121" s="46" t="s">
        <v>37</v>
      </c>
      <c r="AG1121" s="46" t="s">
        <v>59</v>
      </c>
      <c r="AH1121" s="46" t="s">
        <v>43</v>
      </c>
      <c r="AI1121" s="46" t="s">
        <v>59</v>
      </c>
      <c r="AJ1121" s="46">
        <f>=SUM(E1122:AI1122)</f>
      </c>
      <c r="AK1121" s="46">
        <f>=+AY1121</f>
      </c>
      <c r="AL1121" s="46"/>
      <c r="AM1121" s="1"/>
      <c r="AN1121" s="1">
        <f>=COUNTIF(E1121:AI1121,"A")+COUNTIF(E1121:AI1121,"B")+COUNTIF(E1121:AI1121,"C")+COUNTIF(E1121:AI1121,"D")+COUNTIF(E1121:AI1121,"E")+COUNTIF(E1121:AI1121,"F")+COUNTIF(E1121:AI1121,"M")+COUNTIF(E1121:AI1121,"AB")+COUNTIF(E1121:AI1121,"UZ")+COUNTIF(E1121:AI1121,"G")+(COUNTIF(E1121:AI1121,"RT.")/2)+(COUNTIF(E1121:AI1121,"ÇRT.")/2)</f>
      </c>
      <c r="AO1121" s="1">
        <f>=COUNTIF(E1121:AI1121,"O")</f>
      </c>
      <c r="AP1121" s="1">
        <f>=COUNTIF(E1121:AI1121,"RT")+(COUNTIF(E1121:AI1121,"RT.")/2)</f>
      </c>
      <c r="AQ1121" s="1">
        <f>=COUNTIF(E1121:AI1121,"ÇRT")+(COUNTIF(E1121:AI1121,"ÇRT.")/2)</f>
      </c>
      <c r="AR1121" s="1">
        <f>=COUNTIF(E1121:AI1121,"ÇHT")</f>
      </c>
      <c r="AS1121" s="1">
        <f>=COUNTIF(E1121:AI1121,"Ö")+COUNTIF(E1121:AI1121,"T")</f>
      </c>
      <c r="AT1121" s="1">
        <f>=COUNTIF(E1121:AI1121,"Y")</f>
      </c>
      <c r="AU1121" s="1">
        <f>=COUNTIF(E1121:AI1121,"R.")</f>
      </c>
      <c r="AV1121" s="1">
        <f>=COUNTIF(E1121:AI1121,"Ü")</f>
      </c>
      <c r="AW1121" s="1">
        <f>=COUNTIF(E1121:AI1121,"R")</f>
      </c>
      <c r="AX1121" s="1">
        <f>=COUNTIF(E1121:AI1121,"DV")</f>
      </c>
      <c r="AY1121" s="1">
        <f>=+AN1121+AO1121+AP1121+AQ1121+AR1121+AS1121+AT1121+AU1121</f>
      </c>
    </row>
    <row r="1122" ht="16" customHeight="1" spans="1:51" x14ac:dyDescent="0.25">
      <c r="A1122" s="45"/>
      <c r="B1122" s="46"/>
      <c r="C1122" s="46"/>
      <c r="D1122" s="46" t="s">
        <v>33</v>
      </c>
      <c r="E1122" s="46"/>
      <c r="F1122" s="46"/>
      <c r="G1122" s="46"/>
      <c r="H1122" s="46"/>
      <c r="I1122" s="46"/>
      <c r="J1122" s="46"/>
      <c r="K1122" s="46"/>
      <c r="L1122" s="46"/>
      <c r="M1122" s="46"/>
      <c r="N1122" s="46"/>
      <c r="O1122" s="46"/>
      <c r="P1122" s="46"/>
      <c r="Q1122" s="46"/>
      <c r="R1122" s="46"/>
      <c r="S1122" s="46"/>
      <c r="T1122" s="46"/>
      <c r="U1122" s="46"/>
      <c r="V1122" s="46"/>
      <c r="W1122" s="46"/>
      <c r="X1122" s="46"/>
      <c r="Y1122" s="46"/>
      <c r="Z1122" s="46"/>
      <c r="AA1122" s="46"/>
      <c r="AB1122" s="46"/>
      <c r="AC1122" s="46"/>
      <c r="AD1122" s="46"/>
      <c r="AE1122" s="46"/>
      <c r="AF1122" s="46"/>
      <c r="AG1122" s="46"/>
      <c r="AH1122" s="46"/>
      <c r="AI1122" s="46"/>
      <c r="AJ1122" s="46"/>
      <c r="AK1122" s="46"/>
      <c r="AL1122" s="46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  <c r="AW1122" s="1"/>
      <c r="AX1122" s="1"/>
      <c r="AY1122" s="1"/>
    </row>
    <row r="1123" ht="16" customHeight="1" spans="1:51" x14ac:dyDescent="0.25">
      <c r="A1123" s="45"/>
      <c r="B1123" s="46" t="s">
        <v>1173</v>
      </c>
      <c r="C1123" s="46" t="s">
        <v>1174</v>
      </c>
      <c r="D1123" s="46" t="s">
        <v>29</v>
      </c>
      <c r="E1123" s="46" t="s">
        <v>46</v>
      </c>
      <c r="F1123" s="46" t="s">
        <v>46</v>
      </c>
      <c r="G1123" s="46" t="s">
        <v>46</v>
      </c>
      <c r="H1123" s="46" t="s">
        <v>46</v>
      </c>
      <c r="I1123" s="46" t="s">
        <v>37</v>
      </c>
      <c r="J1123" s="46" t="s">
        <v>46</v>
      </c>
      <c r="K1123" s="46" t="s">
        <v>46</v>
      </c>
      <c r="L1123" s="46" t="s">
        <v>46</v>
      </c>
      <c r="M1123" s="46" t="s">
        <v>46</v>
      </c>
      <c r="N1123" s="46" t="s">
        <v>46</v>
      </c>
      <c r="O1123" s="46" t="s">
        <v>46</v>
      </c>
      <c r="P1123" s="46" t="s">
        <v>37</v>
      </c>
      <c r="Q1123" s="46" t="s">
        <v>46</v>
      </c>
      <c r="R1123" s="46" t="s">
        <v>46</v>
      </c>
      <c r="S1123" s="46" t="s">
        <v>153</v>
      </c>
      <c r="T1123" s="46" t="s">
        <v>46</v>
      </c>
      <c r="U1123" s="46" t="s">
        <v>46</v>
      </c>
      <c r="V1123" s="46" t="s">
        <v>46</v>
      </c>
      <c r="W1123" s="46" t="s">
        <v>37</v>
      </c>
      <c r="X1123" s="46" t="s">
        <v>46</v>
      </c>
      <c r="Y1123" s="46" t="s">
        <v>46</v>
      </c>
      <c r="Z1123" s="46" t="s">
        <v>46</v>
      </c>
      <c r="AA1123" s="46" t="s">
        <v>46</v>
      </c>
      <c r="AB1123" s="46" t="s">
        <v>46</v>
      </c>
      <c r="AC1123" s="46" t="s">
        <v>46</v>
      </c>
      <c r="AD1123" s="46" t="s">
        <v>37</v>
      </c>
      <c r="AE1123" s="46" t="s">
        <v>46</v>
      </c>
      <c r="AF1123" s="46" t="s">
        <v>46</v>
      </c>
      <c r="AG1123" s="46" t="s">
        <v>46</v>
      </c>
      <c r="AH1123" s="46" t="s">
        <v>43</v>
      </c>
      <c r="AI1123" s="46" t="s">
        <v>46</v>
      </c>
      <c r="AJ1123" s="46">
        <f>=SUM(E1124:AI1124)</f>
      </c>
      <c r="AK1123" s="46">
        <f>=+AY1123</f>
      </c>
      <c r="AL1123" s="46"/>
      <c r="AM1123" s="1"/>
      <c r="AN1123" s="1">
        <f>=COUNTIF(E1123:AI1123,"A")+COUNTIF(E1123:AI1123,"B")+COUNTIF(E1123:AI1123,"C")+COUNTIF(E1123:AI1123,"D")+COUNTIF(E1123:AI1123,"E")+COUNTIF(E1123:AI1123,"F")+COUNTIF(E1123:AI1123,"M")+COUNTIF(E1123:AI1123,"AB")+COUNTIF(E1123:AI1123,"UZ")+COUNTIF(E1123:AI1123,"G")+(COUNTIF(E1123:AI1123,"RT.")/2)+(COUNTIF(E1123:AI1123,"ÇRT.")/2)</f>
      </c>
      <c r="AO1123" s="1">
        <f>=COUNTIF(E1123:AI1123,"O")</f>
      </c>
      <c r="AP1123" s="1">
        <f>=COUNTIF(E1123:AI1123,"RT")+(COUNTIF(E1123:AI1123,"RT.")/2)</f>
      </c>
      <c r="AQ1123" s="1">
        <f>=COUNTIF(E1123:AI1123,"ÇRT")+(COUNTIF(E1123:AI1123,"ÇRT.")/2)</f>
      </c>
      <c r="AR1123" s="1">
        <f>=COUNTIF(E1123:AI1123,"ÇHT")</f>
      </c>
      <c r="AS1123" s="1">
        <f>=COUNTIF(E1123:AI1123,"Ö")+COUNTIF(E1123:AI1123,"T")</f>
      </c>
      <c r="AT1123" s="1">
        <f>=COUNTIF(E1123:AI1123,"Y")</f>
      </c>
      <c r="AU1123" s="1">
        <f>=COUNTIF(E1123:AI1123,"R.")</f>
      </c>
      <c r="AV1123" s="1">
        <f>=COUNTIF(E1123:AI1123,"Ü")</f>
      </c>
      <c r="AW1123" s="1">
        <f>=COUNTIF(E1123:AI1123,"R")</f>
      </c>
      <c r="AX1123" s="1">
        <f>=COUNTIF(E1123:AI1123,"DV")</f>
      </c>
      <c r="AY1123" s="1">
        <f>=+AN1123+AO1123+AP1123+AQ1123+AR1123+AS1123+AT1123+AU1123</f>
      </c>
    </row>
    <row r="1124" ht="16" customHeight="1" spans="1:51" x14ac:dyDescent="0.25">
      <c r="A1124" s="45"/>
      <c r="B1124" s="46"/>
      <c r="C1124" s="46"/>
      <c r="D1124" s="46" t="s">
        <v>33</v>
      </c>
      <c r="E1124" s="46"/>
      <c r="F1124" s="46"/>
      <c r="G1124" s="46"/>
      <c r="H1124" s="46"/>
      <c r="I1124" s="46"/>
      <c r="J1124" s="46"/>
      <c r="K1124" s="46"/>
      <c r="L1124" s="46"/>
      <c r="M1124" s="46"/>
      <c r="N1124" s="46"/>
      <c r="O1124" s="46"/>
      <c r="P1124" s="46"/>
      <c r="Q1124" s="46"/>
      <c r="R1124" s="46"/>
      <c r="S1124" s="46"/>
      <c r="T1124" s="46"/>
      <c r="U1124" s="46"/>
      <c r="V1124" s="46"/>
      <c r="W1124" s="46"/>
      <c r="X1124" s="46"/>
      <c r="Y1124" s="46"/>
      <c r="Z1124" s="46"/>
      <c r="AA1124" s="46"/>
      <c r="AB1124" s="46"/>
      <c r="AC1124" s="46"/>
      <c r="AD1124" s="46"/>
      <c r="AE1124" s="46"/>
      <c r="AF1124" s="46"/>
      <c r="AG1124" s="46"/>
      <c r="AH1124" s="46"/>
      <c r="AI1124" s="46"/>
      <c r="AJ1124" s="46"/>
      <c r="AK1124" s="46"/>
      <c r="AL1124" s="46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  <c r="AW1124" s="1"/>
      <c r="AX1124" s="1"/>
      <c r="AY1124" s="1"/>
    </row>
    <row r="1125" ht="16" customHeight="1" spans="1:51" x14ac:dyDescent="0.25">
      <c r="A1125" s="45"/>
      <c r="B1125" s="46" t="s">
        <v>1175</v>
      </c>
      <c r="C1125" s="46" t="s">
        <v>1176</v>
      </c>
      <c r="D1125" s="46" t="s">
        <v>29</v>
      </c>
      <c r="E1125" s="46" t="s">
        <v>46</v>
      </c>
      <c r="F1125" s="46" t="s">
        <v>46</v>
      </c>
      <c r="G1125" s="46" t="s">
        <v>46</v>
      </c>
      <c r="H1125" s="46" t="s">
        <v>46</v>
      </c>
      <c r="I1125" s="46" t="s">
        <v>46</v>
      </c>
      <c r="J1125" s="46" t="s">
        <v>37</v>
      </c>
      <c r="K1125" s="46" t="s">
        <v>46</v>
      </c>
      <c r="L1125" s="46" t="s">
        <v>46</v>
      </c>
      <c r="M1125" s="46" t="s">
        <v>46</v>
      </c>
      <c r="N1125" s="46" t="s">
        <v>46</v>
      </c>
      <c r="O1125" s="46" t="s">
        <v>46</v>
      </c>
      <c r="P1125" s="46" t="s">
        <v>46</v>
      </c>
      <c r="Q1125" s="46" t="s">
        <v>37</v>
      </c>
      <c r="R1125" s="46" t="s">
        <v>46</v>
      </c>
      <c r="S1125" s="46" t="s">
        <v>46</v>
      </c>
      <c r="T1125" s="46" t="s">
        <v>46</v>
      </c>
      <c r="U1125" s="46" t="s">
        <v>46</v>
      </c>
      <c r="V1125" s="46" t="s">
        <v>46</v>
      </c>
      <c r="W1125" s="46" t="s">
        <v>46</v>
      </c>
      <c r="X1125" s="46" t="s">
        <v>37</v>
      </c>
      <c r="Y1125" s="46" t="s">
        <v>46</v>
      </c>
      <c r="Z1125" s="46" t="s">
        <v>46</v>
      </c>
      <c r="AA1125" s="46" t="s">
        <v>46</v>
      </c>
      <c r="AB1125" s="46" t="s">
        <v>46</v>
      </c>
      <c r="AC1125" s="46" t="s">
        <v>46</v>
      </c>
      <c r="AD1125" s="46" t="s">
        <v>46</v>
      </c>
      <c r="AE1125" s="46" t="s">
        <v>37</v>
      </c>
      <c r="AF1125" s="46" t="s">
        <v>46</v>
      </c>
      <c r="AG1125" s="46" t="s">
        <v>46</v>
      </c>
      <c r="AH1125" s="46" t="s">
        <v>43</v>
      </c>
      <c r="AI1125" s="46" t="s">
        <v>46</v>
      </c>
      <c r="AJ1125" s="46">
        <f>=SUM(E1126:AI1126)</f>
      </c>
      <c r="AK1125" s="46">
        <f>=+AY1125</f>
      </c>
      <c r="AL1125" s="46"/>
      <c r="AM1125" s="1"/>
      <c r="AN1125" s="1">
        <f>=COUNTIF(E1125:AI1125,"A")+COUNTIF(E1125:AI1125,"B")+COUNTIF(E1125:AI1125,"C")+COUNTIF(E1125:AI1125,"D")+COUNTIF(E1125:AI1125,"E")+COUNTIF(E1125:AI1125,"F")+COUNTIF(E1125:AI1125,"M")+COUNTIF(E1125:AI1125,"AB")+COUNTIF(E1125:AI1125,"UZ")+COUNTIF(E1125:AI1125,"G")+(COUNTIF(E1125:AI1125,"RT.")/2)+(COUNTIF(E1125:AI1125,"ÇRT.")/2)</f>
      </c>
      <c r="AO1125" s="1">
        <f>=COUNTIF(E1125:AI1125,"O")</f>
      </c>
      <c r="AP1125" s="1">
        <f>=COUNTIF(E1125:AI1125,"RT")+(COUNTIF(E1125:AI1125,"RT.")/2)</f>
      </c>
      <c r="AQ1125" s="1">
        <f>=COUNTIF(E1125:AI1125,"ÇRT")+(COUNTIF(E1125:AI1125,"ÇRT.")/2)</f>
      </c>
      <c r="AR1125" s="1">
        <f>=COUNTIF(E1125:AI1125,"ÇHT")</f>
      </c>
      <c r="AS1125" s="1">
        <f>=COUNTIF(E1125:AI1125,"Ö")+COUNTIF(E1125:AI1125,"T")</f>
      </c>
      <c r="AT1125" s="1">
        <f>=COUNTIF(E1125:AI1125,"Y")</f>
      </c>
      <c r="AU1125" s="1">
        <f>=COUNTIF(E1125:AI1125,"R.")</f>
      </c>
      <c r="AV1125" s="1">
        <f>=COUNTIF(E1125:AI1125,"Ü")</f>
      </c>
      <c r="AW1125" s="1">
        <f>=COUNTIF(E1125:AI1125,"R")</f>
      </c>
      <c r="AX1125" s="1">
        <f>=COUNTIF(E1125:AI1125,"DV")</f>
      </c>
      <c r="AY1125" s="1">
        <f>=+AN1125+AO1125+AP1125+AQ1125+AR1125+AS1125+AT1125+AU1125</f>
      </c>
    </row>
    <row r="1126" ht="16" customHeight="1" spans="1:51" x14ac:dyDescent="0.25">
      <c r="A1126" s="45"/>
      <c r="B1126" s="46"/>
      <c r="C1126" s="46"/>
      <c r="D1126" s="46" t="s">
        <v>33</v>
      </c>
      <c r="E1126" s="46"/>
      <c r="F1126" s="46"/>
      <c r="G1126" s="46"/>
      <c r="H1126" s="46"/>
      <c r="I1126" s="46"/>
      <c r="J1126" s="46"/>
      <c r="K1126" s="46"/>
      <c r="L1126" s="46">
        <v>0</v>
      </c>
      <c r="M1126" s="46"/>
      <c r="N1126" s="46"/>
      <c r="O1126" s="46"/>
      <c r="P1126" s="46"/>
      <c r="Q1126" s="46"/>
      <c r="R1126" s="46"/>
      <c r="S1126" s="46"/>
      <c r="T1126" s="46"/>
      <c r="U1126" s="46"/>
      <c r="V1126" s="46"/>
      <c r="W1126" s="46"/>
      <c r="X1126" s="46"/>
      <c r="Y1126" s="46"/>
      <c r="Z1126" s="46"/>
      <c r="AA1126" s="46"/>
      <c r="AB1126" s="46"/>
      <c r="AC1126" s="46"/>
      <c r="AD1126" s="46"/>
      <c r="AE1126" s="46"/>
      <c r="AF1126" s="46"/>
      <c r="AG1126" s="46"/>
      <c r="AH1126" s="46"/>
      <c r="AI1126" s="46"/>
      <c r="AJ1126" s="46"/>
      <c r="AK1126" s="46"/>
      <c r="AL1126" s="46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  <c r="AW1126" s="1"/>
      <c r="AX1126" s="1"/>
      <c r="AY1126" s="1"/>
    </row>
    <row r="1127" ht="16" customHeight="1" spans="1:51" x14ac:dyDescent="0.25">
      <c r="A1127" s="45"/>
      <c r="B1127" s="46" t="s">
        <v>1177</v>
      </c>
      <c r="C1127" s="46" t="s">
        <v>1178</v>
      </c>
      <c r="D1127" s="46" t="s">
        <v>29</v>
      </c>
      <c r="E1127" s="46" t="s">
        <v>36</v>
      </c>
      <c r="F1127" s="46" t="s">
        <v>36</v>
      </c>
      <c r="G1127" s="46" t="s">
        <v>36</v>
      </c>
      <c r="H1127" s="46" t="s">
        <v>36</v>
      </c>
      <c r="I1127" s="46" t="s">
        <v>36</v>
      </c>
      <c r="J1127" s="46" t="s">
        <v>36</v>
      </c>
      <c r="K1127" s="46" t="s">
        <v>37</v>
      </c>
      <c r="L1127" s="46" t="s">
        <v>36</v>
      </c>
      <c r="M1127" s="46" t="s">
        <v>36</v>
      </c>
      <c r="N1127" s="46" t="s">
        <v>36</v>
      </c>
      <c r="O1127" s="46" t="s">
        <v>36</v>
      </c>
      <c r="P1127" s="46" t="s">
        <v>36</v>
      </c>
      <c r="Q1127" s="46" t="s">
        <v>36</v>
      </c>
      <c r="R1127" s="46" t="s">
        <v>37</v>
      </c>
      <c r="S1127" s="46" t="s">
        <v>30</v>
      </c>
      <c r="T1127" s="46" t="s">
        <v>30</v>
      </c>
      <c r="U1127" s="46" t="s">
        <v>30</v>
      </c>
      <c r="V1127" s="46" t="s">
        <v>30</v>
      </c>
      <c r="W1127" s="46" t="s">
        <v>30</v>
      </c>
      <c r="X1127" s="46" t="s">
        <v>30</v>
      </c>
      <c r="Y1127" s="46" t="s">
        <v>37</v>
      </c>
      <c r="Z1127" s="46" t="s">
        <v>30</v>
      </c>
      <c r="AA1127" s="46" t="s">
        <v>30</v>
      </c>
      <c r="AB1127" s="46" t="s">
        <v>30</v>
      </c>
      <c r="AC1127" s="46" t="s">
        <v>30</v>
      </c>
      <c r="AD1127" s="46" t="s">
        <v>30</v>
      </c>
      <c r="AE1127" s="46" t="s">
        <v>30</v>
      </c>
      <c r="AF1127" s="46" t="s">
        <v>37</v>
      </c>
      <c r="AG1127" s="46" t="s">
        <v>36</v>
      </c>
      <c r="AH1127" s="46" t="s">
        <v>43</v>
      </c>
      <c r="AI1127" s="46" t="s">
        <v>36</v>
      </c>
      <c r="AJ1127" s="46">
        <f>=SUM(E1128:AI1128)</f>
      </c>
      <c r="AK1127" s="46">
        <f>=+AY1127</f>
      </c>
      <c r="AL1127" s="46"/>
      <c r="AM1127" s="1"/>
      <c r="AN1127" s="1">
        <f>=COUNTIF(E1127:AI1127,"A")+COUNTIF(E1127:AI1127,"B")+COUNTIF(E1127:AI1127,"C")+COUNTIF(E1127:AI1127,"D")+COUNTIF(E1127:AI1127,"E")+COUNTIF(E1127:AI1127,"F")+COUNTIF(E1127:AI1127,"M")+COUNTIF(E1127:AI1127,"AB")+COUNTIF(E1127:AI1127,"UZ")+COUNTIF(E1127:AI1127,"G")+(COUNTIF(E1127:AI1127,"RT.")/2)+(COUNTIF(E1127:AI1127,"ÇRT.")/2)</f>
      </c>
      <c r="AO1127" s="1">
        <f>=COUNTIF(E1127:AI1127,"O")</f>
      </c>
      <c r="AP1127" s="1">
        <f>=COUNTIF(E1127:AI1127,"RT")+(COUNTIF(E1127:AI1127,"RT.")/2)</f>
      </c>
      <c r="AQ1127" s="1">
        <f>=COUNTIF(E1127:AI1127,"ÇRT")+(COUNTIF(E1127:AI1127,"ÇRT.")/2)</f>
      </c>
      <c r="AR1127" s="1">
        <f>=COUNTIF(E1127:AI1127,"ÇHT")</f>
      </c>
      <c r="AS1127" s="1">
        <f>=COUNTIF(E1127:AI1127,"Ö")+COUNTIF(E1127:AI1127,"T")</f>
      </c>
      <c r="AT1127" s="1">
        <f>=COUNTIF(E1127:AI1127,"Y")</f>
      </c>
      <c r="AU1127" s="1">
        <f>=COUNTIF(E1127:AI1127,"R.")</f>
      </c>
      <c r="AV1127" s="1">
        <f>=COUNTIF(E1127:AI1127,"Ü")</f>
      </c>
      <c r="AW1127" s="1">
        <f>=COUNTIF(E1127:AI1127,"R")</f>
      </c>
      <c r="AX1127" s="1">
        <f>=COUNTIF(E1127:AI1127,"DV")</f>
      </c>
      <c r="AY1127" s="1">
        <f>=+AN1127+AO1127+AP1127+AQ1127+AR1127+AS1127+AT1127+AU1127</f>
      </c>
    </row>
    <row r="1128" ht="16" customHeight="1" spans="1:51" x14ac:dyDescent="0.25">
      <c r="A1128" s="45"/>
      <c r="B1128" s="46"/>
      <c r="C1128" s="46"/>
      <c r="D1128" s="46" t="s">
        <v>33</v>
      </c>
      <c r="E1128" s="46"/>
      <c r="F1128" s="46"/>
      <c r="G1128" s="46"/>
      <c r="H1128" s="46"/>
      <c r="I1128" s="46"/>
      <c r="J1128" s="46"/>
      <c r="K1128" s="46"/>
      <c r="L1128" s="46"/>
      <c r="M1128" s="46"/>
      <c r="N1128" s="46"/>
      <c r="O1128" s="46"/>
      <c r="P1128" s="46"/>
      <c r="Q1128" s="46"/>
      <c r="R1128" s="46"/>
      <c r="S1128" s="46"/>
      <c r="T1128" s="46"/>
      <c r="U1128" s="46"/>
      <c r="V1128" s="46"/>
      <c r="W1128" s="46"/>
      <c r="X1128" s="46"/>
      <c r="Y1128" s="46"/>
      <c r="Z1128" s="46"/>
      <c r="AA1128" s="46"/>
      <c r="AB1128" s="46"/>
      <c r="AC1128" s="46"/>
      <c r="AD1128" s="46"/>
      <c r="AE1128" s="46"/>
      <c r="AF1128" s="46"/>
      <c r="AG1128" s="46"/>
      <c r="AH1128" s="46"/>
      <c r="AI1128" s="46"/>
      <c r="AJ1128" s="46"/>
      <c r="AK1128" s="46"/>
      <c r="AL1128" s="46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AW1128" s="1"/>
      <c r="AX1128" s="1"/>
      <c r="AY1128" s="1"/>
    </row>
    <row r="1129" ht="16" customHeight="1" spans="1:51" x14ac:dyDescent="0.25">
      <c r="A1129" s="45"/>
      <c r="B1129" s="46" t="s">
        <v>1179</v>
      </c>
      <c r="C1129" s="46" t="s">
        <v>1180</v>
      </c>
      <c r="D1129" s="46" t="s">
        <v>29</v>
      </c>
      <c r="E1129" s="46" t="s">
        <v>59</v>
      </c>
      <c r="F1129" s="46" t="s">
        <v>59</v>
      </c>
      <c r="G1129" s="46" t="s">
        <v>59</v>
      </c>
      <c r="H1129" s="46" t="s">
        <v>37</v>
      </c>
      <c r="I1129" s="46" t="s">
        <v>59</v>
      </c>
      <c r="J1129" s="46" t="s">
        <v>59</v>
      </c>
      <c r="K1129" s="46" t="s">
        <v>59</v>
      </c>
      <c r="L1129" s="46" t="s">
        <v>59</v>
      </c>
      <c r="M1129" s="46" t="s">
        <v>59</v>
      </c>
      <c r="N1129" s="46" t="s">
        <v>59</v>
      </c>
      <c r="O1129" s="46" t="s">
        <v>37</v>
      </c>
      <c r="P1129" s="46" t="s">
        <v>59</v>
      </c>
      <c r="Q1129" s="46" t="s">
        <v>59</v>
      </c>
      <c r="R1129" s="46" t="s">
        <v>59</v>
      </c>
      <c r="S1129" s="46" t="s">
        <v>59</v>
      </c>
      <c r="T1129" s="46" t="s">
        <v>59</v>
      </c>
      <c r="U1129" s="46" t="s">
        <v>59</v>
      </c>
      <c r="V1129" s="46" t="s">
        <v>37</v>
      </c>
      <c r="W1129" s="46" t="s">
        <v>153</v>
      </c>
      <c r="X1129" s="46" t="s">
        <v>337</v>
      </c>
      <c r="Y1129" s="46" t="s">
        <v>337</v>
      </c>
      <c r="Z1129" s="46" t="s">
        <v>153</v>
      </c>
      <c r="AA1129" s="46" t="s">
        <v>153</v>
      </c>
      <c r="AB1129" s="46" t="s">
        <v>153</v>
      </c>
      <c r="AC1129" s="46" t="s">
        <v>37</v>
      </c>
      <c r="AD1129" s="46" t="s">
        <v>153</v>
      </c>
      <c r="AE1129" s="46" t="s">
        <v>59</v>
      </c>
      <c r="AF1129" s="46" t="s">
        <v>59</v>
      </c>
      <c r="AG1129" s="46" t="s">
        <v>59</v>
      </c>
      <c r="AH1129" s="46" t="s">
        <v>43</v>
      </c>
      <c r="AI1129" s="46" t="s">
        <v>59</v>
      </c>
      <c r="AJ1129" s="46">
        <f>=SUM(E1130:AI1130)</f>
      </c>
      <c r="AK1129" s="46">
        <f>=+AY1129</f>
      </c>
      <c r="AL1129" s="46"/>
      <c r="AM1129" s="1"/>
      <c r="AN1129" s="1">
        <f>=COUNTIF(E1129:AI1129,"A")+COUNTIF(E1129:AI1129,"B")+COUNTIF(E1129:AI1129,"C")+COUNTIF(E1129:AI1129,"D")+COUNTIF(E1129:AI1129,"E")+COUNTIF(E1129:AI1129,"F")+COUNTIF(E1129:AI1129,"M")+COUNTIF(E1129:AI1129,"AB")+COUNTIF(E1129:AI1129,"UZ")+COUNTIF(E1129:AI1129,"G")+(COUNTIF(E1129:AI1129,"RT.")/2)+(COUNTIF(E1129:AI1129,"ÇRT.")/2)</f>
      </c>
      <c r="AO1129" s="1">
        <f>=COUNTIF(E1129:AI1129,"O")</f>
      </c>
      <c r="AP1129" s="1">
        <f>=COUNTIF(E1129:AI1129,"RT")+(COUNTIF(E1129:AI1129,"RT.")/2)</f>
      </c>
      <c r="AQ1129" s="1">
        <f>=COUNTIF(E1129:AI1129,"ÇRT")+(COUNTIF(E1129:AI1129,"ÇRT.")/2)</f>
      </c>
      <c r="AR1129" s="1">
        <f>=COUNTIF(E1129:AI1129,"ÇHT")</f>
      </c>
      <c r="AS1129" s="1">
        <f>=COUNTIF(E1129:AI1129,"Ö")+COUNTIF(E1129:AI1129,"T")</f>
      </c>
      <c r="AT1129" s="1">
        <f>=COUNTIF(E1129:AI1129,"Y")</f>
      </c>
      <c r="AU1129" s="1">
        <f>=COUNTIF(E1129:AI1129,"R.")</f>
      </c>
      <c r="AV1129" s="1">
        <f>=COUNTIF(E1129:AI1129,"Ü")</f>
      </c>
      <c r="AW1129" s="1">
        <f>=COUNTIF(E1129:AI1129,"R")</f>
      </c>
      <c r="AX1129" s="1">
        <f>=COUNTIF(E1129:AI1129,"DV")</f>
      </c>
      <c r="AY1129" s="1">
        <f>=+AN1129+AO1129+AP1129+AQ1129+AR1129+AS1129+AT1129+AU1129</f>
      </c>
    </row>
    <row r="1130" ht="16" customHeight="1" spans="1:51" x14ac:dyDescent="0.25">
      <c r="A1130" s="45"/>
      <c r="B1130" s="46"/>
      <c r="C1130" s="46"/>
      <c r="D1130" s="46" t="s">
        <v>33</v>
      </c>
      <c r="E1130" s="46"/>
      <c r="F1130" s="46"/>
      <c r="G1130" s="46"/>
      <c r="H1130" s="46"/>
      <c r="I1130" s="46"/>
      <c r="J1130" s="46"/>
      <c r="K1130" s="46"/>
      <c r="L1130" s="46"/>
      <c r="M1130" s="46"/>
      <c r="N1130" s="46"/>
      <c r="O1130" s="46"/>
      <c r="P1130" s="46"/>
      <c r="Q1130" s="46"/>
      <c r="R1130" s="46"/>
      <c r="S1130" s="46"/>
      <c r="T1130" s="46"/>
      <c r="U1130" s="46"/>
      <c r="V1130" s="46"/>
      <c r="W1130" s="46"/>
      <c r="X1130" s="46"/>
      <c r="Y1130" s="46"/>
      <c r="Z1130" s="46"/>
      <c r="AA1130" s="46"/>
      <c r="AB1130" s="46"/>
      <c r="AC1130" s="46"/>
      <c r="AD1130" s="46"/>
      <c r="AE1130" s="46"/>
      <c r="AF1130" s="46"/>
      <c r="AG1130" s="46"/>
      <c r="AH1130" s="46"/>
      <c r="AI1130" s="46"/>
      <c r="AJ1130" s="46"/>
      <c r="AK1130" s="46"/>
      <c r="AL1130" s="46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  <c r="AX1130" s="1"/>
      <c r="AY1130" s="1"/>
    </row>
    <row r="1131" ht="16" customHeight="1" spans="1:51" x14ac:dyDescent="0.25">
      <c r="A1131" s="45"/>
      <c r="B1131" s="46" t="s">
        <v>1181</v>
      </c>
      <c r="C1131" s="46" t="s">
        <v>1182</v>
      </c>
      <c r="D1131" s="46" t="s">
        <v>29</v>
      </c>
      <c r="E1131" s="46" t="s">
        <v>59</v>
      </c>
      <c r="F1131" s="46" t="s">
        <v>59</v>
      </c>
      <c r="G1131" s="46" t="s">
        <v>37</v>
      </c>
      <c r="H1131" s="46" t="s">
        <v>59</v>
      </c>
      <c r="I1131" s="46" t="s">
        <v>59</v>
      </c>
      <c r="J1131" s="46" t="s">
        <v>59</v>
      </c>
      <c r="K1131" s="46" t="s">
        <v>59</v>
      </c>
      <c r="L1131" s="46" t="s">
        <v>59</v>
      </c>
      <c r="M1131" s="46" t="s">
        <v>59</v>
      </c>
      <c r="N1131" s="46" t="s">
        <v>37</v>
      </c>
      <c r="O1131" s="46" t="s">
        <v>59</v>
      </c>
      <c r="P1131" s="46" t="s">
        <v>59</v>
      </c>
      <c r="Q1131" s="46" t="s">
        <v>59</v>
      </c>
      <c r="R1131" s="46" t="s">
        <v>59</v>
      </c>
      <c r="S1131" s="46" t="s">
        <v>59</v>
      </c>
      <c r="T1131" s="46" t="s">
        <v>59</v>
      </c>
      <c r="U1131" s="46" t="s">
        <v>37</v>
      </c>
      <c r="V1131" s="46" t="s">
        <v>59</v>
      </c>
      <c r="W1131" s="46" t="s">
        <v>59</v>
      </c>
      <c r="X1131" s="46" t="s">
        <v>59</v>
      </c>
      <c r="Y1131" s="46" t="s">
        <v>59</v>
      </c>
      <c r="Z1131" s="46" t="s">
        <v>59</v>
      </c>
      <c r="AA1131" s="46" t="s">
        <v>59</v>
      </c>
      <c r="AB1131" s="46" t="s">
        <v>37</v>
      </c>
      <c r="AC1131" s="46" t="s">
        <v>59</v>
      </c>
      <c r="AD1131" s="46" t="s">
        <v>59</v>
      </c>
      <c r="AE1131" s="46" t="s">
        <v>59</v>
      </c>
      <c r="AF1131" s="46" t="s">
        <v>59</v>
      </c>
      <c r="AG1131" s="46" t="s">
        <v>59</v>
      </c>
      <c r="AH1131" s="46" t="s">
        <v>43</v>
      </c>
      <c r="AI1131" s="46" t="s">
        <v>37</v>
      </c>
      <c r="AJ1131" s="46">
        <f>=SUM(E1132:AI1132)</f>
      </c>
      <c r="AK1131" s="46">
        <f>=+AY1131</f>
      </c>
      <c r="AL1131" s="46"/>
      <c r="AM1131" s="1"/>
      <c r="AN1131" s="1">
        <f>=COUNTIF(E1131:AI1131,"A")+COUNTIF(E1131:AI1131,"B")+COUNTIF(E1131:AI1131,"C")+COUNTIF(E1131:AI1131,"D")+COUNTIF(E1131:AI1131,"E")+COUNTIF(E1131:AI1131,"F")+COUNTIF(E1131:AI1131,"M")+COUNTIF(E1131:AI1131,"AB")+COUNTIF(E1131:AI1131,"UZ")+COUNTIF(E1131:AI1131,"G")+(COUNTIF(E1131:AI1131,"RT.")/2)+(COUNTIF(E1131:AI1131,"ÇRT.")/2)</f>
      </c>
      <c r="AO1131" s="1">
        <f>=COUNTIF(E1131:AI1131,"O")</f>
      </c>
      <c r="AP1131" s="1">
        <f>=COUNTIF(E1131:AI1131,"RT")+(COUNTIF(E1131:AI1131,"RT.")/2)</f>
      </c>
      <c r="AQ1131" s="1">
        <f>=COUNTIF(E1131:AI1131,"ÇRT")+(COUNTIF(E1131:AI1131,"ÇRT.")/2)</f>
      </c>
      <c r="AR1131" s="1">
        <f>=COUNTIF(E1131:AI1131,"ÇHT")</f>
      </c>
      <c r="AS1131" s="1">
        <f>=COUNTIF(E1131:AI1131,"Ö")+COUNTIF(E1131:AI1131,"T")</f>
      </c>
      <c r="AT1131" s="1">
        <f>=COUNTIF(E1131:AI1131,"Y")</f>
      </c>
      <c r="AU1131" s="1">
        <f>=COUNTIF(E1131:AI1131,"R.")</f>
      </c>
      <c r="AV1131" s="1">
        <f>=COUNTIF(E1131:AI1131,"Ü")</f>
      </c>
      <c r="AW1131" s="1">
        <f>=COUNTIF(E1131:AI1131,"R")</f>
      </c>
      <c r="AX1131" s="1">
        <f>=COUNTIF(E1131:AI1131,"DV")</f>
      </c>
      <c r="AY1131" s="1">
        <f>=+AN1131+AO1131+AP1131+AQ1131+AR1131+AS1131+AT1131+AU1131</f>
      </c>
    </row>
    <row r="1132" ht="16" customHeight="1" spans="1:51" x14ac:dyDescent="0.25">
      <c r="A1132" s="45"/>
      <c r="B1132" s="46"/>
      <c r="C1132" s="46"/>
      <c r="D1132" s="46" t="s">
        <v>33</v>
      </c>
      <c r="E1132" s="46"/>
      <c r="F1132" s="46"/>
      <c r="G1132" s="46"/>
      <c r="H1132" s="46"/>
      <c r="I1132" s="46"/>
      <c r="J1132" s="46"/>
      <c r="K1132" s="46"/>
      <c r="L1132" s="46"/>
      <c r="M1132" s="46"/>
      <c r="N1132" s="46"/>
      <c r="O1132" s="46"/>
      <c r="P1132" s="46"/>
      <c r="Q1132" s="46"/>
      <c r="R1132" s="46"/>
      <c r="S1132" s="46"/>
      <c r="T1132" s="46"/>
      <c r="U1132" s="46"/>
      <c r="V1132" s="46"/>
      <c r="W1132" s="46"/>
      <c r="X1132" s="46"/>
      <c r="Y1132" s="46"/>
      <c r="Z1132" s="46"/>
      <c r="AA1132" s="46"/>
      <c r="AB1132" s="46"/>
      <c r="AC1132" s="46"/>
      <c r="AD1132" s="46"/>
      <c r="AE1132" s="46"/>
      <c r="AF1132" s="46"/>
      <c r="AG1132" s="46"/>
      <c r="AH1132" s="46"/>
      <c r="AI1132" s="46"/>
      <c r="AJ1132" s="46"/>
      <c r="AK1132" s="46"/>
      <c r="AL1132" s="46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  <c r="AX1132" s="1"/>
      <c r="AY1132" s="1"/>
    </row>
    <row r="1133" ht="16" customHeight="1" spans="1:51" x14ac:dyDescent="0.25">
      <c r="A1133" s="45"/>
      <c r="B1133" s="46" t="s">
        <v>1183</v>
      </c>
      <c r="C1133" s="46" t="s">
        <v>1184</v>
      </c>
      <c r="D1133" s="46" t="s">
        <v>29</v>
      </c>
      <c r="E1133" s="46" t="s">
        <v>59</v>
      </c>
      <c r="F1133" s="46" t="s">
        <v>59</v>
      </c>
      <c r="G1133" s="46" t="s">
        <v>37</v>
      </c>
      <c r="H1133" s="46" t="s">
        <v>59</v>
      </c>
      <c r="I1133" s="46" t="s">
        <v>59</v>
      </c>
      <c r="J1133" s="46" t="s">
        <v>59</v>
      </c>
      <c r="K1133" s="46" t="s">
        <v>59</v>
      </c>
      <c r="L1133" s="46" t="s">
        <v>59</v>
      </c>
      <c r="M1133" s="46" t="s">
        <v>37</v>
      </c>
      <c r="N1133" s="46" t="s">
        <v>59</v>
      </c>
      <c r="O1133" s="46" t="s">
        <v>59</v>
      </c>
      <c r="P1133" s="46" t="s">
        <v>59</v>
      </c>
      <c r="Q1133" s="46" t="s">
        <v>59</v>
      </c>
      <c r="R1133" s="46" t="s">
        <v>59</v>
      </c>
      <c r="S1133" s="46" t="s">
        <v>59</v>
      </c>
      <c r="T1133" s="46" t="s">
        <v>37</v>
      </c>
      <c r="U1133" s="46" t="s">
        <v>59</v>
      </c>
      <c r="V1133" s="46" t="s">
        <v>59</v>
      </c>
      <c r="W1133" s="46" t="s">
        <v>59</v>
      </c>
      <c r="X1133" s="46" t="s">
        <v>59</v>
      </c>
      <c r="Y1133" s="46" t="s">
        <v>59</v>
      </c>
      <c r="Z1133" s="46" t="s">
        <v>59</v>
      </c>
      <c r="AA1133" s="46" t="s">
        <v>37</v>
      </c>
      <c r="AB1133" s="46" t="s">
        <v>59</v>
      </c>
      <c r="AC1133" s="46" t="s">
        <v>59</v>
      </c>
      <c r="AD1133" s="46" t="s">
        <v>59</v>
      </c>
      <c r="AE1133" s="46" t="s">
        <v>59</v>
      </c>
      <c r="AF1133" s="46" t="s">
        <v>59</v>
      </c>
      <c r="AG1133" s="46" t="s">
        <v>59</v>
      </c>
      <c r="AH1133" s="46" t="s">
        <v>37</v>
      </c>
      <c r="AI1133" s="46" t="s">
        <v>59</v>
      </c>
      <c r="AJ1133" s="46">
        <f>=SUM(E1134:AI1134)</f>
      </c>
      <c r="AK1133" s="46">
        <f>=+AY1133</f>
      </c>
      <c r="AL1133" s="46"/>
      <c r="AM1133" s="1"/>
      <c r="AN1133" s="1">
        <f>=COUNTIF(E1133:AI1133,"A")+COUNTIF(E1133:AI1133,"B")+COUNTIF(E1133:AI1133,"C")+COUNTIF(E1133:AI1133,"D")+COUNTIF(E1133:AI1133,"E")+COUNTIF(E1133:AI1133,"F")+COUNTIF(E1133:AI1133,"M")+COUNTIF(E1133:AI1133,"AB")+COUNTIF(E1133:AI1133,"UZ")+COUNTIF(E1133:AI1133,"G")+(COUNTIF(E1133:AI1133,"RT.")/2)+(COUNTIF(E1133:AI1133,"ÇRT.")/2)</f>
      </c>
      <c r="AO1133" s="1">
        <f>=COUNTIF(E1133:AI1133,"O")</f>
      </c>
      <c r="AP1133" s="1">
        <f>=COUNTIF(E1133:AI1133,"RT")+(COUNTIF(E1133:AI1133,"RT.")/2)</f>
      </c>
      <c r="AQ1133" s="1">
        <f>=COUNTIF(E1133:AI1133,"ÇRT")+(COUNTIF(E1133:AI1133,"ÇRT.")/2)</f>
      </c>
      <c r="AR1133" s="1">
        <f>=COUNTIF(E1133:AI1133,"ÇHT")</f>
      </c>
      <c r="AS1133" s="1">
        <f>=COUNTIF(E1133:AI1133,"Ö")+COUNTIF(E1133:AI1133,"T")</f>
      </c>
      <c r="AT1133" s="1">
        <f>=COUNTIF(E1133:AI1133,"Y")</f>
      </c>
      <c r="AU1133" s="1">
        <f>=COUNTIF(E1133:AI1133,"R.")</f>
      </c>
      <c r="AV1133" s="1">
        <f>=COUNTIF(E1133:AI1133,"Ü")</f>
      </c>
      <c r="AW1133" s="1">
        <f>=COUNTIF(E1133:AI1133,"R")</f>
      </c>
      <c r="AX1133" s="1">
        <f>=COUNTIF(E1133:AI1133,"DV")</f>
      </c>
      <c r="AY1133" s="1">
        <f>=+AN1133+AO1133+AP1133+AQ1133+AR1133+AS1133+AT1133+AU1133</f>
      </c>
    </row>
    <row r="1134" ht="16" customHeight="1" spans="1:51" x14ac:dyDescent="0.25">
      <c r="A1134" s="45"/>
      <c r="B1134" s="46"/>
      <c r="C1134" s="46"/>
      <c r="D1134" s="46" t="s">
        <v>33</v>
      </c>
      <c r="E1134" s="46"/>
      <c r="F1134" s="46"/>
      <c r="G1134" s="46"/>
      <c r="H1134" s="46"/>
      <c r="I1134" s="46"/>
      <c r="J1134" s="46"/>
      <c r="K1134" s="46"/>
      <c r="L1134" s="46"/>
      <c r="M1134" s="46"/>
      <c r="N1134" s="46"/>
      <c r="O1134" s="46"/>
      <c r="P1134" s="46"/>
      <c r="Q1134" s="46"/>
      <c r="R1134" s="46"/>
      <c r="S1134" s="46"/>
      <c r="T1134" s="46"/>
      <c r="U1134" s="46"/>
      <c r="V1134" s="46"/>
      <c r="W1134" s="46"/>
      <c r="X1134" s="46"/>
      <c r="Y1134" s="46"/>
      <c r="Z1134" s="46"/>
      <c r="AA1134" s="46"/>
      <c r="AB1134" s="46"/>
      <c r="AC1134" s="46"/>
      <c r="AD1134" s="46"/>
      <c r="AE1134" s="46"/>
      <c r="AF1134" s="46">
        <v>0</v>
      </c>
      <c r="AG1134" s="46"/>
      <c r="AH1134" s="46"/>
      <c r="AI1134" s="46"/>
      <c r="AJ1134" s="46"/>
      <c r="AK1134" s="46"/>
      <c r="AL1134" s="46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AW1134" s="1"/>
      <c r="AX1134" s="1"/>
      <c r="AY1134" s="1"/>
    </row>
    <row r="1135" ht="16" customHeight="1" spans="1:51" x14ac:dyDescent="0.25">
      <c r="A1135" s="45"/>
      <c r="B1135" s="46" t="s">
        <v>1185</v>
      </c>
      <c r="C1135" s="46" t="s">
        <v>1186</v>
      </c>
      <c r="D1135" s="46" t="s">
        <v>29</v>
      </c>
      <c r="E1135" s="46" t="s">
        <v>36</v>
      </c>
      <c r="F1135" s="46" t="s">
        <v>36</v>
      </c>
      <c r="G1135" s="46" t="s">
        <v>36</v>
      </c>
      <c r="H1135" s="46" t="s">
        <v>36</v>
      </c>
      <c r="I1135" s="46" t="s">
        <v>36</v>
      </c>
      <c r="J1135" s="46" t="s">
        <v>37</v>
      </c>
      <c r="K1135" s="46" t="s">
        <v>36</v>
      </c>
      <c r="L1135" s="46" t="s">
        <v>36</v>
      </c>
      <c r="M1135" s="46" t="s">
        <v>36</v>
      </c>
      <c r="N1135" s="46" t="s">
        <v>36</v>
      </c>
      <c r="O1135" s="46" t="s">
        <v>36</v>
      </c>
      <c r="P1135" s="46" t="s">
        <v>36</v>
      </c>
      <c r="Q1135" s="46" t="s">
        <v>37</v>
      </c>
      <c r="R1135" s="46" t="s">
        <v>36</v>
      </c>
      <c r="S1135" s="46" t="s">
        <v>36</v>
      </c>
      <c r="T1135" s="46" t="s">
        <v>36</v>
      </c>
      <c r="U1135" s="46" t="s">
        <v>36</v>
      </c>
      <c r="V1135" s="46" t="s">
        <v>36</v>
      </c>
      <c r="W1135" s="46" t="s">
        <v>36</v>
      </c>
      <c r="X1135" s="46" t="s">
        <v>37</v>
      </c>
      <c r="Y1135" s="46" t="s">
        <v>36</v>
      </c>
      <c r="Z1135" s="46" t="s">
        <v>36</v>
      </c>
      <c r="AA1135" s="46" t="s">
        <v>36</v>
      </c>
      <c r="AB1135" s="46" t="s">
        <v>36</v>
      </c>
      <c r="AC1135" s="46" t="s">
        <v>36</v>
      </c>
      <c r="AD1135" s="46" t="s">
        <v>36</v>
      </c>
      <c r="AE1135" s="46" t="s">
        <v>37</v>
      </c>
      <c r="AF1135" s="46" t="s">
        <v>36</v>
      </c>
      <c r="AG1135" s="46" t="s">
        <v>36</v>
      </c>
      <c r="AH1135" s="46" t="s">
        <v>43</v>
      </c>
      <c r="AI1135" s="46" t="s">
        <v>36</v>
      </c>
      <c r="AJ1135" s="46">
        <f>=SUM(E1136:AI1136)</f>
      </c>
      <c r="AK1135" s="46">
        <f>=+AY1135</f>
      </c>
      <c r="AL1135" s="46"/>
      <c r="AM1135" s="1"/>
      <c r="AN1135" s="1">
        <f>=COUNTIF(E1135:AI1135,"A")+COUNTIF(E1135:AI1135,"B")+COUNTIF(E1135:AI1135,"C")+COUNTIF(E1135:AI1135,"D")+COUNTIF(E1135:AI1135,"E")+COUNTIF(E1135:AI1135,"F")+COUNTIF(E1135:AI1135,"M")+COUNTIF(E1135:AI1135,"AB")+COUNTIF(E1135:AI1135,"UZ")+COUNTIF(E1135:AI1135,"G")+(COUNTIF(E1135:AI1135,"RT.")/2)+(COUNTIF(E1135:AI1135,"ÇRT.")/2)</f>
      </c>
      <c r="AO1135" s="1">
        <f>=COUNTIF(E1135:AI1135,"O")</f>
      </c>
      <c r="AP1135" s="1">
        <f>=COUNTIF(E1135:AI1135,"RT")+(COUNTIF(E1135:AI1135,"RT.")/2)</f>
      </c>
      <c r="AQ1135" s="1">
        <f>=COUNTIF(E1135:AI1135,"ÇRT")+(COUNTIF(E1135:AI1135,"ÇRT.")/2)</f>
      </c>
      <c r="AR1135" s="1">
        <f>=COUNTIF(E1135:AI1135,"ÇHT")</f>
      </c>
      <c r="AS1135" s="1">
        <f>=COUNTIF(E1135:AI1135,"Ö")+COUNTIF(E1135:AI1135,"T")</f>
      </c>
      <c r="AT1135" s="1">
        <f>=COUNTIF(E1135:AI1135,"Y")</f>
      </c>
      <c r="AU1135" s="1">
        <f>=COUNTIF(E1135:AI1135,"R.")</f>
      </c>
      <c r="AV1135" s="1">
        <f>=COUNTIF(E1135:AI1135,"Ü")</f>
      </c>
      <c r="AW1135" s="1">
        <f>=COUNTIF(E1135:AI1135,"R")</f>
      </c>
      <c r="AX1135" s="1">
        <f>=COUNTIF(E1135:AI1135,"DV")</f>
      </c>
      <c r="AY1135" s="1">
        <f>=+AN1135+AO1135+AP1135+AQ1135+AR1135+AS1135+AT1135+AU1135</f>
      </c>
    </row>
    <row r="1136" ht="16" customHeight="1" spans="1:51" x14ac:dyDescent="0.25">
      <c r="A1136" s="45"/>
      <c r="B1136" s="46"/>
      <c r="C1136" s="46"/>
      <c r="D1136" s="46" t="s">
        <v>33</v>
      </c>
      <c r="E1136" s="46"/>
      <c r="F1136" s="46"/>
      <c r="G1136" s="46"/>
      <c r="H1136" s="46"/>
      <c r="I1136" s="46"/>
      <c r="J1136" s="46"/>
      <c r="K1136" s="46"/>
      <c r="L1136" s="46"/>
      <c r="M1136" s="46"/>
      <c r="N1136" s="46"/>
      <c r="O1136" s="46"/>
      <c r="P1136" s="46"/>
      <c r="Q1136" s="46"/>
      <c r="R1136" s="46"/>
      <c r="S1136" s="46"/>
      <c r="T1136" s="46"/>
      <c r="U1136" s="46"/>
      <c r="V1136" s="46"/>
      <c r="W1136" s="46"/>
      <c r="X1136" s="46"/>
      <c r="Y1136" s="46">
        <v>0</v>
      </c>
      <c r="Z1136" s="46"/>
      <c r="AA1136" s="46"/>
      <c r="AB1136" s="46"/>
      <c r="AC1136" s="46"/>
      <c r="AD1136" s="46"/>
      <c r="AE1136" s="46"/>
      <c r="AF1136" s="46"/>
      <c r="AG1136" s="46"/>
      <c r="AH1136" s="46"/>
      <c r="AI1136" s="46"/>
      <c r="AJ1136" s="46"/>
      <c r="AK1136" s="46"/>
      <c r="AL1136" s="46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  <c r="AW1136" s="1"/>
      <c r="AX1136" s="1"/>
      <c r="AY1136" s="1"/>
    </row>
    <row r="1137" ht="16" customHeight="1" spans="1:51" x14ac:dyDescent="0.25">
      <c r="A1137" s="45"/>
      <c r="B1137" s="46" t="s">
        <v>1187</v>
      </c>
      <c r="C1137" s="46" t="s">
        <v>1188</v>
      </c>
      <c r="D1137" s="46" t="s">
        <v>29</v>
      </c>
      <c r="E1137" s="46" t="s">
        <v>30</v>
      </c>
      <c r="F1137" s="46" t="s">
        <v>30</v>
      </c>
      <c r="G1137" s="46" t="s">
        <v>30</v>
      </c>
      <c r="H1137" s="46" t="s">
        <v>30</v>
      </c>
      <c r="I1137" s="46" t="s">
        <v>30</v>
      </c>
      <c r="J1137" s="46" t="s">
        <v>30</v>
      </c>
      <c r="K1137" s="46" t="s">
        <v>37</v>
      </c>
      <c r="L1137" s="46" t="s">
        <v>30</v>
      </c>
      <c r="M1137" s="46" t="s">
        <v>30</v>
      </c>
      <c r="N1137" s="46" t="s">
        <v>30</v>
      </c>
      <c r="O1137" s="46" t="s">
        <v>30</v>
      </c>
      <c r="P1137" s="46" t="s">
        <v>30</v>
      </c>
      <c r="Q1137" s="46" t="s">
        <v>30</v>
      </c>
      <c r="R1137" s="46" t="s">
        <v>37</v>
      </c>
      <c r="S1137" s="46" t="s">
        <v>36</v>
      </c>
      <c r="T1137" s="46" t="s">
        <v>36</v>
      </c>
      <c r="U1137" s="46" t="s">
        <v>59</v>
      </c>
      <c r="V1137" s="46" t="s">
        <v>59</v>
      </c>
      <c r="W1137" s="46" t="s">
        <v>37</v>
      </c>
      <c r="X1137" s="46" t="s">
        <v>59</v>
      </c>
      <c r="Y1137" s="46" t="s">
        <v>59</v>
      </c>
      <c r="Z1137" s="46" t="s">
        <v>59</v>
      </c>
      <c r="AA1137" s="46" t="s">
        <v>59</v>
      </c>
      <c r="AB1137" s="46" t="s">
        <v>59</v>
      </c>
      <c r="AC1137" s="46" t="s">
        <v>59</v>
      </c>
      <c r="AD1137" s="46" t="s">
        <v>59</v>
      </c>
      <c r="AE1137" s="46" t="s">
        <v>59</v>
      </c>
      <c r="AF1137" s="46" t="s">
        <v>37</v>
      </c>
      <c r="AG1137" s="46" t="s">
        <v>59</v>
      </c>
      <c r="AH1137" s="46" t="s">
        <v>43</v>
      </c>
      <c r="AI1137" s="46" t="s">
        <v>59</v>
      </c>
      <c r="AJ1137" s="46">
        <f>=SUM(E1138:AI1138)</f>
      </c>
      <c r="AK1137" s="46">
        <f>=+AY1137</f>
      </c>
      <c r="AL1137" s="46"/>
      <c r="AM1137" s="1"/>
      <c r="AN1137" s="1">
        <f>=COUNTIF(E1137:AI1137,"A")+COUNTIF(E1137:AI1137,"B")+COUNTIF(E1137:AI1137,"C")+COUNTIF(E1137:AI1137,"D")+COUNTIF(E1137:AI1137,"E")+COUNTIF(E1137:AI1137,"F")+COUNTIF(E1137:AI1137,"M")+COUNTIF(E1137:AI1137,"AB")+COUNTIF(E1137:AI1137,"UZ")+COUNTIF(E1137:AI1137,"G")+(COUNTIF(E1137:AI1137,"RT.")/2)+(COUNTIF(E1137:AI1137,"ÇRT.")/2)</f>
      </c>
      <c r="AO1137" s="1">
        <f>=COUNTIF(E1137:AI1137,"O")</f>
      </c>
      <c r="AP1137" s="1">
        <f>=COUNTIF(E1137:AI1137,"RT")+(COUNTIF(E1137:AI1137,"RT.")/2)</f>
      </c>
      <c r="AQ1137" s="1">
        <f>=COUNTIF(E1137:AI1137,"ÇRT")+(COUNTIF(E1137:AI1137,"ÇRT.")/2)</f>
      </c>
      <c r="AR1137" s="1">
        <f>=COUNTIF(E1137:AI1137,"ÇHT")</f>
      </c>
      <c r="AS1137" s="1">
        <f>=COUNTIF(E1137:AI1137,"Ö")+COUNTIF(E1137:AI1137,"T")</f>
      </c>
      <c r="AT1137" s="1">
        <f>=COUNTIF(E1137:AI1137,"Y")</f>
      </c>
      <c r="AU1137" s="1">
        <f>=COUNTIF(E1137:AI1137,"R.")</f>
      </c>
      <c r="AV1137" s="1">
        <f>=COUNTIF(E1137:AI1137,"Ü")</f>
      </c>
      <c r="AW1137" s="1">
        <f>=COUNTIF(E1137:AI1137,"R")</f>
      </c>
      <c r="AX1137" s="1">
        <f>=COUNTIF(E1137:AI1137,"DV")</f>
      </c>
      <c r="AY1137" s="1">
        <f>=+AN1137+AO1137+AP1137+AQ1137+AR1137+AS1137+AT1137+AU1137</f>
      </c>
    </row>
    <row r="1138" ht="16" customHeight="1" spans="1:51" x14ac:dyDescent="0.25">
      <c r="A1138" s="45"/>
      <c r="B1138" s="46"/>
      <c r="C1138" s="46"/>
      <c r="D1138" s="46" t="s">
        <v>33</v>
      </c>
      <c r="E1138" s="46"/>
      <c r="F1138" s="46"/>
      <c r="G1138" s="46"/>
      <c r="H1138" s="46"/>
      <c r="I1138" s="46"/>
      <c r="J1138" s="46"/>
      <c r="K1138" s="46"/>
      <c r="L1138" s="46"/>
      <c r="M1138" s="46"/>
      <c r="N1138" s="46"/>
      <c r="O1138" s="46"/>
      <c r="P1138" s="46"/>
      <c r="Q1138" s="46"/>
      <c r="R1138" s="46"/>
      <c r="S1138" s="46"/>
      <c r="T1138" s="46"/>
      <c r="U1138" s="46"/>
      <c r="V1138" s="46"/>
      <c r="W1138" s="46"/>
      <c r="X1138" s="46"/>
      <c r="Y1138" s="46"/>
      <c r="Z1138" s="46"/>
      <c r="AA1138" s="46"/>
      <c r="AB1138" s="46"/>
      <c r="AC1138" s="46"/>
      <c r="AD1138" s="46"/>
      <c r="AE1138" s="46"/>
      <c r="AF1138" s="46"/>
      <c r="AG1138" s="46"/>
      <c r="AH1138" s="46"/>
      <c r="AI1138" s="46"/>
      <c r="AJ1138" s="46"/>
      <c r="AK1138" s="46"/>
      <c r="AL1138" s="46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  <c r="AW1138" s="1"/>
      <c r="AX1138" s="1"/>
      <c r="AY1138" s="1"/>
    </row>
    <row r="1139" ht="16" customHeight="1" spans="1:51" x14ac:dyDescent="0.25">
      <c r="A1139" s="45"/>
      <c r="B1139" s="46" t="s">
        <v>1189</v>
      </c>
      <c r="C1139" s="46" t="s">
        <v>1190</v>
      </c>
      <c r="D1139" s="46" t="s">
        <v>29</v>
      </c>
      <c r="E1139" s="46" t="s">
        <v>36</v>
      </c>
      <c r="F1139" s="46" t="s">
        <v>36</v>
      </c>
      <c r="G1139" s="46" t="s">
        <v>37</v>
      </c>
      <c r="H1139" s="46" t="s">
        <v>30</v>
      </c>
      <c r="I1139" s="46" t="s">
        <v>30</v>
      </c>
      <c r="J1139" s="46" t="s">
        <v>30</v>
      </c>
      <c r="K1139" s="46" t="s">
        <v>30</v>
      </c>
      <c r="L1139" s="46" t="s">
        <v>30</v>
      </c>
      <c r="M1139" s="46" t="s">
        <v>30</v>
      </c>
      <c r="N1139" s="46" t="s">
        <v>37</v>
      </c>
      <c r="O1139" s="46" t="s">
        <v>30</v>
      </c>
      <c r="P1139" s="46" t="s">
        <v>30</v>
      </c>
      <c r="Q1139" s="46" t="s">
        <v>30</v>
      </c>
      <c r="R1139" s="46" t="s">
        <v>30</v>
      </c>
      <c r="S1139" s="46" t="s">
        <v>30</v>
      </c>
      <c r="T1139" s="46" t="s">
        <v>30</v>
      </c>
      <c r="U1139" s="46" t="s">
        <v>37</v>
      </c>
      <c r="V1139" s="46" t="s">
        <v>59</v>
      </c>
      <c r="W1139" s="46" t="s">
        <v>59</v>
      </c>
      <c r="X1139" s="46" t="s">
        <v>59</v>
      </c>
      <c r="Y1139" s="46" t="s">
        <v>59</v>
      </c>
      <c r="Z1139" s="46" t="s">
        <v>59</v>
      </c>
      <c r="AA1139" s="46" t="s">
        <v>59</v>
      </c>
      <c r="AB1139" s="46" t="s">
        <v>37</v>
      </c>
      <c r="AC1139" s="46" t="s">
        <v>59</v>
      </c>
      <c r="AD1139" s="46" t="s">
        <v>59</v>
      </c>
      <c r="AE1139" s="46" t="s">
        <v>59</v>
      </c>
      <c r="AF1139" s="46" t="s">
        <v>59</v>
      </c>
      <c r="AG1139" s="46" t="s">
        <v>30</v>
      </c>
      <c r="AH1139" s="46" t="s">
        <v>43</v>
      </c>
      <c r="AI1139" s="46" t="s">
        <v>37</v>
      </c>
      <c r="AJ1139" s="46">
        <f>=SUM(E1140:AI1140)</f>
      </c>
      <c r="AK1139" s="46">
        <f>=+AY1139</f>
      </c>
      <c r="AL1139" s="46"/>
      <c r="AM1139" s="1"/>
      <c r="AN1139" s="1">
        <f>=COUNTIF(E1139:AI1139,"A")+COUNTIF(E1139:AI1139,"B")+COUNTIF(E1139:AI1139,"C")+COUNTIF(E1139:AI1139,"D")+COUNTIF(E1139:AI1139,"E")+COUNTIF(E1139:AI1139,"F")+COUNTIF(E1139:AI1139,"M")+COUNTIF(E1139:AI1139,"AB")+COUNTIF(E1139:AI1139,"UZ")+COUNTIF(E1139:AI1139,"G")+(COUNTIF(E1139:AI1139,"RT.")/2)+(COUNTIF(E1139:AI1139,"ÇRT.")/2)</f>
      </c>
      <c r="AO1139" s="1">
        <f>=COUNTIF(E1139:AI1139,"O")</f>
      </c>
      <c r="AP1139" s="1">
        <f>=COUNTIF(E1139:AI1139,"RT")+(COUNTIF(E1139:AI1139,"RT.")/2)</f>
      </c>
      <c r="AQ1139" s="1">
        <f>=COUNTIF(E1139:AI1139,"ÇRT")+(COUNTIF(E1139:AI1139,"ÇRT.")/2)</f>
      </c>
      <c r="AR1139" s="1">
        <f>=COUNTIF(E1139:AI1139,"ÇHT")</f>
      </c>
      <c r="AS1139" s="1">
        <f>=COUNTIF(E1139:AI1139,"Ö")+COUNTIF(E1139:AI1139,"T")</f>
      </c>
      <c r="AT1139" s="1">
        <f>=COUNTIF(E1139:AI1139,"Y")</f>
      </c>
      <c r="AU1139" s="1">
        <f>=COUNTIF(E1139:AI1139,"R.")</f>
      </c>
      <c r="AV1139" s="1">
        <f>=COUNTIF(E1139:AI1139,"Ü")</f>
      </c>
      <c r="AW1139" s="1">
        <f>=COUNTIF(E1139:AI1139,"R")</f>
      </c>
      <c r="AX1139" s="1">
        <f>=COUNTIF(E1139:AI1139,"DV")</f>
      </c>
      <c r="AY1139" s="1">
        <f>=+AN1139+AO1139+AP1139+AQ1139+AR1139+AS1139+AT1139+AU1139</f>
      </c>
    </row>
    <row r="1140" ht="16" customHeight="1" spans="1:51" x14ac:dyDescent="0.25">
      <c r="A1140" s="45"/>
      <c r="B1140" s="46"/>
      <c r="C1140" s="46"/>
      <c r="D1140" s="46" t="s">
        <v>33</v>
      </c>
      <c r="E1140" s="46"/>
      <c r="F1140" s="46"/>
      <c r="G1140" s="46"/>
      <c r="H1140" s="46"/>
      <c r="I1140" s="46"/>
      <c r="J1140" s="46"/>
      <c r="K1140" s="46"/>
      <c r="L1140" s="46"/>
      <c r="M1140" s="46"/>
      <c r="N1140" s="46"/>
      <c r="O1140" s="46"/>
      <c r="P1140" s="46"/>
      <c r="Q1140" s="46"/>
      <c r="R1140" s="46"/>
      <c r="S1140" s="46"/>
      <c r="T1140" s="46"/>
      <c r="U1140" s="46"/>
      <c r="V1140" s="46"/>
      <c r="W1140" s="46"/>
      <c r="X1140" s="46"/>
      <c r="Y1140" s="46"/>
      <c r="Z1140" s="46"/>
      <c r="AA1140" s="46"/>
      <c r="AB1140" s="46"/>
      <c r="AC1140" s="46"/>
      <c r="AD1140" s="46"/>
      <c r="AE1140" s="46"/>
      <c r="AF1140" s="46"/>
      <c r="AG1140" s="46"/>
      <c r="AH1140" s="46"/>
      <c r="AI1140" s="46"/>
      <c r="AJ1140" s="46"/>
      <c r="AK1140" s="46"/>
      <c r="AL1140" s="46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  <c r="AX1140" s="1"/>
      <c r="AY1140" s="1"/>
    </row>
    <row r="1141" ht="16" customHeight="1" spans="1:51" x14ac:dyDescent="0.25">
      <c r="A1141" s="45"/>
      <c r="B1141" s="46" t="s">
        <v>1191</v>
      </c>
      <c r="C1141" s="46" t="s">
        <v>1192</v>
      </c>
      <c r="D1141" s="46" t="s">
        <v>29</v>
      </c>
      <c r="E1141" s="46" t="s">
        <v>36</v>
      </c>
      <c r="F1141" s="46" t="s">
        <v>36</v>
      </c>
      <c r="G1141" s="46" t="s">
        <v>36</v>
      </c>
      <c r="H1141" s="46" t="s">
        <v>36</v>
      </c>
      <c r="I1141" s="46" t="s">
        <v>37</v>
      </c>
      <c r="J1141" s="46" t="s">
        <v>36</v>
      </c>
      <c r="K1141" s="46" t="s">
        <v>36</v>
      </c>
      <c r="L1141" s="46" t="s">
        <v>36</v>
      </c>
      <c r="M1141" s="46" t="s">
        <v>36</v>
      </c>
      <c r="N1141" s="46" t="s">
        <v>36</v>
      </c>
      <c r="O1141" s="46" t="s">
        <v>36</v>
      </c>
      <c r="P1141" s="46" t="s">
        <v>37</v>
      </c>
      <c r="Q1141" s="46" t="s">
        <v>36</v>
      </c>
      <c r="R1141" s="46" t="s">
        <v>36</v>
      </c>
      <c r="S1141" s="46" t="s">
        <v>36</v>
      </c>
      <c r="T1141" s="46" t="s">
        <v>36</v>
      </c>
      <c r="U1141" s="46" t="s">
        <v>36</v>
      </c>
      <c r="V1141" s="46" t="s">
        <v>36</v>
      </c>
      <c r="W1141" s="46" t="s">
        <v>36</v>
      </c>
      <c r="X1141" s="46" t="s">
        <v>36</v>
      </c>
      <c r="Y1141" s="46" t="s">
        <v>36</v>
      </c>
      <c r="Z1141" s="46" t="s">
        <v>36</v>
      </c>
      <c r="AA1141" s="46" t="s">
        <v>37</v>
      </c>
      <c r="AB1141" s="46" t="s">
        <v>36</v>
      </c>
      <c r="AC1141" s="46" t="s">
        <v>36</v>
      </c>
      <c r="AD1141" s="46" t="s">
        <v>37</v>
      </c>
      <c r="AE1141" s="46" t="s">
        <v>36</v>
      </c>
      <c r="AF1141" s="46" t="s">
        <v>36</v>
      </c>
      <c r="AG1141" s="46" t="s">
        <v>36</v>
      </c>
      <c r="AH1141" s="46" t="s">
        <v>43</v>
      </c>
      <c r="AI1141" s="46" t="s">
        <v>36</v>
      </c>
      <c r="AJ1141" s="46">
        <f>=SUM(E1142:AI1142)</f>
      </c>
      <c r="AK1141" s="46">
        <f>=+AY1141</f>
      </c>
      <c r="AL1141" s="46"/>
      <c r="AM1141" s="1"/>
      <c r="AN1141" s="1">
        <f>=COUNTIF(E1141:AI1141,"A")+COUNTIF(E1141:AI1141,"B")+COUNTIF(E1141:AI1141,"C")+COUNTIF(E1141:AI1141,"D")+COUNTIF(E1141:AI1141,"E")+COUNTIF(E1141:AI1141,"F")+COUNTIF(E1141:AI1141,"M")+COUNTIF(E1141:AI1141,"AB")+COUNTIF(E1141:AI1141,"UZ")+COUNTIF(E1141:AI1141,"G")+(COUNTIF(E1141:AI1141,"RT.")/2)+(COUNTIF(E1141:AI1141,"ÇRT.")/2)</f>
      </c>
      <c r="AO1141" s="1">
        <f>=COUNTIF(E1141:AI1141,"O")</f>
      </c>
      <c r="AP1141" s="1">
        <f>=COUNTIF(E1141:AI1141,"RT")+(COUNTIF(E1141:AI1141,"RT.")/2)</f>
      </c>
      <c r="AQ1141" s="1">
        <f>=COUNTIF(E1141:AI1141,"ÇRT")+(COUNTIF(E1141:AI1141,"ÇRT.")/2)</f>
      </c>
      <c r="AR1141" s="1">
        <f>=COUNTIF(E1141:AI1141,"ÇHT")</f>
      </c>
      <c r="AS1141" s="1">
        <f>=COUNTIF(E1141:AI1141,"Ö")+COUNTIF(E1141:AI1141,"T")</f>
      </c>
      <c r="AT1141" s="1">
        <f>=COUNTIF(E1141:AI1141,"Y")</f>
      </c>
      <c r="AU1141" s="1">
        <f>=COUNTIF(E1141:AI1141,"R.")</f>
      </c>
      <c r="AV1141" s="1">
        <f>=COUNTIF(E1141:AI1141,"Ü")</f>
      </c>
      <c r="AW1141" s="1">
        <f>=COUNTIF(E1141:AI1141,"R")</f>
      </c>
      <c r="AX1141" s="1">
        <f>=COUNTIF(E1141:AI1141,"DV")</f>
      </c>
      <c r="AY1141" s="1">
        <f>=+AN1141+AO1141+AP1141+AQ1141+AR1141+AS1141+AT1141+AU1141</f>
      </c>
    </row>
    <row r="1142" ht="16" customHeight="1" spans="1:51" x14ac:dyDescent="0.25">
      <c r="A1142" s="45"/>
      <c r="B1142" s="46"/>
      <c r="C1142" s="46"/>
      <c r="D1142" s="46" t="s">
        <v>33</v>
      </c>
      <c r="E1142" s="46"/>
      <c r="F1142" s="46"/>
      <c r="G1142" s="46"/>
      <c r="H1142" s="46"/>
      <c r="I1142" s="46"/>
      <c r="J1142" s="46"/>
      <c r="K1142" s="46"/>
      <c r="L1142" s="46"/>
      <c r="M1142" s="46"/>
      <c r="N1142" s="46"/>
      <c r="O1142" s="46"/>
      <c r="P1142" s="46"/>
      <c r="Q1142" s="46"/>
      <c r="R1142" s="46"/>
      <c r="S1142" s="46"/>
      <c r="T1142" s="46"/>
      <c r="U1142" s="46"/>
      <c r="V1142" s="46"/>
      <c r="W1142" s="46"/>
      <c r="X1142" s="46"/>
      <c r="Y1142" s="46"/>
      <c r="Z1142" s="46"/>
      <c r="AA1142" s="46">
        <v>0</v>
      </c>
      <c r="AB1142" s="46"/>
      <c r="AC1142" s="46"/>
      <c r="AD1142" s="46"/>
      <c r="AE1142" s="46"/>
      <c r="AF1142" s="46">
        <v>0</v>
      </c>
      <c r="AG1142" s="46"/>
      <c r="AH1142" s="46"/>
      <c r="AI1142" s="46"/>
      <c r="AJ1142" s="46"/>
      <c r="AK1142" s="46"/>
      <c r="AL1142" s="46"/>
      <c r="AM1142" s="1"/>
      <c r="AN1142" s="1"/>
      <c r="AO1142" s="1"/>
      <c r="AP1142" s="1"/>
      <c r="AQ1142" s="1"/>
      <c r="AR1142" s="1"/>
      <c r="AS1142" s="1"/>
      <c r="AT1142" s="1"/>
      <c r="AU1142" s="1"/>
      <c r="AV1142" s="1"/>
      <c r="AW1142" s="1"/>
      <c r="AX1142" s="1"/>
      <c r="AY1142" s="1"/>
    </row>
    <row r="1143" ht="16" customHeight="1" spans="1:51" x14ac:dyDescent="0.25">
      <c r="A1143" s="45"/>
      <c r="B1143" s="46" t="s">
        <v>1193</v>
      </c>
      <c r="C1143" s="46" t="s">
        <v>1194</v>
      </c>
      <c r="D1143" s="46" t="s">
        <v>29</v>
      </c>
      <c r="E1143" s="46" t="s">
        <v>36</v>
      </c>
      <c r="F1143" s="46" t="s">
        <v>36</v>
      </c>
      <c r="G1143" s="46" t="s">
        <v>36</v>
      </c>
      <c r="H1143" s="46" t="s">
        <v>37</v>
      </c>
      <c r="I1143" s="46" t="s">
        <v>36</v>
      </c>
      <c r="J1143" s="46" t="s">
        <v>36</v>
      </c>
      <c r="K1143" s="46" t="s">
        <v>36</v>
      </c>
      <c r="L1143" s="46" t="s">
        <v>36</v>
      </c>
      <c r="M1143" s="46" t="s">
        <v>36</v>
      </c>
      <c r="N1143" s="46" t="s">
        <v>36</v>
      </c>
      <c r="O1143" s="46" t="s">
        <v>37</v>
      </c>
      <c r="P1143" s="46" t="s">
        <v>36</v>
      </c>
      <c r="Q1143" s="46" t="s">
        <v>36</v>
      </c>
      <c r="R1143" s="46" t="s">
        <v>36</v>
      </c>
      <c r="S1143" s="46" t="s">
        <v>36</v>
      </c>
      <c r="T1143" s="46" t="s">
        <v>36</v>
      </c>
      <c r="U1143" s="46" t="s">
        <v>36</v>
      </c>
      <c r="V1143" s="46" t="s">
        <v>37</v>
      </c>
      <c r="W1143" s="46" t="s">
        <v>153</v>
      </c>
      <c r="X1143" s="46" t="s">
        <v>153</v>
      </c>
      <c r="Y1143" s="46" t="s">
        <v>36</v>
      </c>
      <c r="Z1143" s="46" t="s">
        <v>36</v>
      </c>
      <c r="AA1143" s="46" t="s">
        <v>36</v>
      </c>
      <c r="AB1143" s="46" t="s">
        <v>36</v>
      </c>
      <c r="AC1143" s="46" t="s">
        <v>36</v>
      </c>
      <c r="AD1143" s="46" t="s">
        <v>36</v>
      </c>
      <c r="AE1143" s="46" t="s">
        <v>36</v>
      </c>
      <c r="AF1143" s="46" t="s">
        <v>36</v>
      </c>
      <c r="AG1143" s="46" t="s">
        <v>37</v>
      </c>
      <c r="AH1143" s="46" t="s">
        <v>43</v>
      </c>
      <c r="AI1143" s="46" t="s">
        <v>36</v>
      </c>
      <c r="AJ1143" s="46">
        <f>=SUM(E1144:AI1144)</f>
      </c>
      <c r="AK1143" s="46">
        <f>=+AY1143</f>
      </c>
      <c r="AL1143" s="46"/>
      <c r="AM1143" s="1"/>
      <c r="AN1143" s="1">
        <f>=COUNTIF(E1143:AI1143,"A")+COUNTIF(E1143:AI1143,"B")+COUNTIF(E1143:AI1143,"C")+COUNTIF(E1143:AI1143,"D")+COUNTIF(E1143:AI1143,"E")+COUNTIF(E1143:AI1143,"F")+COUNTIF(E1143:AI1143,"M")+COUNTIF(E1143:AI1143,"AB")+COUNTIF(E1143:AI1143,"UZ")+COUNTIF(E1143:AI1143,"G")+(COUNTIF(E1143:AI1143,"RT.")/2)+(COUNTIF(E1143:AI1143,"ÇRT.")/2)</f>
      </c>
      <c r="AO1143" s="1">
        <f>=COUNTIF(E1143:AI1143,"O")</f>
      </c>
      <c r="AP1143" s="1">
        <f>=COUNTIF(E1143:AI1143,"RT")+(COUNTIF(E1143:AI1143,"RT.")/2)</f>
      </c>
      <c r="AQ1143" s="1">
        <f>=COUNTIF(E1143:AI1143,"ÇRT")+(COUNTIF(E1143:AI1143,"ÇRT.")/2)</f>
      </c>
      <c r="AR1143" s="1">
        <f>=COUNTIF(E1143:AI1143,"ÇHT")</f>
      </c>
      <c r="AS1143" s="1">
        <f>=COUNTIF(E1143:AI1143,"Ö")+COUNTIF(E1143:AI1143,"T")</f>
      </c>
      <c r="AT1143" s="1">
        <f>=COUNTIF(E1143:AI1143,"Y")</f>
      </c>
      <c r="AU1143" s="1">
        <f>=COUNTIF(E1143:AI1143,"R.")</f>
      </c>
      <c r="AV1143" s="1">
        <f>=COUNTIF(E1143:AI1143,"Ü")</f>
      </c>
      <c r="AW1143" s="1">
        <f>=COUNTIF(E1143:AI1143,"R")</f>
      </c>
      <c r="AX1143" s="1">
        <f>=COUNTIF(E1143:AI1143,"DV")</f>
      </c>
      <c r="AY1143" s="1">
        <f>=+AN1143+AO1143+AP1143+AQ1143+AR1143+AS1143+AT1143+AU1143</f>
      </c>
    </row>
    <row r="1144" ht="16" customHeight="1" spans="1:51" x14ac:dyDescent="0.25">
      <c r="A1144" s="45"/>
      <c r="B1144" s="46"/>
      <c r="C1144" s="46"/>
      <c r="D1144" s="46" t="s">
        <v>33</v>
      </c>
      <c r="E1144" s="46"/>
      <c r="F1144" s="46"/>
      <c r="G1144" s="46"/>
      <c r="H1144" s="46"/>
      <c r="I1144" s="46"/>
      <c r="J1144" s="46"/>
      <c r="K1144" s="46"/>
      <c r="L1144" s="46"/>
      <c r="M1144" s="46"/>
      <c r="N1144" s="46"/>
      <c r="O1144" s="46"/>
      <c r="P1144" s="46"/>
      <c r="Q1144" s="46"/>
      <c r="R1144" s="46"/>
      <c r="S1144" s="46"/>
      <c r="T1144" s="46"/>
      <c r="U1144" s="46"/>
      <c r="V1144" s="46"/>
      <c r="W1144" s="46"/>
      <c r="X1144" s="46"/>
      <c r="Y1144" s="46"/>
      <c r="Z1144" s="46"/>
      <c r="AA1144" s="46"/>
      <c r="AB1144" s="46"/>
      <c r="AC1144" s="46"/>
      <c r="AD1144" s="46"/>
      <c r="AE1144" s="46"/>
      <c r="AF1144" s="46"/>
      <c r="AG1144" s="46"/>
      <c r="AH1144" s="46"/>
      <c r="AI1144" s="46"/>
      <c r="AJ1144" s="46"/>
      <c r="AK1144" s="46"/>
      <c r="AL1144" s="46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  <c r="AW1144" s="1"/>
      <c r="AX1144" s="1"/>
      <c r="AY1144" s="1"/>
    </row>
    <row r="1145" ht="16" customHeight="1" spans="1:51" x14ac:dyDescent="0.25">
      <c r="A1145" s="45"/>
      <c r="B1145" s="46" t="s">
        <v>1195</v>
      </c>
      <c r="C1145" s="46" t="s">
        <v>1196</v>
      </c>
      <c r="D1145" s="46" t="s">
        <v>29</v>
      </c>
      <c r="E1145" s="46"/>
      <c r="F1145" s="46"/>
      <c r="G1145" s="46"/>
      <c r="H1145" s="46"/>
      <c r="I1145" s="46"/>
      <c r="J1145" s="46"/>
      <c r="K1145" s="46"/>
      <c r="L1145" s="46"/>
      <c r="M1145" s="46"/>
      <c r="N1145" s="46"/>
      <c r="O1145" s="46" t="s">
        <v>36</v>
      </c>
      <c r="P1145" s="46" t="s">
        <v>36</v>
      </c>
      <c r="Q1145" s="46" t="s">
        <v>36</v>
      </c>
      <c r="R1145" s="46" t="s">
        <v>36</v>
      </c>
      <c r="S1145" s="46" t="s">
        <v>36</v>
      </c>
      <c r="T1145" s="46" t="s">
        <v>37</v>
      </c>
      <c r="U1145" s="46" t="s">
        <v>36</v>
      </c>
      <c r="V1145" s="46" t="s">
        <v>36</v>
      </c>
      <c r="W1145" s="46" t="s">
        <v>36</v>
      </c>
      <c r="X1145" s="46" t="s">
        <v>36</v>
      </c>
      <c r="Y1145" s="46" t="s">
        <v>36</v>
      </c>
      <c r="Z1145" s="46" t="s">
        <v>36</v>
      </c>
      <c r="AA1145" s="46" t="s">
        <v>37</v>
      </c>
      <c r="AB1145" s="46" t="s">
        <v>36</v>
      </c>
      <c r="AC1145" s="46" t="s">
        <v>36</v>
      </c>
      <c r="AD1145" s="46" t="s">
        <v>36</v>
      </c>
      <c r="AE1145" s="46" t="s">
        <v>36</v>
      </c>
      <c r="AF1145" s="46" t="s">
        <v>36</v>
      </c>
      <c r="AG1145" s="46" t="s">
        <v>36</v>
      </c>
      <c r="AH1145" s="46" t="s">
        <v>37</v>
      </c>
      <c r="AI1145" s="46" t="s">
        <v>36</v>
      </c>
      <c r="AJ1145" s="46">
        <f>=SUM(E1146:AI1146)</f>
      </c>
      <c r="AK1145" s="46">
        <f>=+AY1145</f>
      </c>
      <c r="AL1145" s="46"/>
      <c r="AM1145" s="1"/>
      <c r="AN1145" s="1">
        <f>=COUNTIF(E1145:AI1145,"A")+COUNTIF(E1145:AI1145,"B")+COUNTIF(E1145:AI1145,"C")+COUNTIF(E1145:AI1145,"D")+COUNTIF(E1145:AI1145,"E")+COUNTIF(E1145:AI1145,"F")+COUNTIF(E1145:AI1145,"M")+COUNTIF(E1145:AI1145,"AB")+COUNTIF(E1145:AI1145,"UZ")+COUNTIF(E1145:AI1145,"G")+(COUNTIF(E1145:AI1145,"RT.")/2)+(COUNTIF(E1145:AI1145,"ÇRT.")/2)</f>
      </c>
      <c r="AO1145" s="1">
        <f>=COUNTIF(E1145:AI1145,"O")</f>
      </c>
      <c r="AP1145" s="1">
        <f>=COUNTIF(E1145:AI1145,"RT")+(COUNTIF(E1145:AI1145,"RT.")/2)</f>
      </c>
      <c r="AQ1145" s="1">
        <f>=COUNTIF(E1145:AI1145,"ÇRT")+(COUNTIF(E1145:AI1145,"ÇRT.")/2)</f>
      </c>
      <c r="AR1145" s="1">
        <f>=COUNTIF(E1145:AI1145,"ÇHT")</f>
      </c>
      <c r="AS1145" s="1">
        <f>=COUNTIF(E1145:AI1145,"Ö")+COUNTIF(E1145:AI1145,"T")</f>
      </c>
      <c r="AT1145" s="1">
        <f>=COUNTIF(E1145:AI1145,"Y")</f>
      </c>
      <c r="AU1145" s="1">
        <f>=COUNTIF(E1145:AI1145,"R.")</f>
      </c>
      <c r="AV1145" s="1">
        <f>=COUNTIF(E1145:AI1145,"Ü")</f>
      </c>
      <c r="AW1145" s="1">
        <f>=COUNTIF(E1145:AI1145,"R")</f>
      </c>
      <c r="AX1145" s="1">
        <f>=COUNTIF(E1145:AI1145,"DV")</f>
      </c>
      <c r="AY1145" s="1">
        <f>=+AN1145+AO1145+AP1145+AQ1145+AR1145+AS1145+AT1145+AU1145</f>
      </c>
    </row>
    <row r="1146" ht="16" customHeight="1" spans="1:51" x14ac:dyDescent="0.25">
      <c r="A1146" s="45"/>
      <c r="B1146" s="46"/>
      <c r="C1146" s="46"/>
      <c r="D1146" s="46" t="s">
        <v>33</v>
      </c>
      <c r="E1146" s="46"/>
      <c r="F1146" s="46"/>
      <c r="G1146" s="46"/>
      <c r="H1146" s="46"/>
      <c r="I1146" s="46"/>
      <c r="J1146" s="46"/>
      <c r="K1146" s="46"/>
      <c r="L1146" s="46"/>
      <c r="M1146" s="46"/>
      <c r="N1146" s="46"/>
      <c r="O1146" s="46"/>
      <c r="P1146" s="46"/>
      <c r="Q1146" s="46"/>
      <c r="R1146" s="46"/>
      <c r="S1146" s="46"/>
      <c r="T1146" s="46"/>
      <c r="U1146" s="46"/>
      <c r="V1146" s="46"/>
      <c r="W1146" s="46"/>
      <c r="X1146" s="46"/>
      <c r="Y1146" s="46"/>
      <c r="Z1146" s="46"/>
      <c r="AA1146" s="46"/>
      <c r="AB1146" s="46"/>
      <c r="AC1146" s="46"/>
      <c r="AD1146" s="46"/>
      <c r="AE1146" s="46"/>
      <c r="AF1146" s="46"/>
      <c r="AG1146" s="46"/>
      <c r="AH1146" s="46"/>
      <c r="AI1146" s="46"/>
      <c r="AJ1146" s="46"/>
      <c r="AK1146" s="46"/>
      <c r="AL1146" s="46"/>
      <c r="AM1146" s="1"/>
      <c r="AN1146" s="1"/>
      <c r="AO1146" s="1"/>
      <c r="AP1146" s="1"/>
      <c r="AQ1146" s="1"/>
      <c r="AR1146" s="1"/>
      <c r="AS1146" s="1"/>
      <c r="AT1146" s="1"/>
      <c r="AU1146" s="1"/>
      <c r="AV1146" s="1"/>
      <c r="AW1146" s="1"/>
      <c r="AX1146" s="1"/>
      <c r="AY1146" s="1"/>
    </row>
    <row r="1147" ht="16" customHeight="1" spans="1:51" x14ac:dyDescent="0.25">
      <c r="A1147" s="45"/>
      <c r="B1147" s="46" t="s">
        <v>1197</v>
      </c>
      <c r="C1147" s="46" t="s">
        <v>1198</v>
      </c>
      <c r="D1147" s="46" t="s">
        <v>29</v>
      </c>
      <c r="E1147" s="46" t="s">
        <v>30</v>
      </c>
      <c r="F1147" s="46" t="s">
        <v>30</v>
      </c>
      <c r="G1147" s="46" t="s">
        <v>30</v>
      </c>
      <c r="H1147" s="46" t="s">
        <v>30</v>
      </c>
      <c r="I1147" s="46" t="s">
        <v>37</v>
      </c>
      <c r="J1147" s="46" t="s">
        <v>59</v>
      </c>
      <c r="K1147" s="46" t="s">
        <v>59</v>
      </c>
      <c r="L1147" s="46" t="s">
        <v>59</v>
      </c>
      <c r="M1147" s="46" t="s">
        <v>59</v>
      </c>
      <c r="N1147" s="46" t="s">
        <v>36</v>
      </c>
      <c r="O1147" s="46" t="s">
        <v>59</v>
      </c>
      <c r="P1147" s="46" t="s">
        <v>37</v>
      </c>
      <c r="Q1147" s="46" t="s">
        <v>59</v>
      </c>
      <c r="R1147" s="46" t="s">
        <v>59</v>
      </c>
      <c r="S1147" s="46" t="s">
        <v>59</v>
      </c>
      <c r="T1147" s="46" t="s">
        <v>59</v>
      </c>
      <c r="U1147" s="46" t="s">
        <v>59</v>
      </c>
      <c r="V1147" s="46" t="s">
        <v>59</v>
      </c>
      <c r="W1147" s="46" t="s">
        <v>37</v>
      </c>
      <c r="X1147" s="46" t="s">
        <v>30</v>
      </c>
      <c r="Y1147" s="46" t="s">
        <v>30</v>
      </c>
      <c r="Z1147" s="46" t="s">
        <v>30</v>
      </c>
      <c r="AA1147" s="46" t="s">
        <v>30</v>
      </c>
      <c r="AB1147" s="46" t="s">
        <v>30</v>
      </c>
      <c r="AC1147" s="46" t="s">
        <v>30</v>
      </c>
      <c r="AD1147" s="46" t="s">
        <v>37</v>
      </c>
      <c r="AE1147" s="46" t="s">
        <v>30</v>
      </c>
      <c r="AF1147" s="46" t="s">
        <v>30</v>
      </c>
      <c r="AG1147" s="46" t="s">
        <v>30</v>
      </c>
      <c r="AH1147" s="46" t="s">
        <v>43</v>
      </c>
      <c r="AI1147" s="46" t="s">
        <v>30</v>
      </c>
      <c r="AJ1147" s="46">
        <f>=SUM(E1148:AI1148)</f>
      </c>
      <c r="AK1147" s="46">
        <f>=+AY1147</f>
      </c>
      <c r="AL1147" s="46"/>
      <c r="AM1147" s="1"/>
      <c r="AN1147" s="1">
        <f>=COUNTIF(E1147:AI1147,"A")+COUNTIF(E1147:AI1147,"B")+COUNTIF(E1147:AI1147,"C")+COUNTIF(E1147:AI1147,"D")+COUNTIF(E1147:AI1147,"E")+COUNTIF(E1147:AI1147,"F")+COUNTIF(E1147:AI1147,"M")+COUNTIF(E1147:AI1147,"AB")+COUNTIF(E1147:AI1147,"UZ")+COUNTIF(E1147:AI1147,"G")+(COUNTIF(E1147:AI1147,"RT.")/2)+(COUNTIF(E1147:AI1147,"ÇRT.")/2)</f>
      </c>
      <c r="AO1147" s="1">
        <f>=COUNTIF(E1147:AI1147,"O")</f>
      </c>
      <c r="AP1147" s="1">
        <f>=COUNTIF(E1147:AI1147,"RT")+(COUNTIF(E1147:AI1147,"RT.")/2)</f>
      </c>
      <c r="AQ1147" s="1">
        <f>=COUNTIF(E1147:AI1147,"ÇRT")+(COUNTIF(E1147:AI1147,"ÇRT.")/2)</f>
      </c>
      <c r="AR1147" s="1">
        <f>=COUNTIF(E1147:AI1147,"ÇHT")</f>
      </c>
      <c r="AS1147" s="1">
        <f>=COUNTIF(E1147:AI1147,"Ö")+COUNTIF(E1147:AI1147,"T")</f>
      </c>
      <c r="AT1147" s="1">
        <f>=COUNTIF(E1147:AI1147,"Y")</f>
      </c>
      <c r="AU1147" s="1">
        <f>=COUNTIF(E1147:AI1147,"R.")</f>
      </c>
      <c r="AV1147" s="1">
        <f>=COUNTIF(E1147:AI1147,"Ü")</f>
      </c>
      <c r="AW1147" s="1">
        <f>=COUNTIF(E1147:AI1147,"R")</f>
      </c>
      <c r="AX1147" s="1">
        <f>=COUNTIF(E1147:AI1147,"DV")</f>
      </c>
      <c r="AY1147" s="1">
        <f>=+AN1147+AO1147+AP1147+AQ1147+AR1147+AS1147+AT1147+AU1147</f>
      </c>
    </row>
    <row r="1148" ht="16" customHeight="1" spans="1:51" x14ac:dyDescent="0.25">
      <c r="A1148" s="45"/>
      <c r="B1148" s="46"/>
      <c r="C1148" s="46"/>
      <c r="D1148" s="46" t="s">
        <v>33</v>
      </c>
      <c r="E1148" s="46"/>
      <c r="F1148" s="46"/>
      <c r="G1148" s="46"/>
      <c r="H1148" s="46"/>
      <c r="I1148" s="46"/>
      <c r="J1148" s="46"/>
      <c r="K1148" s="46"/>
      <c r="L1148" s="46"/>
      <c r="M1148" s="46"/>
      <c r="N1148" s="46"/>
      <c r="O1148" s="46"/>
      <c r="P1148" s="46"/>
      <c r="Q1148" s="46"/>
      <c r="R1148" s="46"/>
      <c r="S1148" s="46"/>
      <c r="T1148" s="46"/>
      <c r="U1148" s="46"/>
      <c r="V1148" s="46"/>
      <c r="W1148" s="46"/>
      <c r="X1148" s="46"/>
      <c r="Y1148" s="46"/>
      <c r="Z1148" s="46"/>
      <c r="AA1148" s="46"/>
      <c r="AB1148" s="46"/>
      <c r="AC1148" s="46"/>
      <c r="AD1148" s="46"/>
      <c r="AE1148" s="46"/>
      <c r="AF1148" s="46"/>
      <c r="AG1148" s="46"/>
      <c r="AH1148" s="46"/>
      <c r="AI1148" s="46"/>
      <c r="AJ1148" s="46"/>
      <c r="AK1148" s="46"/>
      <c r="AL1148" s="46"/>
      <c r="AM1148" s="1"/>
      <c r="AN1148" s="1"/>
      <c r="AO1148" s="1"/>
      <c r="AP1148" s="1"/>
      <c r="AQ1148" s="1"/>
      <c r="AR1148" s="1"/>
      <c r="AS1148" s="1"/>
      <c r="AT1148" s="1"/>
      <c r="AU1148" s="1"/>
      <c r="AV1148" s="1"/>
      <c r="AW1148" s="1"/>
      <c r="AX1148" s="1"/>
      <c r="AY1148" s="1"/>
    </row>
    <row r="1149" ht="16" customHeight="1" spans="1:51" x14ac:dyDescent="0.25">
      <c r="A1149" s="45"/>
      <c r="B1149" s="46" t="s">
        <v>1199</v>
      </c>
      <c r="C1149" s="46" t="s">
        <v>1200</v>
      </c>
      <c r="D1149" s="46" t="s">
        <v>29</v>
      </c>
      <c r="E1149" s="46" t="s">
        <v>46</v>
      </c>
      <c r="F1149" s="46" t="s">
        <v>46</v>
      </c>
      <c r="G1149" s="46" t="s">
        <v>37</v>
      </c>
      <c r="H1149" s="46" t="s">
        <v>46</v>
      </c>
      <c r="I1149" s="46" t="s">
        <v>46</v>
      </c>
      <c r="J1149" s="46" t="s">
        <v>46</v>
      </c>
      <c r="K1149" s="46" t="s">
        <v>46</v>
      </c>
      <c r="L1149" s="46" t="s">
        <v>46</v>
      </c>
      <c r="M1149" s="46" t="s">
        <v>46</v>
      </c>
      <c r="N1149" s="46" t="s">
        <v>37</v>
      </c>
      <c r="O1149" s="46" t="s">
        <v>46</v>
      </c>
      <c r="P1149" s="46" t="s">
        <v>46</v>
      </c>
      <c r="Q1149" s="46" t="s">
        <v>46</v>
      </c>
      <c r="R1149" s="46" t="s">
        <v>46</v>
      </c>
      <c r="S1149" s="46" t="s">
        <v>46</v>
      </c>
      <c r="T1149" s="46" t="s">
        <v>46</v>
      </c>
      <c r="U1149" s="46" t="s">
        <v>37</v>
      </c>
      <c r="V1149" s="46" t="s">
        <v>46</v>
      </c>
      <c r="W1149" s="46" t="s">
        <v>46</v>
      </c>
      <c r="X1149" s="46" t="s">
        <v>46</v>
      </c>
      <c r="Y1149" s="46" t="s">
        <v>46</v>
      </c>
      <c r="Z1149" s="46" t="s">
        <v>46</v>
      </c>
      <c r="AA1149" s="46" t="s">
        <v>46</v>
      </c>
      <c r="AB1149" s="46" t="s">
        <v>37</v>
      </c>
      <c r="AC1149" s="46" t="s">
        <v>46</v>
      </c>
      <c r="AD1149" s="46" t="s">
        <v>46</v>
      </c>
      <c r="AE1149" s="46" t="s">
        <v>46</v>
      </c>
      <c r="AF1149" s="46" t="s">
        <v>46</v>
      </c>
      <c r="AG1149" s="46" t="s">
        <v>46</v>
      </c>
      <c r="AH1149" s="46" t="s">
        <v>43</v>
      </c>
      <c r="AI1149" s="46" t="s">
        <v>37</v>
      </c>
      <c r="AJ1149" s="46">
        <f>=SUM(E1150:AI1150)</f>
      </c>
      <c r="AK1149" s="46">
        <f>=+AY1149</f>
      </c>
      <c r="AL1149" s="46"/>
      <c r="AM1149" s="1"/>
      <c r="AN1149" s="1">
        <f>=COUNTIF(E1149:AI1149,"A")+COUNTIF(E1149:AI1149,"B")+COUNTIF(E1149:AI1149,"C")+COUNTIF(E1149:AI1149,"D")+COUNTIF(E1149:AI1149,"E")+COUNTIF(E1149:AI1149,"F")+COUNTIF(E1149:AI1149,"M")+COUNTIF(E1149:AI1149,"AB")+COUNTIF(E1149:AI1149,"UZ")+COUNTIF(E1149:AI1149,"G")+(COUNTIF(E1149:AI1149,"RT.")/2)+(COUNTIF(E1149:AI1149,"ÇRT.")/2)</f>
      </c>
      <c r="AO1149" s="1">
        <f>=COUNTIF(E1149:AI1149,"O")</f>
      </c>
      <c r="AP1149" s="1">
        <f>=COUNTIF(E1149:AI1149,"RT")+(COUNTIF(E1149:AI1149,"RT.")/2)</f>
      </c>
      <c r="AQ1149" s="1">
        <f>=COUNTIF(E1149:AI1149,"ÇRT")+(COUNTIF(E1149:AI1149,"ÇRT.")/2)</f>
      </c>
      <c r="AR1149" s="1">
        <f>=COUNTIF(E1149:AI1149,"ÇHT")</f>
      </c>
      <c r="AS1149" s="1">
        <f>=COUNTIF(E1149:AI1149,"Ö")+COUNTIF(E1149:AI1149,"T")</f>
      </c>
      <c r="AT1149" s="1">
        <f>=COUNTIF(E1149:AI1149,"Y")</f>
      </c>
      <c r="AU1149" s="1">
        <f>=COUNTIF(E1149:AI1149,"R.")</f>
      </c>
      <c r="AV1149" s="1">
        <f>=COUNTIF(E1149:AI1149,"Ü")</f>
      </c>
      <c r="AW1149" s="1">
        <f>=COUNTIF(E1149:AI1149,"R")</f>
      </c>
      <c r="AX1149" s="1">
        <f>=COUNTIF(E1149:AI1149,"DV")</f>
      </c>
      <c r="AY1149" s="1">
        <f>=+AN1149+AO1149+AP1149+AQ1149+AR1149+AS1149+AT1149+AU1149</f>
      </c>
    </row>
    <row r="1150" ht="16" customHeight="1" spans="1:51" x14ac:dyDescent="0.25">
      <c r="A1150" s="45"/>
      <c r="B1150" s="46"/>
      <c r="C1150" s="46"/>
      <c r="D1150" s="46" t="s">
        <v>33</v>
      </c>
      <c r="E1150" s="46">
        <v>0</v>
      </c>
      <c r="F1150" s="46"/>
      <c r="G1150" s="46"/>
      <c r="H1150" s="46"/>
      <c r="I1150" s="46"/>
      <c r="J1150" s="46"/>
      <c r="K1150" s="46"/>
      <c r="L1150" s="46"/>
      <c r="M1150" s="46"/>
      <c r="N1150" s="46"/>
      <c r="O1150" s="46"/>
      <c r="P1150" s="46"/>
      <c r="Q1150" s="46"/>
      <c r="R1150" s="46"/>
      <c r="S1150" s="46"/>
      <c r="T1150" s="46"/>
      <c r="U1150" s="46"/>
      <c r="V1150" s="46"/>
      <c r="W1150" s="46"/>
      <c r="X1150" s="46"/>
      <c r="Y1150" s="46"/>
      <c r="Z1150" s="46"/>
      <c r="AA1150" s="46"/>
      <c r="AB1150" s="46"/>
      <c r="AC1150" s="46"/>
      <c r="AD1150" s="46"/>
      <c r="AE1150" s="46"/>
      <c r="AF1150" s="46"/>
      <c r="AG1150" s="46"/>
      <c r="AH1150" s="46"/>
      <c r="AI1150" s="46"/>
      <c r="AJ1150" s="46"/>
      <c r="AK1150" s="46"/>
      <c r="AL1150" s="46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AW1150" s="1"/>
      <c r="AX1150" s="1"/>
      <c r="AY1150" s="1"/>
    </row>
    <row r="1151" ht="16" customHeight="1" spans="1:51" x14ac:dyDescent="0.25">
      <c r="A1151" s="45"/>
      <c r="B1151" s="46" t="s">
        <v>1201</v>
      </c>
      <c r="C1151" s="46" t="s">
        <v>1202</v>
      </c>
      <c r="D1151" s="46" t="s">
        <v>29</v>
      </c>
      <c r="E1151" s="46" t="s">
        <v>59</v>
      </c>
      <c r="F1151" s="46" t="s">
        <v>59</v>
      </c>
      <c r="G1151" s="46" t="s">
        <v>59</v>
      </c>
      <c r="H1151" s="46" t="s">
        <v>59</v>
      </c>
      <c r="I1151" s="46" t="s">
        <v>59</v>
      </c>
      <c r="J1151" s="46" t="s">
        <v>37</v>
      </c>
      <c r="K1151" s="46" t="s">
        <v>59</v>
      </c>
      <c r="L1151" s="46" t="s">
        <v>59</v>
      </c>
      <c r="M1151" s="46" t="s">
        <v>59</v>
      </c>
      <c r="N1151" s="46" t="s">
        <v>59</v>
      </c>
      <c r="O1151" s="46" t="s">
        <v>59</v>
      </c>
      <c r="P1151" s="46" t="s">
        <v>59</v>
      </c>
      <c r="Q1151" s="46" t="s">
        <v>37</v>
      </c>
      <c r="R1151" s="46" t="s">
        <v>59</v>
      </c>
      <c r="S1151" s="46" t="s">
        <v>59</v>
      </c>
      <c r="T1151" s="46" t="s">
        <v>59</v>
      </c>
      <c r="U1151" s="46" t="s">
        <v>59</v>
      </c>
      <c r="V1151" s="46" t="s">
        <v>59</v>
      </c>
      <c r="W1151" s="46" t="s">
        <v>59</v>
      </c>
      <c r="X1151" s="46" t="s">
        <v>37</v>
      </c>
      <c r="Y1151" s="46" t="s">
        <v>30</v>
      </c>
      <c r="Z1151" s="46" t="s">
        <v>30</v>
      </c>
      <c r="AA1151" s="46" t="s">
        <v>30</v>
      </c>
      <c r="AB1151" s="46" t="s">
        <v>30</v>
      </c>
      <c r="AC1151" s="46" t="s">
        <v>30</v>
      </c>
      <c r="AD1151" s="46" t="s">
        <v>30</v>
      </c>
      <c r="AE1151" s="46" t="s">
        <v>37</v>
      </c>
      <c r="AF1151" s="46" t="s">
        <v>30</v>
      </c>
      <c r="AG1151" s="46" t="s">
        <v>30</v>
      </c>
      <c r="AH1151" s="46" t="s">
        <v>43</v>
      </c>
      <c r="AI1151" s="46" t="s">
        <v>30</v>
      </c>
      <c r="AJ1151" s="46">
        <f>=SUM(E1152:AI1152)</f>
      </c>
      <c r="AK1151" s="46">
        <f>=+AY1151</f>
      </c>
      <c r="AL1151" s="46"/>
      <c r="AM1151" s="1"/>
      <c r="AN1151" s="1">
        <f>=COUNTIF(E1151:AI1151,"A")+COUNTIF(E1151:AI1151,"B")+COUNTIF(E1151:AI1151,"C")+COUNTIF(E1151:AI1151,"D")+COUNTIF(E1151:AI1151,"E")+COUNTIF(E1151:AI1151,"F")+COUNTIF(E1151:AI1151,"M")+COUNTIF(E1151:AI1151,"AB")+COUNTIF(E1151:AI1151,"UZ")+COUNTIF(E1151:AI1151,"G")+(COUNTIF(E1151:AI1151,"RT.")/2)+(COUNTIF(E1151:AI1151,"ÇRT.")/2)</f>
      </c>
      <c r="AO1151" s="1">
        <f>=COUNTIF(E1151:AI1151,"O")</f>
      </c>
      <c r="AP1151" s="1">
        <f>=COUNTIF(E1151:AI1151,"RT")+(COUNTIF(E1151:AI1151,"RT.")/2)</f>
      </c>
      <c r="AQ1151" s="1">
        <f>=COUNTIF(E1151:AI1151,"ÇRT")+(COUNTIF(E1151:AI1151,"ÇRT.")/2)</f>
      </c>
      <c r="AR1151" s="1">
        <f>=COUNTIF(E1151:AI1151,"ÇHT")</f>
      </c>
      <c r="AS1151" s="1">
        <f>=COUNTIF(E1151:AI1151,"Ö")+COUNTIF(E1151:AI1151,"T")</f>
      </c>
      <c r="AT1151" s="1">
        <f>=COUNTIF(E1151:AI1151,"Y")</f>
      </c>
      <c r="AU1151" s="1">
        <f>=COUNTIF(E1151:AI1151,"R.")</f>
      </c>
      <c r="AV1151" s="1">
        <f>=COUNTIF(E1151:AI1151,"Ü")</f>
      </c>
      <c r="AW1151" s="1">
        <f>=COUNTIF(E1151:AI1151,"R")</f>
      </c>
      <c r="AX1151" s="1">
        <f>=COUNTIF(E1151:AI1151,"DV")</f>
      </c>
      <c r="AY1151" s="1">
        <f>=+AN1151+AO1151+AP1151+AQ1151+AR1151+AS1151+AT1151+AU1151</f>
      </c>
    </row>
    <row r="1152" ht="16" customHeight="1" spans="1:51" x14ac:dyDescent="0.25">
      <c r="A1152" s="45"/>
      <c r="B1152" s="46"/>
      <c r="C1152" s="46"/>
      <c r="D1152" s="46" t="s">
        <v>33</v>
      </c>
      <c r="E1152" s="46"/>
      <c r="F1152" s="46">
        <v>0</v>
      </c>
      <c r="G1152" s="46"/>
      <c r="H1152" s="46"/>
      <c r="I1152" s="46"/>
      <c r="J1152" s="46"/>
      <c r="K1152" s="46"/>
      <c r="L1152" s="46"/>
      <c r="M1152" s="46"/>
      <c r="N1152" s="46"/>
      <c r="O1152" s="46"/>
      <c r="P1152" s="46"/>
      <c r="Q1152" s="46"/>
      <c r="R1152" s="46"/>
      <c r="S1152" s="46"/>
      <c r="T1152" s="46"/>
      <c r="U1152" s="46"/>
      <c r="V1152" s="46"/>
      <c r="W1152" s="46"/>
      <c r="X1152" s="46"/>
      <c r="Y1152" s="46"/>
      <c r="Z1152" s="46"/>
      <c r="AA1152" s="46"/>
      <c r="AB1152" s="46"/>
      <c r="AC1152" s="46"/>
      <c r="AD1152" s="46"/>
      <c r="AE1152" s="46"/>
      <c r="AF1152" s="46"/>
      <c r="AG1152" s="46"/>
      <c r="AH1152" s="46"/>
      <c r="AI1152" s="46"/>
      <c r="AJ1152" s="46"/>
      <c r="AK1152" s="46"/>
      <c r="AL1152" s="46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  <c r="AW1152" s="1"/>
      <c r="AX1152" s="1"/>
      <c r="AY1152" s="1"/>
    </row>
    <row r="1153" ht="16" customHeight="1" spans="1:51" x14ac:dyDescent="0.25">
      <c r="A1153" s="45"/>
      <c r="B1153" s="46" t="s">
        <v>1203</v>
      </c>
      <c r="C1153" s="46" t="s">
        <v>1204</v>
      </c>
      <c r="D1153" s="46" t="s">
        <v>29</v>
      </c>
      <c r="E1153" s="46" t="s">
        <v>30</v>
      </c>
      <c r="F1153" s="46" t="s">
        <v>30</v>
      </c>
      <c r="G1153" s="46" t="s">
        <v>30</v>
      </c>
      <c r="H1153" s="46" t="s">
        <v>37</v>
      </c>
      <c r="I1153" s="46" t="s">
        <v>59</v>
      </c>
      <c r="J1153" s="46" t="s">
        <v>59</v>
      </c>
      <c r="K1153" s="46" t="s">
        <v>59</v>
      </c>
      <c r="L1153" s="46" t="s">
        <v>59</v>
      </c>
      <c r="M1153" s="46" t="s">
        <v>59</v>
      </c>
      <c r="N1153" s="46" t="s">
        <v>59</v>
      </c>
      <c r="O1153" s="46" t="s">
        <v>37</v>
      </c>
      <c r="P1153" s="46" t="s">
        <v>59</v>
      </c>
      <c r="Q1153" s="46" t="s">
        <v>59</v>
      </c>
      <c r="R1153" s="46" t="s">
        <v>59</v>
      </c>
      <c r="S1153" s="46" t="s">
        <v>59</v>
      </c>
      <c r="T1153" s="46" t="s">
        <v>59</v>
      </c>
      <c r="U1153" s="46" t="s">
        <v>59</v>
      </c>
      <c r="V1153" s="46" t="s">
        <v>37</v>
      </c>
      <c r="W1153" s="46" t="s">
        <v>59</v>
      </c>
      <c r="X1153" s="46" t="s">
        <v>59</v>
      </c>
      <c r="Y1153" s="46" t="s">
        <v>59</v>
      </c>
      <c r="Z1153" s="46" t="s">
        <v>59</v>
      </c>
      <c r="AA1153" s="46" t="s">
        <v>59</v>
      </c>
      <c r="AB1153" s="46" t="s">
        <v>59</v>
      </c>
      <c r="AC1153" s="46" t="s">
        <v>37</v>
      </c>
      <c r="AD1153" s="46" t="s">
        <v>59</v>
      </c>
      <c r="AE1153" s="46" t="s">
        <v>59</v>
      </c>
      <c r="AF1153" s="46" t="s">
        <v>59</v>
      </c>
      <c r="AG1153" s="46" t="s">
        <v>30</v>
      </c>
      <c r="AH1153" s="46" t="s">
        <v>43</v>
      </c>
      <c r="AI1153" s="46" t="s">
        <v>30</v>
      </c>
      <c r="AJ1153" s="46">
        <f>=SUM(E1154:AI1154)</f>
      </c>
      <c r="AK1153" s="46">
        <f>=+AY1153</f>
      </c>
      <c r="AL1153" s="46"/>
      <c r="AM1153" s="1"/>
      <c r="AN1153" s="1">
        <f>=COUNTIF(E1153:AI1153,"A")+COUNTIF(E1153:AI1153,"B")+COUNTIF(E1153:AI1153,"C")+COUNTIF(E1153:AI1153,"D")+COUNTIF(E1153:AI1153,"E")+COUNTIF(E1153:AI1153,"F")+COUNTIF(E1153:AI1153,"M")+COUNTIF(E1153:AI1153,"AB")+COUNTIF(E1153:AI1153,"UZ")+COUNTIF(E1153:AI1153,"G")+(COUNTIF(E1153:AI1153,"RT.")/2)+(COUNTIF(E1153:AI1153,"ÇRT.")/2)</f>
      </c>
      <c r="AO1153" s="1">
        <f>=COUNTIF(E1153:AI1153,"O")</f>
      </c>
      <c r="AP1153" s="1">
        <f>=COUNTIF(E1153:AI1153,"RT")+(COUNTIF(E1153:AI1153,"RT.")/2)</f>
      </c>
      <c r="AQ1153" s="1">
        <f>=COUNTIF(E1153:AI1153,"ÇRT")+(COUNTIF(E1153:AI1153,"ÇRT.")/2)</f>
      </c>
      <c r="AR1153" s="1">
        <f>=COUNTIF(E1153:AI1153,"ÇHT")</f>
      </c>
      <c r="AS1153" s="1">
        <f>=COUNTIF(E1153:AI1153,"Ö")+COUNTIF(E1153:AI1153,"T")</f>
      </c>
      <c r="AT1153" s="1">
        <f>=COUNTIF(E1153:AI1153,"Y")</f>
      </c>
      <c r="AU1153" s="1">
        <f>=COUNTIF(E1153:AI1153,"R.")</f>
      </c>
      <c r="AV1153" s="1">
        <f>=COUNTIF(E1153:AI1153,"Ü")</f>
      </c>
      <c r="AW1153" s="1">
        <f>=COUNTIF(E1153:AI1153,"R")</f>
      </c>
      <c r="AX1153" s="1">
        <f>=COUNTIF(E1153:AI1153,"DV")</f>
      </c>
      <c r="AY1153" s="1">
        <f>=+AN1153+AO1153+AP1153+AQ1153+AR1153+AS1153+AT1153+AU1153</f>
      </c>
    </row>
    <row r="1154" ht="16" customHeight="1" spans="1:51" x14ac:dyDescent="0.25">
      <c r="A1154" s="45"/>
      <c r="B1154" s="46"/>
      <c r="C1154" s="46"/>
      <c r="D1154" s="46" t="s">
        <v>33</v>
      </c>
      <c r="E1154" s="46"/>
      <c r="F1154" s="46"/>
      <c r="G1154" s="46"/>
      <c r="H1154" s="46"/>
      <c r="I1154" s="46"/>
      <c r="J1154" s="46"/>
      <c r="K1154" s="46"/>
      <c r="L1154" s="46"/>
      <c r="M1154" s="46"/>
      <c r="N1154" s="46"/>
      <c r="O1154" s="46"/>
      <c r="P1154" s="46"/>
      <c r="Q1154" s="46"/>
      <c r="R1154" s="46"/>
      <c r="S1154" s="46"/>
      <c r="T1154" s="46"/>
      <c r="U1154" s="46"/>
      <c r="V1154" s="46"/>
      <c r="W1154" s="46"/>
      <c r="X1154" s="46"/>
      <c r="Y1154" s="46"/>
      <c r="Z1154" s="46"/>
      <c r="AA1154" s="46"/>
      <c r="AB1154" s="46"/>
      <c r="AC1154" s="46"/>
      <c r="AD1154" s="46"/>
      <c r="AE1154" s="46"/>
      <c r="AF1154" s="46"/>
      <c r="AG1154" s="46"/>
      <c r="AH1154" s="46"/>
      <c r="AI1154" s="46"/>
      <c r="AJ1154" s="46"/>
      <c r="AK1154" s="46"/>
      <c r="AL1154" s="46"/>
      <c r="AM1154" s="1"/>
      <c r="AN1154" s="1"/>
      <c r="AO1154" s="1"/>
      <c r="AP1154" s="1"/>
      <c r="AQ1154" s="1"/>
      <c r="AR1154" s="1"/>
      <c r="AS1154" s="1"/>
      <c r="AT1154" s="1"/>
      <c r="AU1154" s="1"/>
      <c r="AV1154" s="1"/>
      <c r="AW1154" s="1"/>
      <c r="AX1154" s="1"/>
      <c r="AY1154" s="1"/>
    </row>
    <row r="1155" ht="16" customHeight="1" spans="1:51" x14ac:dyDescent="0.25">
      <c r="A1155" s="45"/>
      <c r="B1155" s="46" t="s">
        <v>1205</v>
      </c>
      <c r="C1155" s="46" t="s">
        <v>1206</v>
      </c>
      <c r="D1155" s="46" t="s">
        <v>29</v>
      </c>
      <c r="E1155" s="46" t="s">
        <v>36</v>
      </c>
      <c r="F1155" s="46" t="s">
        <v>36</v>
      </c>
      <c r="G1155" s="46" t="s">
        <v>37</v>
      </c>
      <c r="H1155" s="46" t="s">
        <v>36</v>
      </c>
      <c r="I1155" s="46" t="s">
        <v>36</v>
      </c>
      <c r="J1155" s="46" t="s">
        <v>36</v>
      </c>
      <c r="K1155" s="46" t="s">
        <v>36</v>
      </c>
      <c r="L1155" s="46" t="s">
        <v>36</v>
      </c>
      <c r="M1155" s="46" t="s">
        <v>36</v>
      </c>
      <c r="N1155" s="46" t="s">
        <v>37</v>
      </c>
      <c r="O1155" s="46" t="s">
        <v>36</v>
      </c>
      <c r="P1155" s="46" t="s">
        <v>36</v>
      </c>
      <c r="Q1155" s="46" t="s">
        <v>36</v>
      </c>
      <c r="R1155" s="46" t="s">
        <v>36</v>
      </c>
      <c r="S1155" s="46" t="s">
        <v>36</v>
      </c>
      <c r="T1155" s="46" t="s">
        <v>36</v>
      </c>
      <c r="U1155" s="46" t="s">
        <v>37</v>
      </c>
      <c r="V1155" s="46" t="s">
        <v>36</v>
      </c>
      <c r="W1155" s="46" t="s">
        <v>36</v>
      </c>
      <c r="X1155" s="46" t="s">
        <v>36</v>
      </c>
      <c r="Y1155" s="46" t="s">
        <v>36</v>
      </c>
      <c r="Z1155" s="46" t="s">
        <v>153</v>
      </c>
      <c r="AA1155" s="46" t="s">
        <v>153</v>
      </c>
      <c r="AB1155" s="46" t="s">
        <v>37</v>
      </c>
      <c r="AC1155" s="46" t="s">
        <v>31</v>
      </c>
      <c r="AD1155" s="46" t="s">
        <v>31</v>
      </c>
      <c r="AE1155" s="46" t="s">
        <v>32</v>
      </c>
      <c r="AF1155" s="46" t="s">
        <v>32</v>
      </c>
      <c r="AG1155" s="46" t="s">
        <v>32</v>
      </c>
      <c r="AH1155" s="46" t="s">
        <v>32</v>
      </c>
      <c r="AI1155" s="46" t="s">
        <v>32</v>
      </c>
      <c r="AJ1155" s="46">
        <f>=SUM(E1156:AI1156)</f>
      </c>
      <c r="AK1155" s="46">
        <f>=+AY1155</f>
      </c>
      <c r="AL1155" s="46"/>
      <c r="AM1155" s="1"/>
      <c r="AN1155" s="1">
        <f>=COUNTIF(E1155:AI1155,"A")+COUNTIF(E1155:AI1155,"B")+COUNTIF(E1155:AI1155,"C")+COUNTIF(E1155:AI1155,"D")+COUNTIF(E1155:AI1155,"E")+COUNTIF(E1155:AI1155,"F")+COUNTIF(E1155:AI1155,"M")+COUNTIF(E1155:AI1155,"AB")+COUNTIF(E1155:AI1155,"UZ")+COUNTIF(E1155:AI1155,"G")+(COUNTIF(E1155:AI1155,"RT.")/2)+(COUNTIF(E1155:AI1155,"ÇRT.")/2)</f>
      </c>
      <c r="AO1155" s="1">
        <f>=COUNTIF(E1155:AI1155,"O")</f>
      </c>
      <c r="AP1155" s="1">
        <f>=COUNTIF(E1155:AI1155,"RT")+(COUNTIF(E1155:AI1155,"RT.")/2)</f>
      </c>
      <c r="AQ1155" s="1">
        <f>=COUNTIF(E1155:AI1155,"ÇRT")+(COUNTIF(E1155:AI1155,"ÇRT.")/2)</f>
      </c>
      <c r="AR1155" s="1">
        <f>=COUNTIF(E1155:AI1155,"ÇHT")</f>
      </c>
      <c r="AS1155" s="1">
        <f>=COUNTIF(E1155:AI1155,"Ö")+COUNTIF(E1155:AI1155,"T")</f>
      </c>
      <c r="AT1155" s="1">
        <f>=COUNTIF(E1155:AI1155,"Y")</f>
      </c>
      <c r="AU1155" s="1">
        <f>=COUNTIF(E1155:AI1155,"R.")</f>
      </c>
      <c r="AV1155" s="1">
        <f>=COUNTIF(E1155:AI1155,"Ü")</f>
      </c>
      <c r="AW1155" s="1">
        <f>=COUNTIF(E1155:AI1155,"R")</f>
      </c>
      <c r="AX1155" s="1">
        <f>=COUNTIF(E1155:AI1155,"DV")</f>
      </c>
      <c r="AY1155" s="1">
        <f>=+AN1155+AO1155+AP1155+AQ1155+AR1155+AS1155+AT1155+AU1155</f>
      </c>
    </row>
    <row r="1156" ht="16" customHeight="1" spans="1:51" x14ac:dyDescent="0.25">
      <c r="A1156" s="45"/>
      <c r="B1156" s="46"/>
      <c r="C1156" s="46"/>
      <c r="D1156" s="46" t="s">
        <v>33</v>
      </c>
      <c r="E1156" s="46"/>
      <c r="F1156" s="46"/>
      <c r="G1156" s="46"/>
      <c r="H1156" s="46"/>
      <c r="I1156" s="46"/>
      <c r="J1156" s="46"/>
      <c r="K1156" s="46"/>
      <c r="L1156" s="46"/>
      <c r="M1156" s="46"/>
      <c r="N1156" s="46"/>
      <c r="O1156" s="46"/>
      <c r="P1156" s="46"/>
      <c r="Q1156" s="46"/>
      <c r="R1156" s="46"/>
      <c r="S1156" s="46"/>
      <c r="T1156" s="46"/>
      <c r="U1156" s="46"/>
      <c r="V1156" s="46"/>
      <c r="W1156" s="46"/>
      <c r="X1156" s="46"/>
      <c r="Y1156" s="46"/>
      <c r="Z1156" s="46"/>
      <c r="AA1156" s="46"/>
      <c r="AB1156" s="46"/>
      <c r="AC1156" s="46"/>
      <c r="AD1156" s="46"/>
      <c r="AE1156" s="46"/>
      <c r="AF1156" s="46"/>
      <c r="AG1156" s="46"/>
      <c r="AH1156" s="46"/>
      <c r="AI1156" s="46"/>
      <c r="AJ1156" s="46"/>
      <c r="AK1156" s="46"/>
      <c r="AL1156" s="46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  <c r="AW1156" s="1"/>
      <c r="AX1156" s="1"/>
      <c r="AY1156" s="1"/>
    </row>
    <row r="1157" ht="16" customHeight="1" spans="1:51" x14ac:dyDescent="0.25">
      <c r="A1157" s="45"/>
      <c r="B1157" s="46" t="s">
        <v>1207</v>
      </c>
      <c r="C1157" s="46" t="s">
        <v>1208</v>
      </c>
      <c r="D1157" s="46" t="s">
        <v>29</v>
      </c>
      <c r="E1157" s="46" t="s">
        <v>59</v>
      </c>
      <c r="F1157" s="46" t="s">
        <v>59</v>
      </c>
      <c r="G1157" s="46" t="s">
        <v>59</v>
      </c>
      <c r="H1157" s="46" t="s">
        <v>37</v>
      </c>
      <c r="I1157" s="46" t="s">
        <v>30</v>
      </c>
      <c r="J1157" s="46" t="s">
        <v>30</v>
      </c>
      <c r="K1157" s="46" t="s">
        <v>30</v>
      </c>
      <c r="L1157" s="46" t="s">
        <v>30</v>
      </c>
      <c r="M1157" s="46" t="s">
        <v>30</v>
      </c>
      <c r="N1157" s="46" t="s">
        <v>30</v>
      </c>
      <c r="O1157" s="46" t="s">
        <v>37</v>
      </c>
      <c r="P1157" s="46" t="s">
        <v>30</v>
      </c>
      <c r="Q1157" s="46" t="s">
        <v>30</v>
      </c>
      <c r="R1157" s="46" t="s">
        <v>30</v>
      </c>
      <c r="S1157" s="46" t="s">
        <v>30</v>
      </c>
      <c r="T1157" s="46" t="s">
        <v>30</v>
      </c>
      <c r="U1157" s="46" t="s">
        <v>30</v>
      </c>
      <c r="V1157" s="46" t="s">
        <v>37</v>
      </c>
      <c r="W1157" s="46" t="s">
        <v>36</v>
      </c>
      <c r="X1157" s="46" t="s">
        <v>36</v>
      </c>
      <c r="Y1157" s="46" t="s">
        <v>36</v>
      </c>
      <c r="Z1157" s="46" t="s">
        <v>36</v>
      </c>
      <c r="AA1157" s="46" t="s">
        <v>36</v>
      </c>
      <c r="AB1157" s="46" t="s">
        <v>36</v>
      </c>
      <c r="AC1157" s="46" t="s">
        <v>37</v>
      </c>
      <c r="AD1157" s="46" t="s">
        <v>36</v>
      </c>
      <c r="AE1157" s="46" t="s">
        <v>36</v>
      </c>
      <c r="AF1157" s="46" t="s">
        <v>36</v>
      </c>
      <c r="AG1157" s="46" t="s">
        <v>36</v>
      </c>
      <c r="AH1157" s="46" t="s">
        <v>43</v>
      </c>
      <c r="AI1157" s="46" t="s">
        <v>36</v>
      </c>
      <c r="AJ1157" s="46">
        <f>=SUM(E1158:AI1158)</f>
      </c>
      <c r="AK1157" s="46">
        <f>=+AY1157</f>
      </c>
      <c r="AL1157" s="46"/>
      <c r="AM1157" s="1"/>
      <c r="AN1157" s="1">
        <f>=COUNTIF(E1157:AI1157,"A")+COUNTIF(E1157:AI1157,"B")+COUNTIF(E1157:AI1157,"C")+COUNTIF(E1157:AI1157,"D")+COUNTIF(E1157:AI1157,"E")+COUNTIF(E1157:AI1157,"F")+COUNTIF(E1157:AI1157,"M")+COUNTIF(E1157:AI1157,"AB")+COUNTIF(E1157:AI1157,"UZ")+COUNTIF(E1157:AI1157,"G")+(COUNTIF(E1157:AI1157,"RT.")/2)+(COUNTIF(E1157:AI1157,"ÇRT.")/2)</f>
      </c>
      <c r="AO1157" s="1">
        <f>=COUNTIF(E1157:AI1157,"O")</f>
      </c>
      <c r="AP1157" s="1">
        <f>=COUNTIF(E1157:AI1157,"RT")+(COUNTIF(E1157:AI1157,"RT.")/2)</f>
      </c>
      <c r="AQ1157" s="1">
        <f>=COUNTIF(E1157:AI1157,"ÇRT")+(COUNTIF(E1157:AI1157,"ÇRT.")/2)</f>
      </c>
      <c r="AR1157" s="1">
        <f>=COUNTIF(E1157:AI1157,"ÇHT")</f>
      </c>
      <c r="AS1157" s="1">
        <f>=COUNTIF(E1157:AI1157,"Ö")+COUNTIF(E1157:AI1157,"T")</f>
      </c>
      <c r="AT1157" s="1">
        <f>=COUNTIF(E1157:AI1157,"Y")</f>
      </c>
      <c r="AU1157" s="1">
        <f>=COUNTIF(E1157:AI1157,"R.")</f>
      </c>
      <c r="AV1157" s="1">
        <f>=COUNTIF(E1157:AI1157,"Ü")</f>
      </c>
      <c r="AW1157" s="1">
        <f>=COUNTIF(E1157:AI1157,"R")</f>
      </c>
      <c r="AX1157" s="1">
        <f>=COUNTIF(E1157:AI1157,"DV")</f>
      </c>
      <c r="AY1157" s="1">
        <f>=+AN1157+AO1157+AP1157+AQ1157+AR1157+AS1157+AT1157+AU1157</f>
      </c>
    </row>
    <row r="1158" ht="16" customHeight="1" spans="1:51" x14ac:dyDescent="0.25">
      <c r="A1158" s="45"/>
      <c r="B1158" s="46"/>
      <c r="C1158" s="46"/>
      <c r="D1158" s="46" t="s">
        <v>33</v>
      </c>
      <c r="E1158" s="46"/>
      <c r="F1158" s="46"/>
      <c r="G1158" s="46"/>
      <c r="H1158" s="46"/>
      <c r="I1158" s="46"/>
      <c r="J1158" s="46"/>
      <c r="K1158" s="46"/>
      <c r="L1158" s="46"/>
      <c r="M1158" s="46"/>
      <c r="N1158" s="46"/>
      <c r="O1158" s="46"/>
      <c r="P1158" s="46"/>
      <c r="Q1158" s="46"/>
      <c r="R1158" s="46"/>
      <c r="S1158" s="46"/>
      <c r="T1158" s="46"/>
      <c r="U1158" s="46"/>
      <c r="V1158" s="46"/>
      <c r="W1158" s="46"/>
      <c r="X1158" s="46"/>
      <c r="Y1158" s="46"/>
      <c r="Z1158" s="46"/>
      <c r="AA1158" s="46"/>
      <c r="AB1158" s="46"/>
      <c r="AC1158" s="46"/>
      <c r="AD1158" s="46"/>
      <c r="AE1158" s="46"/>
      <c r="AF1158" s="46"/>
      <c r="AG1158" s="46"/>
      <c r="AH1158" s="46"/>
      <c r="AI1158" s="46"/>
      <c r="AJ1158" s="46"/>
      <c r="AK1158" s="46"/>
      <c r="AL1158" s="46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/>
      <c r="AW1158" s="1"/>
      <c r="AX1158" s="1"/>
      <c r="AY1158" s="1"/>
    </row>
    <row r="1159" ht="16" customHeight="1" spans="1:51" x14ac:dyDescent="0.25">
      <c r="A1159" s="45"/>
      <c r="B1159" s="46" t="s">
        <v>1209</v>
      </c>
      <c r="C1159" s="46" t="s">
        <v>1210</v>
      </c>
      <c r="D1159" s="46" t="s">
        <v>29</v>
      </c>
      <c r="E1159" s="46" t="s">
        <v>36</v>
      </c>
      <c r="F1159" s="46" t="s">
        <v>37</v>
      </c>
      <c r="G1159" s="46" t="s">
        <v>36</v>
      </c>
      <c r="H1159" s="46" t="s">
        <v>36</v>
      </c>
      <c r="I1159" s="46" t="s">
        <v>36</v>
      </c>
      <c r="J1159" s="46" t="s">
        <v>36</v>
      </c>
      <c r="K1159" s="46" t="s">
        <v>36</v>
      </c>
      <c r="L1159" s="46" t="s">
        <v>36</v>
      </c>
      <c r="M1159" s="46" t="s">
        <v>37</v>
      </c>
      <c r="N1159" s="46" t="s">
        <v>36</v>
      </c>
      <c r="O1159" s="46" t="s">
        <v>36</v>
      </c>
      <c r="P1159" s="46" t="s">
        <v>36</v>
      </c>
      <c r="Q1159" s="46" t="s">
        <v>36</v>
      </c>
      <c r="R1159" s="46" t="s">
        <v>36</v>
      </c>
      <c r="S1159" s="46" t="s">
        <v>36</v>
      </c>
      <c r="T1159" s="46" t="s">
        <v>37</v>
      </c>
      <c r="U1159" s="46" t="s">
        <v>36</v>
      </c>
      <c r="V1159" s="46" t="s">
        <v>36</v>
      </c>
      <c r="W1159" s="46" t="s">
        <v>36</v>
      </c>
      <c r="X1159" s="46" t="s">
        <v>36</v>
      </c>
      <c r="Y1159" s="46" t="s">
        <v>36</v>
      </c>
      <c r="Z1159" s="46" t="s">
        <v>36</v>
      </c>
      <c r="AA1159" s="46" t="s">
        <v>37</v>
      </c>
      <c r="AB1159" s="46" t="s">
        <v>36</v>
      </c>
      <c r="AC1159" s="46" t="s">
        <v>36</v>
      </c>
      <c r="AD1159" s="46" t="s">
        <v>36</v>
      </c>
      <c r="AE1159" s="46" t="s">
        <v>36</v>
      </c>
      <c r="AF1159" s="46" t="s">
        <v>36</v>
      </c>
      <c r="AG1159" s="46" t="s">
        <v>36</v>
      </c>
      <c r="AH1159" s="46" t="s">
        <v>37</v>
      </c>
      <c r="AI1159" s="46" t="s">
        <v>36</v>
      </c>
      <c r="AJ1159" s="46">
        <f>=SUM(E1160:AI1160)</f>
      </c>
      <c r="AK1159" s="46">
        <f>=+AY1159</f>
      </c>
      <c r="AL1159" s="46"/>
      <c r="AM1159" s="1"/>
      <c r="AN1159" s="1">
        <f>=COUNTIF(E1159:AI1159,"A")+COUNTIF(E1159:AI1159,"B")+COUNTIF(E1159:AI1159,"C")+COUNTIF(E1159:AI1159,"D")+COUNTIF(E1159:AI1159,"E")+COUNTIF(E1159:AI1159,"F")+COUNTIF(E1159:AI1159,"M")+COUNTIF(E1159:AI1159,"AB")+COUNTIF(E1159:AI1159,"UZ")+COUNTIF(E1159:AI1159,"G")+(COUNTIF(E1159:AI1159,"RT.")/2)+(COUNTIF(E1159:AI1159,"ÇRT.")/2)</f>
      </c>
      <c r="AO1159" s="1">
        <f>=COUNTIF(E1159:AI1159,"O")</f>
      </c>
      <c r="AP1159" s="1">
        <f>=COUNTIF(E1159:AI1159,"RT")+(COUNTIF(E1159:AI1159,"RT.")/2)</f>
      </c>
      <c r="AQ1159" s="1">
        <f>=COUNTIF(E1159:AI1159,"ÇRT")+(COUNTIF(E1159:AI1159,"ÇRT.")/2)</f>
      </c>
      <c r="AR1159" s="1">
        <f>=COUNTIF(E1159:AI1159,"ÇHT")</f>
      </c>
      <c r="AS1159" s="1">
        <f>=COUNTIF(E1159:AI1159,"Ö")+COUNTIF(E1159:AI1159,"T")</f>
      </c>
      <c r="AT1159" s="1">
        <f>=COUNTIF(E1159:AI1159,"Y")</f>
      </c>
      <c r="AU1159" s="1">
        <f>=COUNTIF(E1159:AI1159,"R.")</f>
      </c>
      <c r="AV1159" s="1">
        <f>=COUNTIF(E1159:AI1159,"Ü")</f>
      </c>
      <c r="AW1159" s="1">
        <f>=COUNTIF(E1159:AI1159,"R")</f>
      </c>
      <c r="AX1159" s="1">
        <f>=COUNTIF(E1159:AI1159,"DV")</f>
      </c>
      <c r="AY1159" s="1">
        <f>=+AN1159+AO1159+AP1159+AQ1159+AR1159+AS1159+AT1159+AU1159</f>
      </c>
    </row>
    <row r="1160" ht="16" customHeight="1" spans="1:51" x14ac:dyDescent="0.25">
      <c r="A1160" s="45"/>
      <c r="B1160" s="46"/>
      <c r="C1160" s="46"/>
      <c r="D1160" s="46" t="s">
        <v>33</v>
      </c>
      <c r="E1160" s="46"/>
      <c r="F1160" s="46"/>
      <c r="G1160" s="46"/>
      <c r="H1160" s="46"/>
      <c r="I1160" s="46"/>
      <c r="J1160" s="46"/>
      <c r="K1160" s="46"/>
      <c r="L1160" s="46"/>
      <c r="M1160" s="46"/>
      <c r="N1160" s="46"/>
      <c r="O1160" s="46"/>
      <c r="P1160" s="46"/>
      <c r="Q1160" s="46"/>
      <c r="R1160" s="46"/>
      <c r="S1160" s="46"/>
      <c r="T1160" s="46"/>
      <c r="U1160" s="46"/>
      <c r="V1160" s="46"/>
      <c r="W1160" s="46">
        <v>0</v>
      </c>
      <c r="X1160" s="46"/>
      <c r="Y1160" s="46"/>
      <c r="Z1160" s="46"/>
      <c r="AA1160" s="46"/>
      <c r="AB1160" s="46"/>
      <c r="AC1160" s="46"/>
      <c r="AD1160" s="46"/>
      <c r="AE1160" s="46"/>
      <c r="AF1160" s="46"/>
      <c r="AG1160" s="46"/>
      <c r="AH1160" s="46"/>
      <c r="AI1160" s="46"/>
      <c r="AJ1160" s="46"/>
      <c r="AK1160" s="46"/>
      <c r="AL1160" s="46"/>
      <c r="AM1160" s="1"/>
      <c r="AN1160" s="1"/>
      <c r="AO1160" s="1"/>
      <c r="AP1160" s="1"/>
      <c r="AQ1160" s="1"/>
      <c r="AR1160" s="1"/>
      <c r="AS1160" s="1"/>
      <c r="AT1160" s="1"/>
      <c r="AU1160" s="1"/>
      <c r="AV1160" s="1"/>
      <c r="AW1160" s="1"/>
      <c r="AX1160" s="1"/>
      <c r="AY1160" s="1"/>
    </row>
    <row r="1161" ht="16" customHeight="1" spans="1:51" x14ac:dyDescent="0.25">
      <c r="A1161" s="45"/>
      <c r="B1161" s="46" t="s">
        <v>1211</v>
      </c>
      <c r="C1161" s="46" t="s">
        <v>1212</v>
      </c>
      <c r="D1161" s="46" t="s">
        <v>29</v>
      </c>
      <c r="E1161" s="46" t="s">
        <v>36</v>
      </c>
      <c r="F1161" s="46" t="s">
        <v>37</v>
      </c>
      <c r="G1161" s="46" t="s">
        <v>36</v>
      </c>
      <c r="H1161" s="46" t="s">
        <v>36</v>
      </c>
      <c r="I1161" s="46" t="s">
        <v>36</v>
      </c>
      <c r="J1161" s="46" t="s">
        <v>36</v>
      </c>
      <c r="K1161" s="46" t="s">
        <v>36</v>
      </c>
      <c r="L1161" s="46" t="s">
        <v>36</v>
      </c>
      <c r="M1161" s="46" t="s">
        <v>37</v>
      </c>
      <c r="N1161" s="46" t="s">
        <v>36</v>
      </c>
      <c r="O1161" s="46" t="s">
        <v>36</v>
      </c>
      <c r="P1161" s="46" t="s">
        <v>36</v>
      </c>
      <c r="Q1161" s="46" t="s">
        <v>36</v>
      </c>
      <c r="R1161" s="46" t="s">
        <v>36</v>
      </c>
      <c r="S1161" s="46" t="s">
        <v>36</v>
      </c>
      <c r="T1161" s="46" t="s">
        <v>37</v>
      </c>
      <c r="U1161" s="46" t="s">
        <v>36</v>
      </c>
      <c r="V1161" s="46" t="s">
        <v>36</v>
      </c>
      <c r="W1161" s="46" t="s">
        <v>36</v>
      </c>
      <c r="X1161" s="46" t="s">
        <v>36</v>
      </c>
      <c r="Y1161" s="46" t="s">
        <v>36</v>
      </c>
      <c r="Z1161" s="46" t="s">
        <v>36</v>
      </c>
      <c r="AA1161" s="46" t="s">
        <v>37</v>
      </c>
      <c r="AB1161" s="46" t="s">
        <v>36</v>
      </c>
      <c r="AC1161" s="46" t="s">
        <v>36</v>
      </c>
      <c r="AD1161" s="46" t="s">
        <v>36</v>
      </c>
      <c r="AE1161" s="46" t="s">
        <v>36</v>
      </c>
      <c r="AF1161" s="46" t="s">
        <v>36</v>
      </c>
      <c r="AG1161" s="46" t="s">
        <v>36</v>
      </c>
      <c r="AH1161" s="46" t="s">
        <v>37</v>
      </c>
      <c r="AI1161" s="46" t="s">
        <v>36</v>
      </c>
      <c r="AJ1161" s="46">
        <f>=SUM(E1162:AI1162)</f>
      </c>
      <c r="AK1161" s="46">
        <f>=+AY1161</f>
      </c>
      <c r="AL1161" s="46"/>
      <c r="AM1161" s="1"/>
      <c r="AN1161" s="1">
        <f>=COUNTIF(E1161:AI1161,"A")+COUNTIF(E1161:AI1161,"B")+COUNTIF(E1161:AI1161,"C")+COUNTIF(E1161:AI1161,"D")+COUNTIF(E1161:AI1161,"E")+COUNTIF(E1161:AI1161,"F")+COUNTIF(E1161:AI1161,"M")+COUNTIF(E1161:AI1161,"AB")+COUNTIF(E1161:AI1161,"UZ")+COUNTIF(E1161:AI1161,"G")+(COUNTIF(E1161:AI1161,"RT.")/2)+(COUNTIF(E1161:AI1161,"ÇRT.")/2)</f>
      </c>
      <c r="AO1161" s="1">
        <f>=COUNTIF(E1161:AI1161,"O")</f>
      </c>
      <c r="AP1161" s="1">
        <f>=COUNTIF(E1161:AI1161,"RT")+(COUNTIF(E1161:AI1161,"RT.")/2)</f>
      </c>
      <c r="AQ1161" s="1">
        <f>=COUNTIF(E1161:AI1161,"ÇRT")+(COUNTIF(E1161:AI1161,"ÇRT.")/2)</f>
      </c>
      <c r="AR1161" s="1">
        <f>=COUNTIF(E1161:AI1161,"ÇHT")</f>
      </c>
      <c r="AS1161" s="1">
        <f>=COUNTIF(E1161:AI1161,"Ö")+COUNTIF(E1161:AI1161,"T")</f>
      </c>
      <c r="AT1161" s="1">
        <f>=COUNTIF(E1161:AI1161,"Y")</f>
      </c>
      <c r="AU1161" s="1">
        <f>=COUNTIF(E1161:AI1161,"R.")</f>
      </c>
      <c r="AV1161" s="1">
        <f>=COUNTIF(E1161:AI1161,"Ü")</f>
      </c>
      <c r="AW1161" s="1">
        <f>=COUNTIF(E1161:AI1161,"R")</f>
      </c>
      <c r="AX1161" s="1">
        <f>=COUNTIF(E1161:AI1161,"DV")</f>
      </c>
      <c r="AY1161" s="1">
        <f>=+AN1161+AO1161+AP1161+AQ1161+AR1161+AS1161+AT1161+AU1161</f>
      </c>
    </row>
    <row r="1162" ht="16" customHeight="1" spans="1:51" x14ac:dyDescent="0.25">
      <c r="A1162" s="45"/>
      <c r="B1162" s="46"/>
      <c r="C1162" s="46"/>
      <c r="D1162" s="46" t="s">
        <v>33</v>
      </c>
      <c r="E1162" s="46"/>
      <c r="F1162" s="46"/>
      <c r="G1162" s="46"/>
      <c r="H1162" s="46"/>
      <c r="I1162" s="46"/>
      <c r="J1162" s="46"/>
      <c r="K1162" s="46"/>
      <c r="L1162" s="46"/>
      <c r="M1162" s="46"/>
      <c r="N1162" s="46"/>
      <c r="O1162" s="46"/>
      <c r="P1162" s="46"/>
      <c r="Q1162" s="46"/>
      <c r="R1162" s="46"/>
      <c r="S1162" s="46"/>
      <c r="T1162" s="46"/>
      <c r="U1162" s="46"/>
      <c r="V1162" s="46"/>
      <c r="W1162" s="46"/>
      <c r="X1162" s="46"/>
      <c r="Y1162" s="46"/>
      <c r="Z1162" s="46"/>
      <c r="AA1162" s="46"/>
      <c r="AB1162" s="46"/>
      <c r="AC1162" s="46"/>
      <c r="AD1162" s="46"/>
      <c r="AE1162" s="46"/>
      <c r="AF1162" s="46"/>
      <c r="AG1162" s="46"/>
      <c r="AH1162" s="46">
        <v>0</v>
      </c>
      <c r="AI1162" s="46"/>
      <c r="AJ1162" s="46"/>
      <c r="AK1162" s="46"/>
      <c r="AL1162" s="46"/>
      <c r="AM1162" s="1"/>
      <c r="AN1162" s="1"/>
      <c r="AO1162" s="1"/>
      <c r="AP1162" s="1"/>
      <c r="AQ1162" s="1"/>
      <c r="AR1162" s="1"/>
      <c r="AS1162" s="1"/>
      <c r="AT1162" s="1"/>
      <c r="AU1162" s="1"/>
      <c r="AV1162" s="1"/>
      <c r="AW1162" s="1"/>
      <c r="AX1162" s="1"/>
      <c r="AY1162" s="1"/>
    </row>
    <row r="1163" ht="16" customHeight="1" spans="1:51" x14ac:dyDescent="0.25">
      <c r="A1163" s="45"/>
      <c r="B1163" s="46" t="s">
        <v>1213</v>
      </c>
      <c r="C1163" s="46" t="s">
        <v>1214</v>
      </c>
      <c r="D1163" s="46" t="s">
        <v>29</v>
      </c>
      <c r="E1163" s="46" t="s">
        <v>37</v>
      </c>
      <c r="F1163" s="46" t="s">
        <v>36</v>
      </c>
      <c r="G1163" s="46" t="s">
        <v>36</v>
      </c>
      <c r="H1163" s="46" t="s">
        <v>36</v>
      </c>
      <c r="I1163" s="46" t="s">
        <v>36</v>
      </c>
      <c r="J1163" s="46" t="s">
        <v>36</v>
      </c>
      <c r="K1163" s="46" t="s">
        <v>36</v>
      </c>
      <c r="L1163" s="46" t="s">
        <v>37</v>
      </c>
      <c r="M1163" s="46" t="s">
        <v>36</v>
      </c>
      <c r="N1163" s="46" t="s">
        <v>36</v>
      </c>
      <c r="O1163" s="46" t="s">
        <v>36</v>
      </c>
      <c r="P1163" s="46" t="s">
        <v>36</v>
      </c>
      <c r="Q1163" s="46" t="s">
        <v>36</v>
      </c>
      <c r="R1163" s="46" t="s">
        <v>36</v>
      </c>
      <c r="S1163" s="46" t="s">
        <v>37</v>
      </c>
      <c r="T1163" s="46" t="s">
        <v>36</v>
      </c>
      <c r="U1163" s="46" t="s">
        <v>36</v>
      </c>
      <c r="V1163" s="46" t="s">
        <v>36</v>
      </c>
      <c r="W1163" s="46" t="s">
        <v>36</v>
      </c>
      <c r="X1163" s="46" t="s">
        <v>36</v>
      </c>
      <c r="Y1163" s="46" t="s">
        <v>36</v>
      </c>
      <c r="Z1163" s="46" t="s">
        <v>37</v>
      </c>
      <c r="AA1163" s="46" t="s">
        <v>36</v>
      </c>
      <c r="AB1163" s="46" t="s">
        <v>36</v>
      </c>
      <c r="AC1163" s="46" t="s">
        <v>36</v>
      </c>
      <c r="AD1163" s="46" t="s">
        <v>36</v>
      </c>
      <c r="AE1163" s="46" t="s">
        <v>36</v>
      </c>
      <c r="AF1163" s="46" t="s">
        <v>36</v>
      </c>
      <c r="AG1163" s="46" t="s">
        <v>37</v>
      </c>
      <c r="AH1163" s="46" t="s">
        <v>43</v>
      </c>
      <c r="AI1163" s="46" t="s">
        <v>36</v>
      </c>
      <c r="AJ1163" s="46">
        <f>=SUM(E1164:AI1164)</f>
      </c>
      <c r="AK1163" s="46">
        <f>=+AY1163</f>
      </c>
      <c r="AL1163" s="46"/>
      <c r="AM1163" s="1"/>
      <c r="AN1163" s="1">
        <f>=COUNTIF(E1163:AI1163,"A")+COUNTIF(E1163:AI1163,"B")+COUNTIF(E1163:AI1163,"C")+COUNTIF(E1163:AI1163,"D")+COUNTIF(E1163:AI1163,"E")+COUNTIF(E1163:AI1163,"F")+COUNTIF(E1163:AI1163,"M")+COUNTIF(E1163:AI1163,"AB")+COUNTIF(E1163:AI1163,"UZ")+COUNTIF(E1163:AI1163,"G")+(COUNTIF(E1163:AI1163,"RT.")/2)+(COUNTIF(E1163:AI1163,"ÇRT.")/2)</f>
      </c>
      <c r="AO1163" s="1">
        <f>=COUNTIF(E1163:AI1163,"O")</f>
      </c>
      <c r="AP1163" s="1">
        <f>=COUNTIF(E1163:AI1163,"RT")+(COUNTIF(E1163:AI1163,"RT.")/2)</f>
      </c>
      <c r="AQ1163" s="1">
        <f>=COUNTIF(E1163:AI1163,"ÇRT")+(COUNTIF(E1163:AI1163,"ÇRT.")/2)</f>
      </c>
      <c r="AR1163" s="1">
        <f>=COUNTIF(E1163:AI1163,"ÇHT")</f>
      </c>
      <c r="AS1163" s="1">
        <f>=COUNTIF(E1163:AI1163,"Ö")+COUNTIF(E1163:AI1163,"T")</f>
      </c>
      <c r="AT1163" s="1">
        <f>=COUNTIF(E1163:AI1163,"Y")</f>
      </c>
      <c r="AU1163" s="1">
        <f>=COUNTIF(E1163:AI1163,"R.")</f>
      </c>
      <c r="AV1163" s="1">
        <f>=COUNTIF(E1163:AI1163,"Ü")</f>
      </c>
      <c r="AW1163" s="1">
        <f>=COUNTIF(E1163:AI1163,"R")</f>
      </c>
      <c r="AX1163" s="1">
        <f>=COUNTIF(E1163:AI1163,"DV")</f>
      </c>
      <c r="AY1163" s="1">
        <f>=+AN1163+AO1163+AP1163+AQ1163+AR1163+AS1163+AT1163+AU1163</f>
      </c>
    </row>
    <row r="1164" ht="16" customHeight="1" spans="1:51" x14ac:dyDescent="0.25">
      <c r="A1164" s="45"/>
      <c r="B1164" s="46"/>
      <c r="C1164" s="46"/>
      <c r="D1164" s="46" t="s">
        <v>33</v>
      </c>
      <c r="E1164" s="46"/>
      <c r="F1164" s="46"/>
      <c r="G1164" s="46"/>
      <c r="H1164" s="46"/>
      <c r="I1164" s="46"/>
      <c r="J1164" s="46"/>
      <c r="K1164" s="46"/>
      <c r="L1164" s="46"/>
      <c r="M1164" s="46"/>
      <c r="N1164" s="46"/>
      <c r="O1164" s="46"/>
      <c r="P1164" s="46"/>
      <c r="Q1164" s="46"/>
      <c r="R1164" s="46"/>
      <c r="S1164" s="46"/>
      <c r="T1164" s="46"/>
      <c r="U1164" s="46"/>
      <c r="V1164" s="46"/>
      <c r="W1164" s="46"/>
      <c r="X1164" s="46"/>
      <c r="Y1164" s="46"/>
      <c r="Z1164" s="46"/>
      <c r="AA1164" s="46"/>
      <c r="AB1164" s="46"/>
      <c r="AC1164" s="46"/>
      <c r="AD1164" s="46"/>
      <c r="AE1164" s="46"/>
      <c r="AF1164" s="46"/>
      <c r="AG1164" s="46"/>
      <c r="AH1164" s="46"/>
      <c r="AI1164" s="46"/>
      <c r="AJ1164" s="46"/>
      <c r="AK1164" s="46"/>
      <c r="AL1164" s="46"/>
      <c r="AM1164" s="1"/>
      <c r="AN1164" s="1"/>
      <c r="AO1164" s="1"/>
      <c r="AP1164" s="1"/>
      <c r="AQ1164" s="1"/>
      <c r="AR1164" s="1"/>
      <c r="AS1164" s="1"/>
      <c r="AT1164" s="1"/>
      <c r="AU1164" s="1"/>
      <c r="AV1164" s="1"/>
      <c r="AW1164" s="1"/>
      <c r="AX1164" s="1"/>
      <c r="AY1164" s="1"/>
    </row>
    <row r="1165" ht="16" customHeight="1" spans="1:51" x14ac:dyDescent="0.25">
      <c r="A1165" s="45"/>
      <c r="B1165" s="46" t="s">
        <v>1215</v>
      </c>
      <c r="C1165" s="46" t="s">
        <v>1216</v>
      </c>
      <c r="D1165" s="46" t="s">
        <v>29</v>
      </c>
      <c r="E1165" s="46" t="s">
        <v>59</v>
      </c>
      <c r="F1165" s="46" t="s">
        <v>59</v>
      </c>
      <c r="G1165" s="46" t="s">
        <v>59</v>
      </c>
      <c r="H1165" s="46" t="s">
        <v>59</v>
      </c>
      <c r="I1165" s="46" t="s">
        <v>37</v>
      </c>
      <c r="J1165" s="46" t="s">
        <v>59</v>
      </c>
      <c r="K1165" s="46" t="s">
        <v>59</v>
      </c>
      <c r="L1165" s="46" t="s">
        <v>59</v>
      </c>
      <c r="M1165" s="46" t="s">
        <v>59</v>
      </c>
      <c r="N1165" s="46" t="s">
        <v>59</v>
      </c>
      <c r="O1165" s="46" t="s">
        <v>59</v>
      </c>
      <c r="P1165" s="46" t="s">
        <v>37</v>
      </c>
      <c r="Q1165" s="46" t="s">
        <v>59</v>
      </c>
      <c r="R1165" s="46" t="s">
        <v>59</v>
      </c>
      <c r="S1165" s="46" t="s">
        <v>59</v>
      </c>
      <c r="T1165" s="46" t="s">
        <v>59</v>
      </c>
      <c r="U1165" s="46" t="s">
        <v>59</v>
      </c>
      <c r="V1165" s="46" t="s">
        <v>59</v>
      </c>
      <c r="W1165" s="46" t="s">
        <v>59</v>
      </c>
      <c r="X1165" s="46" t="s">
        <v>37</v>
      </c>
      <c r="Y1165" s="46" t="s">
        <v>59</v>
      </c>
      <c r="Z1165" s="46" t="s">
        <v>59</v>
      </c>
      <c r="AA1165" s="46" t="s">
        <v>59</v>
      </c>
      <c r="AB1165" s="46" t="s">
        <v>59</v>
      </c>
      <c r="AC1165" s="46" t="s">
        <v>59</v>
      </c>
      <c r="AD1165" s="46" t="s">
        <v>37</v>
      </c>
      <c r="AE1165" s="46" t="s">
        <v>59</v>
      </c>
      <c r="AF1165" s="46" t="s">
        <v>59</v>
      </c>
      <c r="AG1165" s="46" t="s">
        <v>59</v>
      </c>
      <c r="AH1165" s="46" t="s">
        <v>43</v>
      </c>
      <c r="AI1165" s="46" t="s">
        <v>59</v>
      </c>
      <c r="AJ1165" s="46">
        <f>=SUM(E1166:AI1166)</f>
      </c>
      <c r="AK1165" s="46">
        <f>=+AY1165</f>
      </c>
      <c r="AL1165" s="46"/>
      <c r="AM1165" s="1"/>
      <c r="AN1165" s="1">
        <f>=COUNTIF(E1165:AI1165,"A")+COUNTIF(E1165:AI1165,"B")+COUNTIF(E1165:AI1165,"C")+COUNTIF(E1165:AI1165,"D")+COUNTIF(E1165:AI1165,"E")+COUNTIF(E1165:AI1165,"F")+COUNTIF(E1165:AI1165,"M")+COUNTIF(E1165:AI1165,"AB")+COUNTIF(E1165:AI1165,"UZ")+COUNTIF(E1165:AI1165,"G")+(COUNTIF(E1165:AI1165,"RT.")/2)+(COUNTIF(E1165:AI1165,"ÇRT.")/2)</f>
      </c>
      <c r="AO1165" s="1">
        <f>=COUNTIF(E1165:AI1165,"O")</f>
      </c>
      <c r="AP1165" s="1">
        <f>=COUNTIF(E1165:AI1165,"RT")+(COUNTIF(E1165:AI1165,"RT.")/2)</f>
      </c>
      <c r="AQ1165" s="1">
        <f>=COUNTIF(E1165:AI1165,"ÇRT")+(COUNTIF(E1165:AI1165,"ÇRT.")/2)</f>
      </c>
      <c r="AR1165" s="1">
        <f>=COUNTIF(E1165:AI1165,"ÇHT")</f>
      </c>
      <c r="AS1165" s="1">
        <f>=COUNTIF(E1165:AI1165,"Ö")+COUNTIF(E1165:AI1165,"T")</f>
      </c>
      <c r="AT1165" s="1">
        <f>=COUNTIF(E1165:AI1165,"Y")</f>
      </c>
      <c r="AU1165" s="1">
        <f>=COUNTIF(E1165:AI1165,"R.")</f>
      </c>
      <c r="AV1165" s="1">
        <f>=COUNTIF(E1165:AI1165,"Ü")</f>
      </c>
      <c r="AW1165" s="1">
        <f>=COUNTIF(E1165:AI1165,"R")</f>
      </c>
      <c r="AX1165" s="1">
        <f>=COUNTIF(E1165:AI1165,"DV")</f>
      </c>
      <c r="AY1165" s="1">
        <f>=+AN1165+AO1165+AP1165+AQ1165+AR1165+AS1165+AT1165+AU1165</f>
      </c>
    </row>
    <row r="1166" ht="16" customHeight="1" spans="1:51" x14ac:dyDescent="0.25">
      <c r="A1166" s="45"/>
      <c r="B1166" s="46"/>
      <c r="C1166" s="46"/>
      <c r="D1166" s="46" t="s">
        <v>33</v>
      </c>
      <c r="E1166" s="46"/>
      <c r="F1166" s="46"/>
      <c r="G1166" s="46"/>
      <c r="H1166" s="46"/>
      <c r="I1166" s="46"/>
      <c r="J1166" s="46"/>
      <c r="K1166" s="46"/>
      <c r="L1166" s="46"/>
      <c r="M1166" s="46"/>
      <c r="N1166" s="46"/>
      <c r="O1166" s="46"/>
      <c r="P1166" s="46"/>
      <c r="Q1166" s="46"/>
      <c r="R1166" s="46"/>
      <c r="S1166" s="46"/>
      <c r="T1166" s="46"/>
      <c r="U1166" s="46"/>
      <c r="V1166" s="46"/>
      <c r="W1166" s="46"/>
      <c r="X1166" s="46"/>
      <c r="Y1166" s="46"/>
      <c r="Z1166" s="46"/>
      <c r="AA1166" s="46"/>
      <c r="AB1166" s="46"/>
      <c r="AC1166" s="46"/>
      <c r="AD1166" s="46"/>
      <c r="AE1166" s="46"/>
      <c r="AF1166" s="46"/>
      <c r="AG1166" s="46"/>
      <c r="AH1166" s="46"/>
      <c r="AI1166" s="46"/>
      <c r="AJ1166" s="46"/>
      <c r="AK1166" s="46"/>
      <c r="AL1166" s="46"/>
      <c r="AM1166" s="1"/>
      <c r="AN1166" s="1"/>
      <c r="AO1166" s="1"/>
      <c r="AP1166" s="1"/>
      <c r="AQ1166" s="1"/>
      <c r="AR1166" s="1"/>
      <c r="AS1166" s="1"/>
      <c r="AT1166" s="1"/>
      <c r="AU1166" s="1"/>
      <c r="AV1166" s="1"/>
      <c r="AW1166" s="1"/>
      <c r="AX1166" s="1"/>
      <c r="AY1166" s="1"/>
    </row>
    <row r="1167" ht="16" customHeight="1" spans="1:51" x14ac:dyDescent="0.25">
      <c r="A1167" s="45"/>
      <c r="B1167" s="46" t="s">
        <v>1217</v>
      </c>
      <c r="C1167" s="46" t="s">
        <v>1218</v>
      </c>
      <c r="D1167" s="46" t="s">
        <v>29</v>
      </c>
      <c r="E1167" s="46" t="s">
        <v>59</v>
      </c>
      <c r="F1167" s="46" t="s">
        <v>59</v>
      </c>
      <c r="G1167" s="46" t="s">
        <v>59</v>
      </c>
      <c r="H1167" s="46" t="s">
        <v>59</v>
      </c>
      <c r="I1167" s="46" t="s">
        <v>59</v>
      </c>
      <c r="J1167" s="46" t="s">
        <v>59</v>
      </c>
      <c r="K1167" s="46" t="s">
        <v>37</v>
      </c>
      <c r="L1167" s="46" t="s">
        <v>59</v>
      </c>
      <c r="M1167" s="46" t="s">
        <v>59</v>
      </c>
      <c r="N1167" s="46" t="s">
        <v>59</v>
      </c>
      <c r="O1167" s="46" t="s">
        <v>59</v>
      </c>
      <c r="P1167" s="46" t="s">
        <v>59</v>
      </c>
      <c r="Q1167" s="46" t="s">
        <v>37</v>
      </c>
      <c r="R1167" s="46" t="s">
        <v>59</v>
      </c>
      <c r="S1167" s="46" t="s">
        <v>59</v>
      </c>
      <c r="T1167" s="46" t="s">
        <v>59</v>
      </c>
      <c r="U1167" s="46" t="s">
        <v>59</v>
      </c>
      <c r="V1167" s="46" t="s">
        <v>59</v>
      </c>
      <c r="W1167" s="46" t="s">
        <v>59</v>
      </c>
      <c r="X1167" s="46" t="s">
        <v>46</v>
      </c>
      <c r="Y1167" s="46" t="s">
        <v>37</v>
      </c>
      <c r="Z1167" s="46" t="s">
        <v>59</v>
      </c>
      <c r="AA1167" s="46" t="s">
        <v>59</v>
      </c>
      <c r="AB1167" s="46" t="s">
        <v>59</v>
      </c>
      <c r="AC1167" s="46" t="s">
        <v>59</v>
      </c>
      <c r="AD1167" s="46" t="s">
        <v>59</v>
      </c>
      <c r="AE1167" s="46" t="s">
        <v>37</v>
      </c>
      <c r="AF1167" s="46" t="s">
        <v>59</v>
      </c>
      <c r="AG1167" s="46" t="s">
        <v>59</v>
      </c>
      <c r="AH1167" s="46" t="s">
        <v>43</v>
      </c>
      <c r="AI1167" s="46" t="s">
        <v>59</v>
      </c>
      <c r="AJ1167" s="46">
        <f>=SUM(E1168:AI1168)</f>
      </c>
      <c r="AK1167" s="46">
        <f>=+AY1167</f>
      </c>
      <c r="AL1167" s="46"/>
      <c r="AM1167" s="1"/>
      <c r="AN1167" s="1">
        <f>=COUNTIF(E1167:AI1167,"A")+COUNTIF(E1167:AI1167,"B")+COUNTIF(E1167:AI1167,"C")+COUNTIF(E1167:AI1167,"D")+COUNTIF(E1167:AI1167,"E")+COUNTIF(E1167:AI1167,"F")+COUNTIF(E1167:AI1167,"M")+COUNTIF(E1167:AI1167,"AB")+COUNTIF(E1167:AI1167,"UZ")+COUNTIF(E1167:AI1167,"G")+(COUNTIF(E1167:AI1167,"RT.")/2)+(COUNTIF(E1167:AI1167,"ÇRT.")/2)</f>
      </c>
      <c r="AO1167" s="1">
        <f>=COUNTIF(E1167:AI1167,"O")</f>
      </c>
      <c r="AP1167" s="1">
        <f>=COUNTIF(E1167:AI1167,"RT")+(COUNTIF(E1167:AI1167,"RT.")/2)</f>
      </c>
      <c r="AQ1167" s="1">
        <f>=COUNTIF(E1167:AI1167,"ÇRT")+(COUNTIF(E1167:AI1167,"ÇRT.")/2)</f>
      </c>
      <c r="AR1167" s="1">
        <f>=COUNTIF(E1167:AI1167,"ÇHT")</f>
      </c>
      <c r="AS1167" s="1">
        <f>=COUNTIF(E1167:AI1167,"Ö")+COUNTIF(E1167:AI1167,"T")</f>
      </c>
      <c r="AT1167" s="1">
        <f>=COUNTIF(E1167:AI1167,"Y")</f>
      </c>
      <c r="AU1167" s="1">
        <f>=COUNTIF(E1167:AI1167,"R.")</f>
      </c>
      <c r="AV1167" s="1">
        <f>=COUNTIF(E1167:AI1167,"Ü")</f>
      </c>
      <c r="AW1167" s="1">
        <f>=COUNTIF(E1167:AI1167,"R")</f>
      </c>
      <c r="AX1167" s="1">
        <f>=COUNTIF(E1167:AI1167,"DV")</f>
      </c>
      <c r="AY1167" s="1">
        <f>=+AN1167+AO1167+AP1167+AQ1167+AR1167+AS1167+AT1167+AU1167</f>
      </c>
    </row>
    <row r="1168" ht="16" customHeight="1" spans="1:51" x14ac:dyDescent="0.25">
      <c r="A1168" s="45"/>
      <c r="B1168" s="46"/>
      <c r="C1168" s="46"/>
      <c r="D1168" s="46" t="s">
        <v>33</v>
      </c>
      <c r="E1168" s="46"/>
      <c r="F1168" s="46"/>
      <c r="G1168" s="46"/>
      <c r="H1168" s="46"/>
      <c r="I1168" s="46"/>
      <c r="J1168" s="46"/>
      <c r="K1168" s="46"/>
      <c r="L1168" s="46"/>
      <c r="M1168" s="46"/>
      <c r="N1168" s="46"/>
      <c r="O1168" s="46"/>
      <c r="P1168" s="46"/>
      <c r="Q1168" s="46"/>
      <c r="R1168" s="46"/>
      <c r="S1168" s="46"/>
      <c r="T1168" s="46"/>
      <c r="U1168" s="46"/>
      <c r="V1168" s="46"/>
      <c r="W1168" s="46"/>
      <c r="X1168" s="46"/>
      <c r="Y1168" s="46"/>
      <c r="Z1168" s="46"/>
      <c r="AA1168" s="46"/>
      <c r="AB1168" s="46"/>
      <c r="AC1168" s="46">
        <v>2</v>
      </c>
      <c r="AD1168" s="46">
        <v>2</v>
      </c>
      <c r="AE1168" s="46"/>
      <c r="AF1168" s="46"/>
      <c r="AG1168" s="46"/>
      <c r="AH1168" s="46"/>
      <c r="AI1168" s="46"/>
      <c r="AJ1168" s="46"/>
      <c r="AK1168" s="46"/>
      <c r="AL1168" s="46"/>
      <c r="AM1168" s="1"/>
      <c r="AN1168" s="1"/>
      <c r="AO1168" s="1"/>
      <c r="AP1168" s="1"/>
      <c r="AQ1168" s="1"/>
      <c r="AR1168" s="1"/>
      <c r="AS1168" s="1"/>
      <c r="AT1168" s="1"/>
      <c r="AU1168" s="1"/>
      <c r="AV1168" s="1"/>
      <c r="AW1168" s="1"/>
      <c r="AX1168" s="1"/>
      <c r="AY1168" s="1"/>
    </row>
    <row r="1169" ht="16" customHeight="1" spans="1:51" x14ac:dyDescent="0.25">
      <c r="A1169" s="45"/>
      <c r="B1169" s="46" t="s">
        <v>1219</v>
      </c>
      <c r="C1169" s="46" t="s">
        <v>1220</v>
      </c>
      <c r="D1169" s="46" t="s">
        <v>29</v>
      </c>
      <c r="E1169" s="46" t="s">
        <v>46</v>
      </c>
      <c r="F1169" s="46" t="s">
        <v>46</v>
      </c>
      <c r="G1169" s="46" t="s">
        <v>46</v>
      </c>
      <c r="H1169" s="46" t="s">
        <v>37</v>
      </c>
      <c r="I1169" s="46" t="s">
        <v>46</v>
      </c>
      <c r="J1169" s="46" t="s">
        <v>46</v>
      </c>
      <c r="K1169" s="46" t="s">
        <v>46</v>
      </c>
      <c r="L1169" s="46" t="s">
        <v>46</v>
      </c>
      <c r="M1169" s="46" t="s">
        <v>46</v>
      </c>
      <c r="N1169" s="46" t="s">
        <v>46</v>
      </c>
      <c r="O1169" s="46" t="s">
        <v>37</v>
      </c>
      <c r="P1169" s="46" t="s">
        <v>46</v>
      </c>
      <c r="Q1169" s="46" t="s">
        <v>46</v>
      </c>
      <c r="R1169" s="46" t="s">
        <v>46</v>
      </c>
      <c r="S1169" s="46" t="s">
        <v>46</v>
      </c>
      <c r="T1169" s="46" t="s">
        <v>46</v>
      </c>
      <c r="U1169" s="46" t="s">
        <v>46</v>
      </c>
      <c r="V1169" s="46" t="s">
        <v>37</v>
      </c>
      <c r="W1169" s="46" t="s">
        <v>46</v>
      </c>
      <c r="X1169" s="46" t="s">
        <v>46</v>
      </c>
      <c r="Y1169" s="46" t="s">
        <v>46</v>
      </c>
      <c r="Z1169" s="46" t="s">
        <v>46</v>
      </c>
      <c r="AA1169" s="46" t="s">
        <v>46</v>
      </c>
      <c r="AB1169" s="46" t="s">
        <v>46</v>
      </c>
      <c r="AC1169" s="46" t="s">
        <v>37</v>
      </c>
      <c r="AD1169" s="46" t="s">
        <v>46</v>
      </c>
      <c r="AE1169" s="46" t="s">
        <v>46</v>
      </c>
      <c r="AF1169" s="46" t="s">
        <v>46</v>
      </c>
      <c r="AG1169" s="46" t="s">
        <v>46</v>
      </c>
      <c r="AH1169" s="46" t="s">
        <v>43</v>
      </c>
      <c r="AI1169" s="46" t="s">
        <v>46</v>
      </c>
      <c r="AJ1169" s="46">
        <f>=SUM(E1170:AI1170)</f>
      </c>
      <c r="AK1169" s="46">
        <f>=+AY1169</f>
      </c>
      <c r="AL1169" s="46"/>
      <c r="AM1169" s="1"/>
      <c r="AN1169" s="1">
        <f>=COUNTIF(E1169:AI1169,"A")+COUNTIF(E1169:AI1169,"B")+COUNTIF(E1169:AI1169,"C")+COUNTIF(E1169:AI1169,"D")+COUNTIF(E1169:AI1169,"E")+COUNTIF(E1169:AI1169,"F")+COUNTIF(E1169:AI1169,"M")+COUNTIF(E1169:AI1169,"AB")+COUNTIF(E1169:AI1169,"UZ")+COUNTIF(E1169:AI1169,"G")+(COUNTIF(E1169:AI1169,"RT.")/2)+(COUNTIF(E1169:AI1169,"ÇRT.")/2)</f>
      </c>
      <c r="AO1169" s="1">
        <f>=COUNTIF(E1169:AI1169,"O")</f>
      </c>
      <c r="AP1169" s="1">
        <f>=COUNTIF(E1169:AI1169,"RT")+(COUNTIF(E1169:AI1169,"RT.")/2)</f>
      </c>
      <c r="AQ1169" s="1">
        <f>=COUNTIF(E1169:AI1169,"ÇRT")+(COUNTIF(E1169:AI1169,"ÇRT.")/2)</f>
      </c>
      <c r="AR1169" s="1">
        <f>=COUNTIF(E1169:AI1169,"ÇHT")</f>
      </c>
      <c r="AS1169" s="1">
        <f>=COUNTIF(E1169:AI1169,"Ö")+COUNTIF(E1169:AI1169,"T")</f>
      </c>
      <c r="AT1169" s="1">
        <f>=COUNTIF(E1169:AI1169,"Y")</f>
      </c>
      <c r="AU1169" s="1">
        <f>=COUNTIF(E1169:AI1169,"R.")</f>
      </c>
      <c r="AV1169" s="1">
        <f>=COUNTIF(E1169:AI1169,"Ü")</f>
      </c>
      <c r="AW1169" s="1">
        <f>=COUNTIF(E1169:AI1169,"R")</f>
      </c>
      <c r="AX1169" s="1">
        <f>=COUNTIF(E1169:AI1169,"DV")</f>
      </c>
      <c r="AY1169" s="1">
        <f>=+AN1169+AO1169+AP1169+AQ1169+AR1169+AS1169+AT1169+AU1169</f>
      </c>
    </row>
    <row r="1170" ht="16" customHeight="1" spans="1:51" x14ac:dyDescent="0.25">
      <c r="A1170" s="45"/>
      <c r="B1170" s="46"/>
      <c r="C1170" s="46"/>
      <c r="D1170" s="46" t="s">
        <v>33</v>
      </c>
      <c r="E1170" s="46"/>
      <c r="F1170" s="46"/>
      <c r="G1170" s="46"/>
      <c r="H1170" s="46"/>
      <c r="I1170" s="46"/>
      <c r="J1170" s="46"/>
      <c r="K1170" s="46"/>
      <c r="L1170" s="46"/>
      <c r="M1170" s="46"/>
      <c r="N1170" s="46"/>
      <c r="O1170" s="46"/>
      <c r="P1170" s="46"/>
      <c r="Q1170" s="46"/>
      <c r="R1170" s="46"/>
      <c r="S1170" s="46"/>
      <c r="T1170" s="46"/>
      <c r="U1170" s="46"/>
      <c r="V1170" s="46"/>
      <c r="W1170" s="46"/>
      <c r="X1170" s="46"/>
      <c r="Y1170" s="46"/>
      <c r="Z1170" s="46"/>
      <c r="AA1170" s="46"/>
      <c r="AB1170" s="46"/>
      <c r="AC1170" s="46"/>
      <c r="AD1170" s="46"/>
      <c r="AE1170" s="46"/>
      <c r="AF1170" s="46"/>
      <c r="AG1170" s="46"/>
      <c r="AH1170" s="46">
        <v>0</v>
      </c>
      <c r="AI1170" s="46"/>
      <c r="AJ1170" s="46"/>
      <c r="AK1170" s="46"/>
      <c r="AL1170" s="46"/>
      <c r="AM1170" s="1"/>
      <c r="AN1170" s="1"/>
      <c r="AO1170" s="1"/>
      <c r="AP1170" s="1"/>
      <c r="AQ1170" s="1"/>
      <c r="AR1170" s="1"/>
      <c r="AS1170" s="1"/>
      <c r="AT1170" s="1"/>
      <c r="AU1170" s="1"/>
      <c r="AV1170" s="1"/>
      <c r="AW1170" s="1"/>
      <c r="AX1170" s="1"/>
      <c r="AY1170" s="1"/>
    </row>
    <row r="1171" ht="16" customHeight="1" spans="1:51" x14ac:dyDescent="0.25">
      <c r="A1171" s="45"/>
      <c r="B1171" s="46" t="s">
        <v>1221</v>
      </c>
      <c r="C1171" s="46" t="s">
        <v>1222</v>
      </c>
      <c r="D1171" s="46" t="s">
        <v>29</v>
      </c>
      <c r="E1171" s="46" t="s">
        <v>59</v>
      </c>
      <c r="F1171" s="46" t="s">
        <v>59</v>
      </c>
      <c r="G1171" s="46" t="s">
        <v>59</v>
      </c>
      <c r="H1171" s="46" t="s">
        <v>37</v>
      </c>
      <c r="I1171" s="46" t="s">
        <v>59</v>
      </c>
      <c r="J1171" s="46" t="s">
        <v>59</v>
      </c>
      <c r="K1171" s="46" t="s">
        <v>59</v>
      </c>
      <c r="L1171" s="46" t="s">
        <v>59</v>
      </c>
      <c r="M1171" s="46" t="s">
        <v>59</v>
      </c>
      <c r="N1171" s="46" t="s">
        <v>59</v>
      </c>
      <c r="O1171" s="46" t="s">
        <v>37</v>
      </c>
      <c r="P1171" s="46" t="s">
        <v>59</v>
      </c>
      <c r="Q1171" s="46" t="s">
        <v>59</v>
      </c>
      <c r="R1171" s="46" t="s">
        <v>59</v>
      </c>
      <c r="S1171" s="46" t="s">
        <v>59</v>
      </c>
      <c r="T1171" s="46" t="s">
        <v>59</v>
      </c>
      <c r="U1171" s="46" t="s">
        <v>59</v>
      </c>
      <c r="V1171" s="46" t="s">
        <v>37</v>
      </c>
      <c r="W1171" s="46" t="s">
        <v>59</v>
      </c>
      <c r="X1171" s="46" t="s">
        <v>59</v>
      </c>
      <c r="Y1171" s="46" t="s">
        <v>59</v>
      </c>
      <c r="Z1171" s="46" t="s">
        <v>59</v>
      </c>
      <c r="AA1171" s="46" t="s">
        <v>59</v>
      </c>
      <c r="AB1171" s="46" t="s">
        <v>59</v>
      </c>
      <c r="AC1171" s="46" t="s">
        <v>37</v>
      </c>
      <c r="AD1171" s="46" t="s">
        <v>59</v>
      </c>
      <c r="AE1171" s="46" t="s">
        <v>59</v>
      </c>
      <c r="AF1171" s="46" t="s">
        <v>59</v>
      </c>
      <c r="AG1171" s="46" t="s">
        <v>59</v>
      </c>
      <c r="AH1171" s="46" t="s">
        <v>43</v>
      </c>
      <c r="AI1171" s="46" t="s">
        <v>59</v>
      </c>
      <c r="AJ1171" s="46">
        <f>=SUM(E1172:AI1172)</f>
      </c>
      <c r="AK1171" s="46">
        <f>=+AY1171</f>
      </c>
      <c r="AL1171" s="46"/>
      <c r="AM1171" s="1"/>
      <c r="AN1171" s="1">
        <f>=COUNTIF(E1171:AI1171,"A")+COUNTIF(E1171:AI1171,"B")+COUNTIF(E1171:AI1171,"C")+COUNTIF(E1171:AI1171,"D")+COUNTIF(E1171:AI1171,"E")+COUNTIF(E1171:AI1171,"F")+COUNTIF(E1171:AI1171,"M")+COUNTIF(E1171:AI1171,"AB")+COUNTIF(E1171:AI1171,"UZ")+COUNTIF(E1171:AI1171,"G")+(COUNTIF(E1171:AI1171,"RT.")/2)+(COUNTIF(E1171:AI1171,"ÇRT.")/2)</f>
      </c>
      <c r="AO1171" s="1">
        <f>=COUNTIF(E1171:AI1171,"O")</f>
      </c>
      <c r="AP1171" s="1">
        <f>=COUNTIF(E1171:AI1171,"RT")+(COUNTIF(E1171:AI1171,"RT.")/2)</f>
      </c>
      <c r="AQ1171" s="1">
        <f>=COUNTIF(E1171:AI1171,"ÇRT")+(COUNTIF(E1171:AI1171,"ÇRT.")/2)</f>
      </c>
      <c r="AR1171" s="1">
        <f>=COUNTIF(E1171:AI1171,"ÇHT")</f>
      </c>
      <c r="AS1171" s="1">
        <f>=COUNTIF(E1171:AI1171,"Ö")+COUNTIF(E1171:AI1171,"T")</f>
      </c>
      <c r="AT1171" s="1">
        <f>=COUNTIF(E1171:AI1171,"Y")</f>
      </c>
      <c r="AU1171" s="1">
        <f>=COUNTIF(E1171:AI1171,"R.")</f>
      </c>
      <c r="AV1171" s="1">
        <f>=COUNTIF(E1171:AI1171,"Ü")</f>
      </c>
      <c r="AW1171" s="1">
        <f>=COUNTIF(E1171:AI1171,"R")</f>
      </c>
      <c r="AX1171" s="1">
        <f>=COUNTIF(E1171:AI1171,"DV")</f>
      </c>
      <c r="AY1171" s="1">
        <f>=+AN1171+AO1171+AP1171+AQ1171+AR1171+AS1171+AT1171+AU1171</f>
      </c>
    </row>
    <row r="1172" ht="16" customHeight="1" spans="1:51" x14ac:dyDescent="0.25">
      <c r="A1172" s="45"/>
      <c r="B1172" s="46"/>
      <c r="C1172" s="46"/>
      <c r="D1172" s="46" t="s">
        <v>33</v>
      </c>
      <c r="E1172" s="46"/>
      <c r="F1172" s="46"/>
      <c r="G1172" s="46"/>
      <c r="H1172" s="46"/>
      <c r="I1172" s="46"/>
      <c r="J1172" s="46"/>
      <c r="K1172" s="46"/>
      <c r="L1172" s="46"/>
      <c r="M1172" s="46"/>
      <c r="N1172" s="46"/>
      <c r="O1172" s="46"/>
      <c r="P1172" s="46"/>
      <c r="Q1172" s="46"/>
      <c r="R1172" s="46"/>
      <c r="S1172" s="46"/>
      <c r="T1172" s="46"/>
      <c r="U1172" s="46"/>
      <c r="V1172" s="46"/>
      <c r="W1172" s="46"/>
      <c r="X1172" s="46"/>
      <c r="Y1172" s="46"/>
      <c r="Z1172" s="46"/>
      <c r="AA1172" s="46"/>
      <c r="AB1172" s="46"/>
      <c r="AC1172" s="46"/>
      <c r="AD1172" s="46"/>
      <c r="AE1172" s="46"/>
      <c r="AF1172" s="46"/>
      <c r="AG1172" s="46"/>
      <c r="AH1172" s="46">
        <v>0</v>
      </c>
      <c r="AI1172" s="46"/>
      <c r="AJ1172" s="46"/>
      <c r="AK1172" s="46"/>
      <c r="AL1172" s="46"/>
      <c r="AM1172" s="1"/>
      <c r="AN1172" s="1"/>
      <c r="AO1172" s="1"/>
      <c r="AP1172" s="1"/>
      <c r="AQ1172" s="1"/>
      <c r="AR1172" s="1"/>
      <c r="AS1172" s="1"/>
      <c r="AT1172" s="1"/>
      <c r="AU1172" s="1"/>
      <c r="AV1172" s="1"/>
      <c r="AW1172" s="1"/>
      <c r="AX1172" s="1"/>
      <c r="AY1172" s="1"/>
    </row>
    <row r="1173" ht="16" customHeight="1" spans="1:51" x14ac:dyDescent="0.25">
      <c r="A1173" s="45"/>
      <c r="B1173" s="46" t="s">
        <v>1223</v>
      </c>
      <c r="C1173" s="46" t="s">
        <v>1224</v>
      </c>
      <c r="D1173" s="46" t="s">
        <v>29</v>
      </c>
      <c r="E1173" s="46" t="s">
        <v>36</v>
      </c>
      <c r="F1173" s="46" t="s">
        <v>36</v>
      </c>
      <c r="G1173" s="46" t="s">
        <v>37</v>
      </c>
      <c r="H1173" s="46" t="s">
        <v>36</v>
      </c>
      <c r="I1173" s="46" t="s">
        <v>36</v>
      </c>
      <c r="J1173" s="46" t="s">
        <v>36</v>
      </c>
      <c r="K1173" s="46" t="s">
        <v>36</v>
      </c>
      <c r="L1173" s="46" t="s">
        <v>36</v>
      </c>
      <c r="M1173" s="46" t="s">
        <v>36</v>
      </c>
      <c r="N1173" s="46" t="s">
        <v>37</v>
      </c>
      <c r="O1173" s="46" t="s">
        <v>36</v>
      </c>
      <c r="P1173" s="46" t="s">
        <v>36</v>
      </c>
      <c r="Q1173" s="46" t="s">
        <v>153</v>
      </c>
      <c r="R1173" s="46" t="s">
        <v>153</v>
      </c>
      <c r="S1173" s="46" t="s">
        <v>36</v>
      </c>
      <c r="T1173" s="46" t="s">
        <v>36</v>
      </c>
      <c r="U1173" s="46" t="s">
        <v>37</v>
      </c>
      <c r="V1173" s="46" t="s">
        <v>36</v>
      </c>
      <c r="W1173" s="46" t="s">
        <v>36</v>
      </c>
      <c r="X1173" s="46" t="s">
        <v>36</v>
      </c>
      <c r="Y1173" s="46" t="s">
        <v>36</v>
      </c>
      <c r="Z1173" s="46" t="s">
        <v>36</v>
      </c>
      <c r="AA1173" s="46" t="s">
        <v>36</v>
      </c>
      <c r="AB1173" s="46" t="s">
        <v>36</v>
      </c>
      <c r="AC1173" s="46" t="s">
        <v>36</v>
      </c>
      <c r="AD1173" s="46" t="s">
        <v>37</v>
      </c>
      <c r="AE1173" s="46" t="s">
        <v>36</v>
      </c>
      <c r="AF1173" s="46" t="s">
        <v>36</v>
      </c>
      <c r="AG1173" s="46" t="s">
        <v>36</v>
      </c>
      <c r="AH1173" s="46" t="s">
        <v>43</v>
      </c>
      <c r="AI1173" s="46" t="s">
        <v>37</v>
      </c>
      <c r="AJ1173" s="46">
        <f>=SUM(E1174:AI1174)</f>
      </c>
      <c r="AK1173" s="46">
        <f>=+AY1173</f>
      </c>
      <c r="AL1173" s="46"/>
      <c r="AM1173" s="1"/>
      <c r="AN1173" s="1">
        <f>=COUNTIF(E1173:AI1173,"A")+COUNTIF(E1173:AI1173,"B")+COUNTIF(E1173:AI1173,"C")+COUNTIF(E1173:AI1173,"D")+COUNTIF(E1173:AI1173,"E")+COUNTIF(E1173:AI1173,"F")+COUNTIF(E1173:AI1173,"M")+COUNTIF(E1173:AI1173,"AB")+COUNTIF(E1173:AI1173,"UZ")+COUNTIF(E1173:AI1173,"G")+(COUNTIF(E1173:AI1173,"RT.")/2)+(COUNTIF(E1173:AI1173,"ÇRT.")/2)</f>
      </c>
      <c r="AO1173" s="1">
        <f>=COUNTIF(E1173:AI1173,"O")</f>
      </c>
      <c r="AP1173" s="1">
        <f>=COUNTIF(E1173:AI1173,"RT")+(COUNTIF(E1173:AI1173,"RT.")/2)</f>
      </c>
      <c r="AQ1173" s="1">
        <f>=COUNTIF(E1173:AI1173,"ÇRT")+(COUNTIF(E1173:AI1173,"ÇRT.")/2)</f>
      </c>
      <c r="AR1173" s="1">
        <f>=COUNTIF(E1173:AI1173,"ÇHT")</f>
      </c>
      <c r="AS1173" s="1">
        <f>=COUNTIF(E1173:AI1173,"Ö")+COUNTIF(E1173:AI1173,"T")</f>
      </c>
      <c r="AT1173" s="1">
        <f>=COUNTIF(E1173:AI1173,"Y")</f>
      </c>
      <c r="AU1173" s="1">
        <f>=COUNTIF(E1173:AI1173,"R.")</f>
      </c>
      <c r="AV1173" s="1">
        <f>=COUNTIF(E1173:AI1173,"Ü")</f>
      </c>
      <c r="AW1173" s="1">
        <f>=COUNTIF(E1173:AI1173,"R")</f>
      </c>
      <c r="AX1173" s="1">
        <f>=COUNTIF(E1173:AI1173,"DV")</f>
      </c>
      <c r="AY1173" s="1">
        <f>=+AN1173+AO1173+AP1173+AQ1173+AR1173+AS1173+AT1173+AU1173</f>
      </c>
    </row>
    <row r="1174" ht="16" customHeight="1" spans="1:51" x14ac:dyDescent="0.25">
      <c r="A1174" s="45"/>
      <c r="B1174" s="46"/>
      <c r="C1174" s="46"/>
      <c r="D1174" s="46" t="s">
        <v>33</v>
      </c>
      <c r="E1174" s="46"/>
      <c r="F1174" s="46"/>
      <c r="G1174" s="46"/>
      <c r="H1174" s="46"/>
      <c r="I1174" s="46"/>
      <c r="J1174" s="46"/>
      <c r="K1174" s="46"/>
      <c r="L1174" s="46"/>
      <c r="M1174" s="46"/>
      <c r="N1174" s="46"/>
      <c r="O1174" s="46"/>
      <c r="P1174" s="46"/>
      <c r="Q1174" s="46"/>
      <c r="R1174" s="46"/>
      <c r="S1174" s="46"/>
      <c r="T1174" s="46"/>
      <c r="U1174" s="46"/>
      <c r="V1174" s="46"/>
      <c r="W1174" s="46"/>
      <c r="X1174" s="46"/>
      <c r="Y1174" s="46"/>
      <c r="Z1174" s="46"/>
      <c r="AA1174" s="46"/>
      <c r="AB1174" s="46"/>
      <c r="AC1174" s="46"/>
      <c r="AD1174" s="46"/>
      <c r="AE1174" s="46"/>
      <c r="AF1174" s="46"/>
      <c r="AG1174" s="46"/>
      <c r="AH1174" s="46"/>
      <c r="AI1174" s="46"/>
      <c r="AJ1174" s="46"/>
      <c r="AK1174" s="46"/>
      <c r="AL1174" s="46"/>
      <c r="AM1174" s="1"/>
      <c r="AN1174" s="1"/>
      <c r="AO1174" s="1"/>
      <c r="AP1174" s="1"/>
      <c r="AQ1174" s="1"/>
      <c r="AR1174" s="1"/>
      <c r="AS1174" s="1"/>
      <c r="AT1174" s="1"/>
      <c r="AU1174" s="1"/>
      <c r="AV1174" s="1"/>
      <c r="AW1174" s="1"/>
      <c r="AX1174" s="1"/>
      <c r="AY1174" s="1"/>
    </row>
    <row r="1175" ht="16" customHeight="1" spans="1:51" x14ac:dyDescent="0.25">
      <c r="A1175" s="45"/>
      <c r="B1175" s="46" t="s">
        <v>1225</v>
      </c>
      <c r="C1175" s="46" t="s">
        <v>1226</v>
      </c>
      <c r="D1175" s="46" t="s">
        <v>29</v>
      </c>
      <c r="E1175" s="46" t="s">
        <v>37</v>
      </c>
      <c r="F1175" s="46" t="s">
        <v>59</v>
      </c>
      <c r="G1175" s="46" t="s">
        <v>59</v>
      </c>
      <c r="H1175" s="46" t="s">
        <v>59</v>
      </c>
      <c r="I1175" s="46" t="s">
        <v>59</v>
      </c>
      <c r="J1175" s="46" t="s">
        <v>59</v>
      </c>
      <c r="K1175" s="46" t="s">
        <v>59</v>
      </c>
      <c r="L1175" s="46" t="s">
        <v>37</v>
      </c>
      <c r="M1175" s="46" t="s">
        <v>59</v>
      </c>
      <c r="N1175" s="46" t="s">
        <v>59</v>
      </c>
      <c r="O1175" s="46" t="s">
        <v>59</v>
      </c>
      <c r="P1175" s="46" t="s">
        <v>59</v>
      </c>
      <c r="Q1175" s="46" t="s">
        <v>59</v>
      </c>
      <c r="R1175" s="46" t="s">
        <v>59</v>
      </c>
      <c r="S1175" s="46" t="s">
        <v>37</v>
      </c>
      <c r="T1175" s="46" t="s">
        <v>59</v>
      </c>
      <c r="U1175" s="46" t="s">
        <v>59</v>
      </c>
      <c r="V1175" s="46" t="s">
        <v>59</v>
      </c>
      <c r="W1175" s="46" t="s">
        <v>59</v>
      </c>
      <c r="X1175" s="46" t="s">
        <v>59</v>
      </c>
      <c r="Y1175" s="46" t="s">
        <v>59</v>
      </c>
      <c r="Z1175" s="46" t="s">
        <v>37</v>
      </c>
      <c r="AA1175" s="46" t="s">
        <v>59</v>
      </c>
      <c r="AB1175" s="46" t="s">
        <v>59</v>
      </c>
      <c r="AC1175" s="46" t="s">
        <v>59</v>
      </c>
      <c r="AD1175" s="46" t="s">
        <v>59</v>
      </c>
      <c r="AE1175" s="46" t="s">
        <v>59</v>
      </c>
      <c r="AF1175" s="46" t="s">
        <v>59</v>
      </c>
      <c r="AG1175" s="46" t="s">
        <v>37</v>
      </c>
      <c r="AH1175" s="46" t="s">
        <v>43</v>
      </c>
      <c r="AI1175" s="46" t="s">
        <v>59</v>
      </c>
      <c r="AJ1175" s="46">
        <f>=SUM(E1176:AI1176)</f>
      </c>
      <c r="AK1175" s="46">
        <f>=+AY1175</f>
      </c>
      <c r="AL1175" s="46"/>
      <c r="AM1175" s="1"/>
      <c r="AN1175" s="1">
        <f>=COUNTIF(E1175:AI1175,"A")+COUNTIF(E1175:AI1175,"B")+COUNTIF(E1175:AI1175,"C")+COUNTIF(E1175:AI1175,"D")+COUNTIF(E1175:AI1175,"E")+COUNTIF(E1175:AI1175,"F")+COUNTIF(E1175:AI1175,"M")+COUNTIF(E1175:AI1175,"AB")+COUNTIF(E1175:AI1175,"UZ")+COUNTIF(E1175:AI1175,"G")+(COUNTIF(E1175:AI1175,"RT.")/2)+(COUNTIF(E1175:AI1175,"ÇRT.")/2)</f>
      </c>
      <c r="AO1175" s="1">
        <f>=COUNTIF(E1175:AI1175,"O")</f>
      </c>
      <c r="AP1175" s="1">
        <f>=COUNTIF(E1175:AI1175,"RT")+(COUNTIF(E1175:AI1175,"RT.")/2)</f>
      </c>
      <c r="AQ1175" s="1">
        <f>=COUNTIF(E1175:AI1175,"ÇRT")+(COUNTIF(E1175:AI1175,"ÇRT.")/2)</f>
      </c>
      <c r="AR1175" s="1">
        <f>=COUNTIF(E1175:AI1175,"ÇHT")</f>
      </c>
      <c r="AS1175" s="1">
        <f>=COUNTIF(E1175:AI1175,"Ö")+COUNTIF(E1175:AI1175,"T")</f>
      </c>
      <c r="AT1175" s="1">
        <f>=COUNTIF(E1175:AI1175,"Y")</f>
      </c>
      <c r="AU1175" s="1">
        <f>=COUNTIF(E1175:AI1175,"R.")</f>
      </c>
      <c r="AV1175" s="1">
        <f>=COUNTIF(E1175:AI1175,"Ü")</f>
      </c>
      <c r="AW1175" s="1">
        <f>=COUNTIF(E1175:AI1175,"R")</f>
      </c>
      <c r="AX1175" s="1">
        <f>=COUNTIF(E1175:AI1175,"DV")</f>
      </c>
      <c r="AY1175" s="1">
        <f>=+AN1175+AO1175+AP1175+AQ1175+AR1175+AS1175+AT1175+AU1175</f>
      </c>
    </row>
    <row r="1176" ht="16" customHeight="1" spans="1:51" x14ac:dyDescent="0.25">
      <c r="A1176" s="45"/>
      <c r="B1176" s="46"/>
      <c r="C1176" s="46"/>
      <c r="D1176" s="46" t="s">
        <v>33</v>
      </c>
      <c r="E1176" s="46"/>
      <c r="F1176" s="46"/>
      <c r="G1176" s="46"/>
      <c r="H1176" s="46"/>
      <c r="I1176" s="46"/>
      <c r="J1176" s="46"/>
      <c r="K1176" s="46"/>
      <c r="L1176" s="46"/>
      <c r="M1176" s="46"/>
      <c r="N1176" s="46"/>
      <c r="O1176" s="46"/>
      <c r="P1176" s="46"/>
      <c r="Q1176" s="46"/>
      <c r="R1176" s="46"/>
      <c r="S1176" s="46"/>
      <c r="T1176" s="46"/>
      <c r="U1176" s="46"/>
      <c r="V1176" s="46"/>
      <c r="W1176" s="46"/>
      <c r="X1176" s="46"/>
      <c r="Y1176" s="46"/>
      <c r="Z1176" s="46"/>
      <c r="AA1176" s="46"/>
      <c r="AB1176" s="46"/>
      <c r="AC1176" s="46"/>
      <c r="AD1176" s="46"/>
      <c r="AE1176" s="46"/>
      <c r="AF1176" s="46"/>
      <c r="AG1176" s="46"/>
      <c r="AH1176" s="46"/>
      <c r="AI1176" s="46"/>
      <c r="AJ1176" s="46"/>
      <c r="AK1176" s="46"/>
      <c r="AL1176" s="46"/>
      <c r="AM1176" s="1"/>
      <c r="AN1176" s="1"/>
      <c r="AO1176" s="1"/>
      <c r="AP1176" s="1"/>
      <c r="AQ1176" s="1"/>
      <c r="AR1176" s="1"/>
      <c r="AS1176" s="1"/>
      <c r="AT1176" s="1"/>
      <c r="AU1176" s="1"/>
      <c r="AV1176" s="1"/>
      <c r="AW1176" s="1"/>
      <c r="AX1176" s="1"/>
      <c r="AY1176" s="1"/>
    </row>
    <row r="1177" ht="16" customHeight="1" spans="1:51" x14ac:dyDescent="0.25">
      <c r="A1177" s="45" t="s">
        <v>1227</v>
      </c>
      <c r="B1177" s="46" t="s">
        <v>1228</v>
      </c>
      <c r="C1177" s="46" t="s">
        <v>1229</v>
      </c>
      <c r="D1177" s="46" t="s">
        <v>29</v>
      </c>
      <c r="E1177" s="46" t="s">
        <v>37</v>
      </c>
      <c r="F1177" s="46" t="s">
        <v>36</v>
      </c>
      <c r="G1177" s="46" t="s">
        <v>36</v>
      </c>
      <c r="H1177" s="46" t="s">
        <v>36</v>
      </c>
      <c r="I1177" s="46" t="s">
        <v>36</v>
      </c>
      <c r="J1177" s="46" t="s">
        <v>36</v>
      </c>
      <c r="K1177" s="46" t="s">
        <v>36</v>
      </c>
      <c r="L1177" s="46" t="s">
        <v>37</v>
      </c>
      <c r="M1177" s="46" t="s">
        <v>36</v>
      </c>
      <c r="N1177" s="46" t="s">
        <v>36</v>
      </c>
      <c r="O1177" s="46" t="s">
        <v>36</v>
      </c>
      <c r="P1177" s="46" t="s">
        <v>36</v>
      </c>
      <c r="Q1177" s="46" t="s">
        <v>36</v>
      </c>
      <c r="R1177" s="46" t="s">
        <v>36</v>
      </c>
      <c r="S1177" s="46" t="s">
        <v>37</v>
      </c>
      <c r="T1177" s="46" t="s">
        <v>36</v>
      </c>
      <c r="U1177" s="46" t="s">
        <v>36</v>
      </c>
      <c r="V1177" s="46" t="s">
        <v>36</v>
      </c>
      <c r="W1177" s="46" t="s">
        <v>36</v>
      </c>
      <c r="X1177" s="46" t="s">
        <v>36</v>
      </c>
      <c r="Y1177" s="46" t="s">
        <v>36</v>
      </c>
      <c r="Z1177" s="46" t="s">
        <v>37</v>
      </c>
      <c r="AA1177" s="46" t="s">
        <v>36</v>
      </c>
      <c r="AB1177" s="46" t="s">
        <v>36</v>
      </c>
      <c r="AC1177" s="46" t="s">
        <v>36</v>
      </c>
      <c r="AD1177" s="46" t="s">
        <v>36</v>
      </c>
      <c r="AE1177" s="46" t="s">
        <v>36</v>
      </c>
      <c r="AF1177" s="46" t="s">
        <v>36</v>
      </c>
      <c r="AG1177" s="46" t="s">
        <v>37</v>
      </c>
      <c r="AH1177" s="46" t="s">
        <v>43</v>
      </c>
      <c r="AI1177" s="46" t="s">
        <v>46</v>
      </c>
      <c r="AJ1177" s="46">
        <f>=SUM(E1178:AI1178)</f>
      </c>
      <c r="AK1177" s="46">
        <f>=+AY1177</f>
      </c>
      <c r="AL1177" s="46"/>
      <c r="AM1177" s="1"/>
      <c r="AN1177" s="1">
        <f>=COUNTIF(E1177:AI1177,"A")+COUNTIF(E1177:AI1177,"B")+COUNTIF(E1177:AI1177,"C")+COUNTIF(E1177:AI1177,"D")+COUNTIF(E1177:AI1177,"E")+COUNTIF(E1177:AI1177,"F")+COUNTIF(E1177:AI1177,"M")+COUNTIF(E1177:AI1177,"AB")+COUNTIF(E1177:AI1177,"UZ")+COUNTIF(E1177:AI1177,"G")+(COUNTIF(E1177:AI1177,"RT.")/2)+(COUNTIF(E1177:AI1177,"ÇRT.")/2)</f>
      </c>
      <c r="AO1177" s="1">
        <f>=COUNTIF(E1177:AI1177,"O")</f>
      </c>
      <c r="AP1177" s="1">
        <f>=COUNTIF(E1177:AI1177,"RT")+(COUNTIF(E1177:AI1177,"RT.")/2)</f>
      </c>
      <c r="AQ1177" s="1">
        <f>=COUNTIF(E1177:AI1177,"ÇRT")+(COUNTIF(E1177:AI1177,"ÇRT.")/2)</f>
      </c>
      <c r="AR1177" s="1">
        <f>=COUNTIF(E1177:AI1177,"ÇHT")</f>
      </c>
      <c r="AS1177" s="1">
        <f>=COUNTIF(E1177:AI1177,"Ö")+COUNTIF(E1177:AI1177,"T")</f>
      </c>
      <c r="AT1177" s="1">
        <f>=COUNTIF(E1177:AI1177,"Y")</f>
      </c>
      <c r="AU1177" s="1">
        <f>=COUNTIF(E1177:AI1177,"R.")</f>
      </c>
      <c r="AV1177" s="1">
        <f>=COUNTIF(E1177:AI1177,"Ü")</f>
      </c>
      <c r="AW1177" s="1">
        <f>=COUNTIF(E1177:AI1177,"R")</f>
      </c>
      <c r="AX1177" s="1">
        <f>=COUNTIF(E1177:AI1177,"DV")</f>
      </c>
      <c r="AY1177" s="1">
        <f>=+AN1177+AO1177+AP1177+AQ1177+AR1177+AS1177+AT1177+AU1177</f>
      </c>
    </row>
    <row r="1178" ht="16" customHeight="1" spans="1:51" x14ac:dyDescent="0.25">
      <c r="A1178" s="45"/>
      <c r="B1178" s="46"/>
      <c r="C1178" s="46"/>
      <c r="D1178" s="46" t="s">
        <v>33</v>
      </c>
      <c r="E1178" s="46"/>
      <c r="F1178" s="46"/>
      <c r="G1178" s="46"/>
      <c r="H1178" s="46"/>
      <c r="I1178" s="46"/>
      <c r="J1178" s="46"/>
      <c r="K1178" s="46"/>
      <c r="L1178" s="46"/>
      <c r="M1178" s="46"/>
      <c r="N1178" s="46"/>
      <c r="O1178" s="46"/>
      <c r="P1178" s="46"/>
      <c r="Q1178" s="46"/>
      <c r="R1178" s="46"/>
      <c r="S1178" s="46"/>
      <c r="T1178" s="46"/>
      <c r="U1178" s="46"/>
      <c r="V1178" s="46"/>
      <c r="W1178" s="46"/>
      <c r="X1178" s="46"/>
      <c r="Y1178" s="46"/>
      <c r="Z1178" s="46"/>
      <c r="AA1178" s="46"/>
      <c r="AB1178" s="46"/>
      <c r="AC1178" s="46">
        <v>3</v>
      </c>
      <c r="AD1178" s="46">
        <v>3</v>
      </c>
      <c r="AE1178" s="46"/>
      <c r="AF1178" s="46"/>
      <c r="AG1178" s="46"/>
      <c r="AH1178" s="46"/>
      <c r="AI1178" s="46"/>
      <c r="AJ1178" s="46"/>
      <c r="AK1178" s="46"/>
      <c r="AL1178" s="46"/>
      <c r="AM1178" s="1"/>
      <c r="AN1178" s="1"/>
      <c r="AO1178" s="1"/>
      <c r="AP1178" s="1"/>
      <c r="AQ1178" s="1"/>
      <c r="AR1178" s="1"/>
      <c r="AS1178" s="1"/>
      <c r="AT1178" s="1"/>
      <c r="AU1178" s="1"/>
      <c r="AV1178" s="1"/>
      <c r="AW1178" s="1"/>
      <c r="AX1178" s="1"/>
      <c r="AY1178" s="1"/>
    </row>
    <row r="1179" ht="16" customHeight="1" spans="1:51" x14ac:dyDescent="0.25">
      <c r="A1179" s="45"/>
      <c r="B1179" s="46" t="s">
        <v>1230</v>
      </c>
      <c r="C1179" s="46" t="s">
        <v>1231</v>
      </c>
      <c r="D1179" s="46" t="s">
        <v>29</v>
      </c>
      <c r="E1179" s="46" t="s">
        <v>37</v>
      </c>
      <c r="F1179" s="46" t="s">
        <v>36</v>
      </c>
      <c r="G1179" s="46" t="s">
        <v>36</v>
      </c>
      <c r="H1179" s="46" t="s">
        <v>36</v>
      </c>
      <c r="I1179" s="46" t="s">
        <v>36</v>
      </c>
      <c r="J1179" s="46" t="s">
        <v>36</v>
      </c>
      <c r="K1179" s="46" t="s">
        <v>36</v>
      </c>
      <c r="L1179" s="46" t="s">
        <v>37</v>
      </c>
      <c r="M1179" s="46" t="s">
        <v>98</v>
      </c>
      <c r="N1179" s="46" t="s">
        <v>98</v>
      </c>
      <c r="O1179" s="46" t="s">
        <v>98</v>
      </c>
      <c r="P1179" s="46" t="s">
        <v>98</v>
      </c>
      <c r="Q1179" s="46" t="s">
        <v>98</v>
      </c>
      <c r="R1179" s="46" t="s">
        <v>98</v>
      </c>
      <c r="S1179" s="46" t="s">
        <v>37</v>
      </c>
      <c r="T1179" s="46" t="s">
        <v>98</v>
      </c>
      <c r="U1179" s="46" t="s">
        <v>98</v>
      </c>
      <c r="V1179" s="46" t="s">
        <v>98</v>
      </c>
      <c r="W1179" s="46" t="s">
        <v>98</v>
      </c>
      <c r="X1179" s="46" t="s">
        <v>36</v>
      </c>
      <c r="Y1179" s="46" t="s">
        <v>36</v>
      </c>
      <c r="Z1179" s="46" t="s">
        <v>37</v>
      </c>
      <c r="AA1179" s="46" t="s">
        <v>59</v>
      </c>
      <c r="AB1179" s="46" t="s">
        <v>59</v>
      </c>
      <c r="AC1179" s="46" t="s">
        <v>59</v>
      </c>
      <c r="AD1179" s="46" t="s">
        <v>59</v>
      </c>
      <c r="AE1179" s="46" t="s">
        <v>59</v>
      </c>
      <c r="AF1179" s="46" t="s">
        <v>59</v>
      </c>
      <c r="AG1179" s="46" t="s">
        <v>37</v>
      </c>
      <c r="AH1179" s="46" t="s">
        <v>43</v>
      </c>
      <c r="AI1179" s="46" t="s">
        <v>59</v>
      </c>
      <c r="AJ1179" s="46">
        <f>=SUM(E1180:AI1180)</f>
      </c>
      <c r="AK1179" s="46">
        <f>=+AY1179</f>
      </c>
      <c r="AL1179" s="46"/>
      <c r="AM1179" s="1"/>
      <c r="AN1179" s="1">
        <f>=COUNTIF(E1179:AI1179,"A")+COUNTIF(E1179:AI1179,"B")+COUNTIF(E1179:AI1179,"C")+COUNTIF(E1179:AI1179,"D")+COUNTIF(E1179:AI1179,"E")+COUNTIF(E1179:AI1179,"F")+COUNTIF(E1179:AI1179,"M")+COUNTIF(E1179:AI1179,"AB")+COUNTIF(E1179:AI1179,"UZ")+COUNTIF(E1179:AI1179,"G")+(COUNTIF(E1179:AI1179,"RT.")/2)+(COUNTIF(E1179:AI1179,"ÇRT.")/2)</f>
      </c>
      <c r="AO1179" s="1">
        <f>=COUNTIF(E1179:AI1179,"O")</f>
      </c>
      <c r="AP1179" s="1">
        <f>=COUNTIF(E1179:AI1179,"RT")+(COUNTIF(E1179:AI1179,"RT.")/2)</f>
      </c>
      <c r="AQ1179" s="1">
        <f>=COUNTIF(E1179:AI1179,"ÇRT")+(COUNTIF(E1179:AI1179,"ÇRT.")/2)</f>
      </c>
      <c r="AR1179" s="1">
        <f>=COUNTIF(E1179:AI1179,"ÇHT")</f>
      </c>
      <c r="AS1179" s="1">
        <f>=COUNTIF(E1179:AI1179,"Ö")+COUNTIF(E1179:AI1179,"T")</f>
      </c>
      <c r="AT1179" s="1">
        <f>=COUNTIF(E1179:AI1179,"Y")</f>
      </c>
      <c r="AU1179" s="1">
        <f>=COUNTIF(E1179:AI1179,"R.")</f>
      </c>
      <c r="AV1179" s="1">
        <f>=COUNTIF(E1179:AI1179,"Ü")</f>
      </c>
      <c r="AW1179" s="1">
        <f>=COUNTIF(E1179:AI1179,"R")</f>
      </c>
      <c r="AX1179" s="1">
        <f>=COUNTIF(E1179:AI1179,"DV")</f>
      </c>
      <c r="AY1179" s="1">
        <f>=+AN1179+AO1179+AP1179+AQ1179+AR1179+AS1179+AT1179+AU1179</f>
      </c>
    </row>
    <row r="1180" ht="16" customHeight="1" spans="1:51" x14ac:dyDescent="0.25">
      <c r="A1180" s="45"/>
      <c r="B1180" s="46"/>
      <c r="C1180" s="46"/>
      <c r="D1180" s="46" t="s">
        <v>33</v>
      </c>
      <c r="E1180" s="46"/>
      <c r="F1180" s="46"/>
      <c r="G1180" s="46"/>
      <c r="H1180" s="46"/>
      <c r="I1180" s="46"/>
      <c r="J1180" s="46"/>
      <c r="K1180" s="46"/>
      <c r="L1180" s="46"/>
      <c r="M1180" s="46"/>
      <c r="N1180" s="46"/>
      <c r="O1180" s="46"/>
      <c r="P1180" s="46"/>
      <c r="Q1180" s="46"/>
      <c r="R1180" s="46"/>
      <c r="S1180" s="46"/>
      <c r="T1180" s="46"/>
      <c r="U1180" s="46"/>
      <c r="V1180" s="46"/>
      <c r="W1180" s="46"/>
      <c r="X1180" s="46"/>
      <c r="Y1180" s="46"/>
      <c r="Z1180" s="46"/>
      <c r="AA1180" s="46"/>
      <c r="AB1180" s="46"/>
      <c r="AC1180" s="46"/>
      <c r="AD1180" s="46"/>
      <c r="AE1180" s="46"/>
      <c r="AF1180" s="46"/>
      <c r="AG1180" s="46"/>
      <c r="AH1180" s="46"/>
      <c r="AI1180" s="46"/>
      <c r="AJ1180" s="46"/>
      <c r="AK1180" s="46"/>
      <c r="AL1180" s="46"/>
      <c r="AM1180" s="1"/>
      <c r="AN1180" s="1"/>
      <c r="AO1180" s="1"/>
      <c r="AP1180" s="1"/>
      <c r="AQ1180" s="1"/>
      <c r="AR1180" s="1"/>
      <c r="AS1180" s="1"/>
      <c r="AT1180" s="1"/>
      <c r="AU1180" s="1"/>
      <c r="AV1180" s="1"/>
      <c r="AW1180" s="1"/>
      <c r="AX1180" s="1"/>
      <c r="AY1180" s="1"/>
    </row>
    <row r="1181" ht="16" customHeight="1" spans="1:51" x14ac:dyDescent="0.25">
      <c r="A1181" s="45"/>
      <c r="B1181" s="46" t="s">
        <v>1232</v>
      </c>
      <c r="C1181" s="46" t="s">
        <v>1233</v>
      </c>
      <c r="D1181" s="46" t="s">
        <v>29</v>
      </c>
      <c r="E1181" s="46" t="s">
        <v>59</v>
      </c>
      <c r="F1181" s="46" t="s">
        <v>98</v>
      </c>
      <c r="G1181" s="46" t="s">
        <v>98</v>
      </c>
      <c r="H1181" s="46" t="s">
        <v>98</v>
      </c>
      <c r="I1181" s="46" t="s">
        <v>98</v>
      </c>
      <c r="J1181" s="46" t="s">
        <v>37</v>
      </c>
      <c r="K1181" s="46" t="s">
        <v>98</v>
      </c>
      <c r="L1181" s="46" t="s">
        <v>98</v>
      </c>
      <c r="M1181" s="46" t="s">
        <v>98</v>
      </c>
      <c r="N1181" s="46" t="s">
        <v>98</v>
      </c>
      <c r="O1181" s="46" t="s">
        <v>98</v>
      </c>
      <c r="P1181" s="46" t="s">
        <v>98</v>
      </c>
      <c r="Q1181" s="46" t="s">
        <v>37</v>
      </c>
      <c r="R1181" s="46" t="s">
        <v>98</v>
      </c>
      <c r="S1181" s="46" t="s">
        <v>36</v>
      </c>
      <c r="T1181" s="46" t="s">
        <v>36</v>
      </c>
      <c r="U1181" s="46" t="s">
        <v>59</v>
      </c>
      <c r="V1181" s="46" t="s">
        <v>59</v>
      </c>
      <c r="W1181" s="46" t="s">
        <v>37</v>
      </c>
      <c r="X1181" s="46" t="s">
        <v>30</v>
      </c>
      <c r="Y1181" s="46" t="s">
        <v>30</v>
      </c>
      <c r="Z1181" s="46" t="s">
        <v>30</v>
      </c>
      <c r="AA1181" s="46" t="s">
        <v>30</v>
      </c>
      <c r="AB1181" s="46" t="s">
        <v>30</v>
      </c>
      <c r="AC1181" s="46" t="s">
        <v>30</v>
      </c>
      <c r="AD1181" s="46" t="s">
        <v>30</v>
      </c>
      <c r="AE1181" s="46" t="s">
        <v>30</v>
      </c>
      <c r="AF1181" s="46" t="s">
        <v>37</v>
      </c>
      <c r="AG1181" s="46" t="s">
        <v>30</v>
      </c>
      <c r="AH1181" s="46" t="s">
        <v>43</v>
      </c>
      <c r="AI1181" s="46" t="s">
        <v>30</v>
      </c>
      <c r="AJ1181" s="46">
        <f>=SUM(E1182:AI1182)</f>
      </c>
      <c r="AK1181" s="46">
        <f>=+AY1181</f>
      </c>
      <c r="AL1181" s="46"/>
      <c r="AM1181" s="1"/>
      <c r="AN1181" s="1">
        <f>=COUNTIF(E1181:AI1181,"A")+COUNTIF(E1181:AI1181,"B")+COUNTIF(E1181:AI1181,"C")+COUNTIF(E1181:AI1181,"D")+COUNTIF(E1181:AI1181,"E")+COUNTIF(E1181:AI1181,"F")+COUNTIF(E1181:AI1181,"M")+COUNTIF(E1181:AI1181,"AB")+COUNTIF(E1181:AI1181,"UZ")+COUNTIF(E1181:AI1181,"G")+(COUNTIF(E1181:AI1181,"RT.")/2)+(COUNTIF(E1181:AI1181,"ÇRT.")/2)</f>
      </c>
      <c r="AO1181" s="1">
        <f>=COUNTIF(E1181:AI1181,"O")</f>
      </c>
      <c r="AP1181" s="1">
        <f>=COUNTIF(E1181:AI1181,"RT")+(COUNTIF(E1181:AI1181,"RT.")/2)</f>
      </c>
      <c r="AQ1181" s="1">
        <f>=COUNTIF(E1181:AI1181,"ÇRT")+(COUNTIF(E1181:AI1181,"ÇRT.")/2)</f>
      </c>
      <c r="AR1181" s="1">
        <f>=COUNTIF(E1181:AI1181,"ÇHT")</f>
      </c>
      <c r="AS1181" s="1">
        <f>=COUNTIF(E1181:AI1181,"Ö")+COUNTIF(E1181:AI1181,"T")</f>
      </c>
      <c r="AT1181" s="1">
        <f>=COUNTIF(E1181:AI1181,"Y")</f>
      </c>
      <c r="AU1181" s="1">
        <f>=COUNTIF(E1181:AI1181,"R.")</f>
      </c>
      <c r="AV1181" s="1">
        <f>=COUNTIF(E1181:AI1181,"Ü")</f>
      </c>
      <c r="AW1181" s="1">
        <f>=COUNTIF(E1181:AI1181,"R")</f>
      </c>
      <c r="AX1181" s="1">
        <f>=COUNTIF(E1181:AI1181,"DV")</f>
      </c>
      <c r="AY1181" s="1">
        <f>=+AN1181+AO1181+AP1181+AQ1181+AR1181+AS1181+AT1181+AU1181</f>
      </c>
    </row>
    <row r="1182" ht="16" customHeight="1" spans="1:51" x14ac:dyDescent="0.25">
      <c r="A1182" s="45"/>
      <c r="B1182" s="46"/>
      <c r="C1182" s="46"/>
      <c r="D1182" s="46" t="s">
        <v>33</v>
      </c>
      <c r="E1182" s="46"/>
      <c r="F1182" s="46"/>
      <c r="G1182" s="46"/>
      <c r="H1182" s="46"/>
      <c r="I1182" s="46"/>
      <c r="J1182" s="46"/>
      <c r="K1182" s="46"/>
      <c r="L1182" s="46"/>
      <c r="M1182" s="46"/>
      <c r="N1182" s="46"/>
      <c r="O1182" s="46"/>
      <c r="P1182" s="46"/>
      <c r="Q1182" s="46"/>
      <c r="R1182" s="46"/>
      <c r="S1182" s="46"/>
      <c r="T1182" s="46"/>
      <c r="U1182" s="46"/>
      <c r="V1182" s="46"/>
      <c r="W1182" s="46"/>
      <c r="X1182" s="46"/>
      <c r="Y1182" s="46"/>
      <c r="Z1182" s="46"/>
      <c r="AA1182" s="46"/>
      <c r="AB1182" s="46"/>
      <c r="AC1182" s="46"/>
      <c r="AD1182" s="46"/>
      <c r="AE1182" s="46"/>
      <c r="AF1182" s="46"/>
      <c r="AG1182" s="46"/>
      <c r="AH1182" s="46"/>
      <c r="AI1182" s="46"/>
      <c r="AJ1182" s="46"/>
      <c r="AK1182" s="46"/>
      <c r="AL1182" s="46"/>
      <c r="AM1182" s="1"/>
      <c r="AN1182" s="1"/>
      <c r="AO1182" s="1"/>
      <c r="AP1182" s="1"/>
      <c r="AQ1182" s="1"/>
      <c r="AR1182" s="1"/>
      <c r="AS1182" s="1"/>
      <c r="AT1182" s="1"/>
      <c r="AU1182" s="1"/>
      <c r="AV1182" s="1"/>
      <c r="AW1182" s="1"/>
      <c r="AX1182" s="1"/>
      <c r="AY1182" s="1"/>
    </row>
    <row r="1183" ht="16" customHeight="1" spans="1:51" x14ac:dyDescent="0.25">
      <c r="A1183" s="45"/>
      <c r="B1183" s="46" t="s">
        <v>1234</v>
      </c>
      <c r="C1183" s="46" t="s">
        <v>1235</v>
      </c>
      <c r="D1183" s="46" t="s">
        <v>29</v>
      </c>
      <c r="E1183" s="46" t="s">
        <v>37</v>
      </c>
      <c r="F1183" s="46" t="s">
        <v>36</v>
      </c>
      <c r="G1183" s="46" t="s">
        <v>36</v>
      </c>
      <c r="H1183" s="46" t="s">
        <v>36</v>
      </c>
      <c r="I1183" s="46" t="s">
        <v>36</v>
      </c>
      <c r="J1183" s="46" t="s">
        <v>36</v>
      </c>
      <c r="K1183" s="46" t="s">
        <v>36</v>
      </c>
      <c r="L1183" s="46" t="s">
        <v>37</v>
      </c>
      <c r="M1183" s="46" t="s">
        <v>36</v>
      </c>
      <c r="N1183" s="46" t="s">
        <v>36</v>
      </c>
      <c r="O1183" s="46" t="s">
        <v>36</v>
      </c>
      <c r="P1183" s="46" t="s">
        <v>36</v>
      </c>
      <c r="Q1183" s="46" t="s">
        <v>36</v>
      </c>
      <c r="R1183" s="46" t="s">
        <v>36</v>
      </c>
      <c r="S1183" s="46" t="s">
        <v>37</v>
      </c>
      <c r="T1183" s="46" t="s">
        <v>36</v>
      </c>
      <c r="U1183" s="46" t="s">
        <v>36</v>
      </c>
      <c r="V1183" s="46" t="s">
        <v>36</v>
      </c>
      <c r="W1183" s="46" t="s">
        <v>36</v>
      </c>
      <c r="X1183" s="46" t="s">
        <v>36</v>
      </c>
      <c r="Y1183" s="46" t="s">
        <v>36</v>
      </c>
      <c r="Z1183" s="46" t="s">
        <v>37</v>
      </c>
      <c r="AA1183" s="46" t="s">
        <v>36</v>
      </c>
      <c r="AB1183" s="46" t="s">
        <v>36</v>
      </c>
      <c r="AC1183" s="46" t="s">
        <v>36</v>
      </c>
      <c r="AD1183" s="46" t="s">
        <v>36</v>
      </c>
      <c r="AE1183" s="46" t="s">
        <v>36</v>
      </c>
      <c r="AF1183" s="46" t="s">
        <v>36</v>
      </c>
      <c r="AG1183" s="46" t="s">
        <v>37</v>
      </c>
      <c r="AH1183" s="46" t="s">
        <v>43</v>
      </c>
      <c r="AI1183" s="46" t="s">
        <v>36</v>
      </c>
      <c r="AJ1183" s="46">
        <f>=SUM(E1184:AI1184)</f>
      </c>
      <c r="AK1183" s="46">
        <f>=+AY1183</f>
      </c>
      <c r="AL1183" s="46"/>
      <c r="AM1183" s="1"/>
      <c r="AN1183" s="1">
        <f>=COUNTIF(E1183:AI1183,"A")+COUNTIF(E1183:AI1183,"B")+COUNTIF(E1183:AI1183,"C")+COUNTIF(E1183:AI1183,"D")+COUNTIF(E1183:AI1183,"E")+COUNTIF(E1183:AI1183,"F")+COUNTIF(E1183:AI1183,"M")+COUNTIF(E1183:AI1183,"AB")+COUNTIF(E1183:AI1183,"UZ")+COUNTIF(E1183:AI1183,"G")+(COUNTIF(E1183:AI1183,"RT.")/2)+(COUNTIF(E1183:AI1183,"ÇRT.")/2)</f>
      </c>
      <c r="AO1183" s="1">
        <f>=COUNTIF(E1183:AI1183,"O")</f>
      </c>
      <c r="AP1183" s="1">
        <f>=COUNTIF(E1183:AI1183,"RT")+(COUNTIF(E1183:AI1183,"RT.")/2)</f>
      </c>
      <c r="AQ1183" s="1">
        <f>=COUNTIF(E1183:AI1183,"ÇRT")+(COUNTIF(E1183:AI1183,"ÇRT.")/2)</f>
      </c>
      <c r="AR1183" s="1">
        <f>=COUNTIF(E1183:AI1183,"ÇHT")</f>
      </c>
      <c r="AS1183" s="1">
        <f>=COUNTIF(E1183:AI1183,"Ö")+COUNTIF(E1183:AI1183,"T")</f>
      </c>
      <c r="AT1183" s="1">
        <f>=COUNTIF(E1183:AI1183,"Y")</f>
      </c>
      <c r="AU1183" s="1">
        <f>=COUNTIF(E1183:AI1183,"R.")</f>
      </c>
      <c r="AV1183" s="1">
        <f>=COUNTIF(E1183:AI1183,"Ü")</f>
      </c>
      <c r="AW1183" s="1">
        <f>=COUNTIF(E1183:AI1183,"R")</f>
      </c>
      <c r="AX1183" s="1">
        <f>=COUNTIF(E1183:AI1183,"DV")</f>
      </c>
      <c r="AY1183" s="1">
        <f>=+AN1183+AO1183+AP1183+AQ1183+AR1183+AS1183+AT1183+AU1183</f>
      </c>
    </row>
    <row r="1184" ht="16" customHeight="1" spans="1:51" x14ac:dyDescent="0.25">
      <c r="A1184" s="45"/>
      <c r="B1184" s="46"/>
      <c r="C1184" s="46"/>
      <c r="D1184" s="46" t="s">
        <v>33</v>
      </c>
      <c r="E1184" s="46"/>
      <c r="F1184" s="46"/>
      <c r="G1184" s="46"/>
      <c r="H1184" s="46"/>
      <c r="I1184" s="46"/>
      <c r="J1184" s="46"/>
      <c r="K1184" s="46"/>
      <c r="L1184" s="46"/>
      <c r="M1184" s="46"/>
      <c r="N1184" s="46"/>
      <c r="O1184" s="46"/>
      <c r="P1184" s="46"/>
      <c r="Q1184" s="46"/>
      <c r="R1184" s="46"/>
      <c r="S1184" s="46"/>
      <c r="T1184" s="46"/>
      <c r="U1184" s="46"/>
      <c r="V1184" s="46"/>
      <c r="W1184" s="46"/>
      <c r="X1184" s="46"/>
      <c r="Y1184" s="46"/>
      <c r="Z1184" s="46"/>
      <c r="AA1184" s="46"/>
      <c r="AB1184" s="46"/>
      <c r="AC1184" s="46"/>
      <c r="AD1184" s="46"/>
      <c r="AE1184" s="46"/>
      <c r="AF1184" s="46"/>
      <c r="AG1184" s="46"/>
      <c r="AH1184" s="46"/>
      <c r="AI1184" s="46"/>
      <c r="AJ1184" s="46"/>
      <c r="AK1184" s="46"/>
      <c r="AL1184" s="46"/>
      <c r="AM1184" s="1"/>
      <c r="AN1184" s="1"/>
      <c r="AO1184" s="1"/>
      <c r="AP1184" s="1"/>
      <c r="AQ1184" s="1"/>
      <c r="AR1184" s="1"/>
      <c r="AS1184" s="1"/>
      <c r="AT1184" s="1"/>
      <c r="AU1184" s="1"/>
      <c r="AV1184" s="1"/>
      <c r="AW1184" s="1"/>
      <c r="AX1184" s="1"/>
      <c r="AY1184" s="1"/>
    </row>
    <row r="1185" ht="16" customHeight="1" spans="1:51" x14ac:dyDescent="0.25">
      <c r="A1185" s="45"/>
      <c r="B1185" s="46" t="s">
        <v>1236</v>
      </c>
      <c r="C1185" s="46" t="s">
        <v>1237</v>
      </c>
      <c r="D1185" s="46" t="s">
        <v>29</v>
      </c>
      <c r="E1185" s="46" t="s">
        <v>36</v>
      </c>
      <c r="F1185" s="46" t="s">
        <v>36</v>
      </c>
      <c r="G1185" s="46" t="s">
        <v>59</v>
      </c>
      <c r="H1185" s="46" t="s">
        <v>59</v>
      </c>
      <c r="I1185" s="46" t="s">
        <v>37</v>
      </c>
      <c r="J1185" s="46" t="s">
        <v>30</v>
      </c>
      <c r="K1185" s="46" t="s">
        <v>30</v>
      </c>
      <c r="L1185" s="46" t="s">
        <v>30</v>
      </c>
      <c r="M1185" s="46" t="s">
        <v>30</v>
      </c>
      <c r="N1185" s="46" t="s">
        <v>30</v>
      </c>
      <c r="O1185" s="46" t="s">
        <v>30</v>
      </c>
      <c r="P1185" s="46" t="s">
        <v>30</v>
      </c>
      <c r="Q1185" s="46" t="s">
        <v>37</v>
      </c>
      <c r="R1185" s="46" t="s">
        <v>36</v>
      </c>
      <c r="S1185" s="46" t="s">
        <v>36</v>
      </c>
      <c r="T1185" s="46" t="s">
        <v>59</v>
      </c>
      <c r="U1185" s="46" t="s">
        <v>46</v>
      </c>
      <c r="V1185" s="46" t="s">
        <v>36</v>
      </c>
      <c r="W1185" s="46" t="s">
        <v>36</v>
      </c>
      <c r="X1185" s="46" t="s">
        <v>36</v>
      </c>
      <c r="Y1185" s="46" t="s">
        <v>37</v>
      </c>
      <c r="Z1185" s="46" t="s">
        <v>36</v>
      </c>
      <c r="AA1185" s="46" t="s">
        <v>59</v>
      </c>
      <c r="AB1185" s="46" t="s">
        <v>59</v>
      </c>
      <c r="AC1185" s="46" t="s">
        <v>59</v>
      </c>
      <c r="AD1185" s="46" t="s">
        <v>46</v>
      </c>
      <c r="AE1185" s="46" t="s">
        <v>37</v>
      </c>
      <c r="AF1185" s="46" t="s">
        <v>30</v>
      </c>
      <c r="AG1185" s="46" t="s">
        <v>59</v>
      </c>
      <c r="AH1185" s="46" t="s">
        <v>43</v>
      </c>
      <c r="AI1185" s="46" t="s">
        <v>59</v>
      </c>
      <c r="AJ1185" s="46">
        <f>=SUM(E1186:AI1186)</f>
      </c>
      <c r="AK1185" s="46">
        <f>=+AY1185</f>
      </c>
      <c r="AL1185" s="46"/>
      <c r="AM1185" s="1"/>
      <c r="AN1185" s="1">
        <f>=COUNTIF(E1185:AI1185,"A")+COUNTIF(E1185:AI1185,"B")+COUNTIF(E1185:AI1185,"C")+COUNTIF(E1185:AI1185,"D")+COUNTIF(E1185:AI1185,"E")+COUNTIF(E1185:AI1185,"F")+COUNTIF(E1185:AI1185,"M")+COUNTIF(E1185:AI1185,"AB")+COUNTIF(E1185:AI1185,"UZ")+COUNTIF(E1185:AI1185,"G")+(COUNTIF(E1185:AI1185,"RT.")/2)+(COUNTIF(E1185:AI1185,"ÇRT.")/2)</f>
      </c>
      <c r="AO1185" s="1">
        <f>=COUNTIF(E1185:AI1185,"O")</f>
      </c>
      <c r="AP1185" s="1">
        <f>=COUNTIF(E1185:AI1185,"RT")+(COUNTIF(E1185:AI1185,"RT.")/2)</f>
      </c>
      <c r="AQ1185" s="1">
        <f>=COUNTIF(E1185:AI1185,"ÇRT")+(COUNTIF(E1185:AI1185,"ÇRT.")/2)</f>
      </c>
      <c r="AR1185" s="1">
        <f>=COUNTIF(E1185:AI1185,"ÇHT")</f>
      </c>
      <c r="AS1185" s="1">
        <f>=COUNTIF(E1185:AI1185,"Ö")+COUNTIF(E1185:AI1185,"T")</f>
      </c>
      <c r="AT1185" s="1">
        <f>=COUNTIF(E1185:AI1185,"Y")</f>
      </c>
      <c r="AU1185" s="1">
        <f>=COUNTIF(E1185:AI1185,"R.")</f>
      </c>
      <c r="AV1185" s="1">
        <f>=COUNTIF(E1185:AI1185,"Ü")</f>
      </c>
      <c r="AW1185" s="1">
        <f>=COUNTIF(E1185:AI1185,"R")</f>
      </c>
      <c r="AX1185" s="1">
        <f>=COUNTIF(E1185:AI1185,"DV")</f>
      </c>
      <c r="AY1185" s="1">
        <f>=+AN1185+AO1185+AP1185+AQ1185+AR1185+AS1185+AT1185+AU1185</f>
      </c>
    </row>
    <row r="1186" ht="16" customHeight="1" spans="1:51" x14ac:dyDescent="0.25">
      <c r="A1186" s="45"/>
      <c r="B1186" s="46"/>
      <c r="C1186" s="46"/>
      <c r="D1186" s="46" t="s">
        <v>33</v>
      </c>
      <c r="E1186" s="46"/>
      <c r="F1186" s="46"/>
      <c r="G1186" s="46"/>
      <c r="H1186" s="46"/>
      <c r="I1186" s="46"/>
      <c r="J1186" s="46"/>
      <c r="K1186" s="46"/>
      <c r="L1186" s="46"/>
      <c r="M1186" s="46"/>
      <c r="N1186" s="46"/>
      <c r="O1186" s="46"/>
      <c r="P1186" s="46"/>
      <c r="Q1186" s="46"/>
      <c r="R1186" s="46"/>
      <c r="S1186" s="46"/>
      <c r="T1186" s="46"/>
      <c r="U1186" s="46"/>
      <c r="V1186" s="46"/>
      <c r="W1186" s="46"/>
      <c r="X1186" s="46"/>
      <c r="Y1186" s="46"/>
      <c r="Z1186" s="46"/>
      <c r="AA1186" s="46"/>
      <c r="AB1186" s="46"/>
      <c r="AC1186" s="46"/>
      <c r="AD1186" s="46"/>
      <c r="AE1186" s="46"/>
      <c r="AF1186" s="46"/>
      <c r="AG1186" s="46"/>
      <c r="AH1186" s="46"/>
      <c r="AI1186" s="46"/>
      <c r="AJ1186" s="46"/>
      <c r="AK1186" s="46"/>
      <c r="AL1186" s="46"/>
      <c r="AM1186" s="1"/>
      <c r="AN1186" s="1"/>
      <c r="AO1186" s="1"/>
      <c r="AP1186" s="1"/>
      <c r="AQ1186" s="1"/>
      <c r="AR1186" s="1"/>
      <c r="AS1186" s="1"/>
      <c r="AT1186" s="1"/>
      <c r="AU1186" s="1"/>
      <c r="AV1186" s="1"/>
      <c r="AW1186" s="1"/>
      <c r="AX1186" s="1"/>
      <c r="AY1186" s="1"/>
    </row>
    <row r="1187" ht="16" customHeight="1" spans="1:51" x14ac:dyDescent="0.25">
      <c r="A1187" s="45"/>
      <c r="B1187" s="46" t="s">
        <v>1238</v>
      </c>
      <c r="C1187" s="46" t="s">
        <v>1239</v>
      </c>
      <c r="D1187" s="46" t="s">
        <v>29</v>
      </c>
      <c r="E1187" s="46" t="s">
        <v>36</v>
      </c>
      <c r="F1187" s="46" t="s">
        <v>36</v>
      </c>
      <c r="G1187" s="46" t="s">
        <v>36</v>
      </c>
      <c r="H1187" s="46" t="s">
        <v>37</v>
      </c>
      <c r="I1187" s="46" t="s">
        <v>36</v>
      </c>
      <c r="J1187" s="46" t="s">
        <v>36</v>
      </c>
      <c r="K1187" s="46" t="s">
        <v>36</v>
      </c>
      <c r="L1187" s="46" t="s">
        <v>36</v>
      </c>
      <c r="M1187" s="46" t="s">
        <v>36</v>
      </c>
      <c r="N1187" s="46" t="s">
        <v>36</v>
      </c>
      <c r="O1187" s="46" t="s">
        <v>37</v>
      </c>
      <c r="P1187" s="46" t="s">
        <v>36</v>
      </c>
      <c r="Q1187" s="46" t="s">
        <v>36</v>
      </c>
      <c r="R1187" s="46" t="s">
        <v>36</v>
      </c>
      <c r="S1187" s="46" t="s">
        <v>36</v>
      </c>
      <c r="T1187" s="46" t="s">
        <v>36</v>
      </c>
      <c r="U1187" s="46" t="s">
        <v>36</v>
      </c>
      <c r="V1187" s="46" t="s">
        <v>37</v>
      </c>
      <c r="W1187" s="46" t="s">
        <v>36</v>
      </c>
      <c r="X1187" s="46" t="s">
        <v>36</v>
      </c>
      <c r="Y1187" s="46" t="s">
        <v>36</v>
      </c>
      <c r="Z1187" s="46" t="s">
        <v>36</v>
      </c>
      <c r="AA1187" s="46" t="s">
        <v>36</v>
      </c>
      <c r="AB1187" s="46" t="s">
        <v>36</v>
      </c>
      <c r="AC1187" s="46" t="s">
        <v>37</v>
      </c>
      <c r="AD1187" s="46" t="s">
        <v>36</v>
      </c>
      <c r="AE1187" s="46" t="s">
        <v>36</v>
      </c>
      <c r="AF1187" s="46" t="s">
        <v>36</v>
      </c>
      <c r="AG1187" s="46" t="s">
        <v>36</v>
      </c>
      <c r="AH1187" s="46" t="s">
        <v>43</v>
      </c>
      <c r="AI1187" s="46" t="s">
        <v>36</v>
      </c>
      <c r="AJ1187" s="46">
        <f>=SUM(E1188:AI1188)</f>
      </c>
      <c r="AK1187" s="46">
        <f>=+AY1187</f>
      </c>
      <c r="AL1187" s="46"/>
      <c r="AM1187" s="1"/>
      <c r="AN1187" s="1">
        <f>=COUNTIF(E1187:AI1187,"A")+COUNTIF(E1187:AI1187,"B")+COUNTIF(E1187:AI1187,"C")+COUNTIF(E1187:AI1187,"D")+COUNTIF(E1187:AI1187,"E")+COUNTIF(E1187:AI1187,"F")+COUNTIF(E1187:AI1187,"M")+COUNTIF(E1187:AI1187,"AB")+COUNTIF(E1187:AI1187,"UZ")+COUNTIF(E1187:AI1187,"G")+(COUNTIF(E1187:AI1187,"RT.")/2)+(COUNTIF(E1187:AI1187,"ÇRT.")/2)</f>
      </c>
      <c r="AO1187" s="1">
        <f>=COUNTIF(E1187:AI1187,"O")</f>
      </c>
      <c r="AP1187" s="1">
        <f>=COUNTIF(E1187:AI1187,"RT")+(COUNTIF(E1187:AI1187,"RT.")/2)</f>
      </c>
      <c r="AQ1187" s="1">
        <f>=COUNTIF(E1187:AI1187,"ÇRT")+(COUNTIF(E1187:AI1187,"ÇRT.")/2)</f>
      </c>
      <c r="AR1187" s="1">
        <f>=COUNTIF(E1187:AI1187,"ÇHT")</f>
      </c>
      <c r="AS1187" s="1">
        <f>=COUNTIF(E1187:AI1187,"Ö")+COUNTIF(E1187:AI1187,"T")</f>
      </c>
      <c r="AT1187" s="1">
        <f>=COUNTIF(E1187:AI1187,"Y")</f>
      </c>
      <c r="AU1187" s="1">
        <f>=COUNTIF(E1187:AI1187,"R.")</f>
      </c>
      <c r="AV1187" s="1">
        <f>=COUNTIF(E1187:AI1187,"Ü")</f>
      </c>
      <c r="AW1187" s="1">
        <f>=COUNTIF(E1187:AI1187,"R")</f>
      </c>
      <c r="AX1187" s="1">
        <f>=COUNTIF(E1187:AI1187,"DV")</f>
      </c>
      <c r="AY1187" s="1">
        <f>=+AN1187+AO1187+AP1187+AQ1187+AR1187+AS1187+AT1187+AU1187</f>
      </c>
    </row>
    <row r="1188" ht="16" customHeight="1" spans="1:51" x14ac:dyDescent="0.25">
      <c r="A1188" s="45"/>
      <c r="B1188" s="46"/>
      <c r="C1188" s="46"/>
      <c r="D1188" s="46" t="s">
        <v>33</v>
      </c>
      <c r="E1188" s="46"/>
      <c r="F1188" s="46"/>
      <c r="G1188" s="46"/>
      <c r="H1188" s="46"/>
      <c r="I1188" s="46"/>
      <c r="J1188" s="46"/>
      <c r="K1188" s="46"/>
      <c r="L1188" s="46"/>
      <c r="M1188" s="46"/>
      <c r="N1188" s="46"/>
      <c r="O1188" s="46"/>
      <c r="P1188" s="46"/>
      <c r="Q1188" s="46"/>
      <c r="R1188" s="46"/>
      <c r="S1188" s="46"/>
      <c r="T1188" s="46"/>
      <c r="U1188" s="46"/>
      <c r="V1188" s="46"/>
      <c r="W1188" s="46"/>
      <c r="X1188" s="46"/>
      <c r="Y1188" s="46"/>
      <c r="Z1188" s="46"/>
      <c r="AA1188" s="46"/>
      <c r="AB1188" s="46"/>
      <c r="AC1188" s="46"/>
      <c r="AD1188" s="46"/>
      <c r="AE1188" s="46"/>
      <c r="AF1188" s="46"/>
      <c r="AG1188" s="46"/>
      <c r="AH1188" s="46"/>
      <c r="AI1188" s="46"/>
      <c r="AJ1188" s="46"/>
      <c r="AK1188" s="46"/>
      <c r="AL1188" s="46"/>
      <c r="AM1188" s="1"/>
      <c r="AN1188" s="1"/>
      <c r="AO1188" s="1"/>
      <c r="AP1188" s="1"/>
      <c r="AQ1188" s="1"/>
      <c r="AR1188" s="1"/>
      <c r="AS1188" s="1"/>
      <c r="AT1188" s="1"/>
      <c r="AU1188" s="1"/>
      <c r="AV1188" s="1"/>
      <c r="AW1188" s="1"/>
      <c r="AX1188" s="1"/>
      <c r="AY1188" s="1"/>
    </row>
    <row r="1189" ht="16" customHeight="1" spans="1:51" x14ac:dyDescent="0.25">
      <c r="A1189" s="45"/>
      <c r="B1189" s="46" t="s">
        <v>1240</v>
      </c>
      <c r="C1189" s="46" t="s">
        <v>1241</v>
      </c>
      <c r="D1189" s="46" t="s">
        <v>29</v>
      </c>
      <c r="E1189" s="46" t="s">
        <v>36</v>
      </c>
      <c r="F1189" s="46" t="s">
        <v>37</v>
      </c>
      <c r="G1189" s="46" t="s">
        <v>36</v>
      </c>
      <c r="H1189" s="46" t="s">
        <v>36</v>
      </c>
      <c r="I1189" s="46" t="s">
        <v>36</v>
      </c>
      <c r="J1189" s="46" t="s">
        <v>36</v>
      </c>
      <c r="K1189" s="46" t="s">
        <v>36</v>
      </c>
      <c r="L1189" s="46" t="s">
        <v>36</v>
      </c>
      <c r="M1189" s="46" t="s">
        <v>37</v>
      </c>
      <c r="N1189" s="46" t="s">
        <v>36</v>
      </c>
      <c r="O1189" s="46" t="s">
        <v>36</v>
      </c>
      <c r="P1189" s="46" t="s">
        <v>36</v>
      </c>
      <c r="Q1189" s="46" t="s">
        <v>36</v>
      </c>
      <c r="R1189" s="46" t="s">
        <v>36</v>
      </c>
      <c r="S1189" s="46" t="s">
        <v>36</v>
      </c>
      <c r="T1189" s="46" t="s">
        <v>37</v>
      </c>
      <c r="U1189" s="46" t="s">
        <v>36</v>
      </c>
      <c r="V1189" s="46" t="s">
        <v>36</v>
      </c>
      <c r="W1189" s="46" t="s">
        <v>98</v>
      </c>
      <c r="X1189" s="46" t="s">
        <v>98</v>
      </c>
      <c r="Y1189" s="46" t="s">
        <v>98</v>
      </c>
      <c r="Z1189" s="46" t="s">
        <v>98</v>
      </c>
      <c r="AA1189" s="46" t="s">
        <v>37</v>
      </c>
      <c r="AB1189" s="46" t="s">
        <v>98</v>
      </c>
      <c r="AC1189" s="46" t="s">
        <v>98</v>
      </c>
      <c r="AD1189" s="46" t="s">
        <v>98</v>
      </c>
      <c r="AE1189" s="46" t="s">
        <v>98</v>
      </c>
      <c r="AF1189" s="46" t="s">
        <v>98</v>
      </c>
      <c r="AG1189" s="46" t="s">
        <v>98</v>
      </c>
      <c r="AH1189" s="46" t="s">
        <v>37</v>
      </c>
      <c r="AI1189" s="46" t="s">
        <v>36</v>
      </c>
      <c r="AJ1189" s="46">
        <f>=SUM(E1190:AI1190)</f>
      </c>
      <c r="AK1189" s="46">
        <f>=+AY1189</f>
      </c>
      <c r="AL1189" s="46"/>
      <c r="AM1189" s="1"/>
      <c r="AN1189" s="1">
        <f>=COUNTIF(E1189:AI1189,"A")+COUNTIF(E1189:AI1189,"B")+COUNTIF(E1189:AI1189,"C")+COUNTIF(E1189:AI1189,"D")+COUNTIF(E1189:AI1189,"E")+COUNTIF(E1189:AI1189,"F")+COUNTIF(E1189:AI1189,"M")+COUNTIF(E1189:AI1189,"AB")+COUNTIF(E1189:AI1189,"UZ")+COUNTIF(E1189:AI1189,"G")+(COUNTIF(E1189:AI1189,"RT.")/2)+(COUNTIF(E1189:AI1189,"ÇRT.")/2)</f>
      </c>
      <c r="AO1189" s="1">
        <f>=COUNTIF(E1189:AI1189,"O")</f>
      </c>
      <c r="AP1189" s="1">
        <f>=COUNTIF(E1189:AI1189,"RT")+(COUNTIF(E1189:AI1189,"RT.")/2)</f>
      </c>
      <c r="AQ1189" s="1">
        <f>=COUNTIF(E1189:AI1189,"ÇRT")+(COUNTIF(E1189:AI1189,"ÇRT.")/2)</f>
      </c>
      <c r="AR1189" s="1">
        <f>=COUNTIF(E1189:AI1189,"ÇHT")</f>
      </c>
      <c r="AS1189" s="1">
        <f>=COUNTIF(E1189:AI1189,"Ö")+COUNTIF(E1189:AI1189,"T")</f>
      </c>
      <c r="AT1189" s="1">
        <f>=COUNTIF(E1189:AI1189,"Y")</f>
      </c>
      <c r="AU1189" s="1">
        <f>=COUNTIF(E1189:AI1189,"R.")</f>
      </c>
      <c r="AV1189" s="1">
        <f>=COUNTIF(E1189:AI1189,"Ü")</f>
      </c>
      <c r="AW1189" s="1">
        <f>=COUNTIF(E1189:AI1189,"R")</f>
      </c>
      <c r="AX1189" s="1">
        <f>=COUNTIF(E1189:AI1189,"DV")</f>
      </c>
      <c r="AY1189" s="1">
        <f>=+AN1189+AO1189+AP1189+AQ1189+AR1189+AS1189+AT1189+AU1189</f>
      </c>
    </row>
    <row r="1190" ht="16" customHeight="1" spans="1:51" x14ac:dyDescent="0.25">
      <c r="A1190" s="45"/>
      <c r="B1190" s="46"/>
      <c r="C1190" s="46"/>
      <c r="D1190" s="46" t="s">
        <v>33</v>
      </c>
      <c r="E1190" s="46"/>
      <c r="F1190" s="46"/>
      <c r="G1190" s="46"/>
      <c r="H1190" s="46"/>
      <c r="I1190" s="46"/>
      <c r="J1190" s="46"/>
      <c r="K1190" s="46"/>
      <c r="L1190" s="46"/>
      <c r="M1190" s="46"/>
      <c r="N1190" s="46"/>
      <c r="O1190" s="46"/>
      <c r="P1190" s="46"/>
      <c r="Q1190" s="46"/>
      <c r="R1190" s="46"/>
      <c r="S1190" s="46"/>
      <c r="T1190" s="46"/>
      <c r="U1190" s="46"/>
      <c r="V1190" s="46"/>
      <c r="W1190" s="46">
        <v>0</v>
      </c>
      <c r="X1190" s="46"/>
      <c r="Y1190" s="46"/>
      <c r="Z1190" s="46"/>
      <c r="AA1190" s="46"/>
      <c r="AB1190" s="46"/>
      <c r="AC1190" s="46"/>
      <c r="AD1190" s="46"/>
      <c r="AE1190" s="46"/>
      <c r="AF1190" s="46"/>
      <c r="AG1190" s="46"/>
      <c r="AH1190" s="46"/>
      <c r="AI1190" s="46"/>
      <c r="AJ1190" s="46"/>
      <c r="AK1190" s="46"/>
      <c r="AL1190" s="46"/>
      <c r="AM1190" s="1"/>
      <c r="AN1190" s="1"/>
      <c r="AO1190" s="1"/>
      <c r="AP1190" s="1"/>
      <c r="AQ1190" s="1"/>
      <c r="AR1190" s="1"/>
      <c r="AS1190" s="1"/>
      <c r="AT1190" s="1"/>
      <c r="AU1190" s="1"/>
      <c r="AV1190" s="1"/>
      <c r="AW1190" s="1"/>
      <c r="AX1190" s="1"/>
      <c r="AY1190" s="1"/>
    </row>
    <row r="1191" ht="16" customHeight="1" spans="1:51" x14ac:dyDescent="0.25">
      <c r="A1191" s="45"/>
      <c r="B1191" s="46" t="s">
        <v>1242</v>
      </c>
      <c r="C1191" s="46" t="s">
        <v>1243</v>
      </c>
      <c r="D1191" s="46" t="s">
        <v>29</v>
      </c>
      <c r="E1191" s="46"/>
      <c r="F1191" s="46"/>
      <c r="G1191" s="46"/>
      <c r="H1191" s="46"/>
      <c r="I1191" s="46"/>
      <c r="J1191" s="46"/>
      <c r="K1191" s="46"/>
      <c r="L1191" s="46"/>
      <c r="M1191" s="46"/>
      <c r="N1191" s="46"/>
      <c r="O1191" s="46"/>
      <c r="P1191" s="46"/>
      <c r="Q1191" s="46"/>
      <c r="R1191" s="46"/>
      <c r="S1191" s="46"/>
      <c r="T1191" s="46"/>
      <c r="U1191" s="46"/>
      <c r="V1191" s="46"/>
      <c r="W1191" s="46"/>
      <c r="X1191" s="46"/>
      <c r="Y1191" s="46"/>
      <c r="Z1191" s="46"/>
      <c r="AA1191" s="46"/>
      <c r="AB1191" s="46"/>
      <c r="AC1191" s="46"/>
      <c r="AD1191" s="46"/>
      <c r="AE1191" s="46"/>
      <c r="AF1191" s="46"/>
      <c r="AG1191" s="46"/>
      <c r="AH1191" s="46"/>
      <c r="AI1191" s="46"/>
      <c r="AJ1191" s="46">
        <f>=SUM(E1192:AI1192)</f>
      </c>
      <c r="AK1191" s="46">
        <f>=+AY1191</f>
      </c>
      <c r="AL1191" s="46"/>
      <c r="AM1191" s="1"/>
      <c r="AN1191" s="1">
        <f>=COUNTIF(E1191:AI1191,"A")+COUNTIF(E1191:AI1191,"B")+COUNTIF(E1191:AI1191,"C")+COUNTIF(E1191:AI1191,"D")+COUNTIF(E1191:AI1191,"E")+COUNTIF(E1191:AI1191,"F")+COUNTIF(E1191:AI1191,"M")+COUNTIF(E1191:AI1191,"AB")+COUNTIF(E1191:AI1191,"UZ")+COUNTIF(E1191:AI1191,"G")+(COUNTIF(E1191:AI1191,"RT.")/2)+(COUNTIF(E1191:AI1191,"ÇRT.")/2)</f>
      </c>
      <c r="AO1191" s="1">
        <f>=COUNTIF(E1191:AI1191,"O")</f>
      </c>
      <c r="AP1191" s="1">
        <f>=COUNTIF(E1191:AI1191,"RT")+(COUNTIF(E1191:AI1191,"RT.")/2)</f>
      </c>
      <c r="AQ1191" s="1">
        <f>=COUNTIF(E1191:AI1191,"ÇRT")+(COUNTIF(E1191:AI1191,"ÇRT.")/2)</f>
      </c>
      <c r="AR1191" s="1">
        <f>=COUNTIF(E1191:AI1191,"ÇHT")</f>
      </c>
      <c r="AS1191" s="1">
        <f>=COUNTIF(E1191:AI1191,"Ö")+COUNTIF(E1191:AI1191,"T")</f>
      </c>
      <c r="AT1191" s="1">
        <f>=COUNTIF(E1191:AI1191,"Y")</f>
      </c>
      <c r="AU1191" s="1">
        <f>=COUNTIF(E1191:AI1191,"R.")</f>
      </c>
      <c r="AV1191" s="1">
        <f>=COUNTIF(E1191:AI1191,"Ü")</f>
      </c>
      <c r="AW1191" s="1">
        <f>=COUNTIF(E1191:AI1191,"R")</f>
      </c>
      <c r="AX1191" s="1">
        <f>=COUNTIF(E1191:AI1191,"DV")</f>
      </c>
      <c r="AY1191" s="1">
        <f>=+AN1191+AO1191+AP1191+AQ1191+AR1191+AS1191+AT1191+AU1191</f>
      </c>
    </row>
    <row r="1192" ht="16" customHeight="1" spans="1:51" x14ac:dyDescent="0.25">
      <c r="A1192" s="45"/>
      <c r="B1192" s="46"/>
      <c r="C1192" s="46"/>
      <c r="D1192" s="46" t="s">
        <v>33</v>
      </c>
      <c r="E1192" s="46"/>
      <c r="F1192" s="46"/>
      <c r="G1192" s="46"/>
      <c r="H1192" s="46"/>
      <c r="I1192" s="46"/>
      <c r="J1192" s="46"/>
      <c r="K1192" s="46"/>
      <c r="L1192" s="46"/>
      <c r="M1192" s="46"/>
      <c r="N1192" s="46"/>
      <c r="O1192" s="46"/>
      <c r="P1192" s="46"/>
      <c r="Q1192" s="46"/>
      <c r="R1192" s="46"/>
      <c r="S1192" s="46"/>
      <c r="T1192" s="46"/>
      <c r="U1192" s="46"/>
      <c r="V1192" s="46"/>
      <c r="W1192" s="46"/>
      <c r="X1192" s="46"/>
      <c r="Y1192" s="46"/>
      <c r="Z1192" s="46"/>
      <c r="AA1192" s="46"/>
      <c r="AB1192" s="46"/>
      <c r="AC1192" s="46"/>
      <c r="AD1192" s="46"/>
      <c r="AE1192" s="46"/>
      <c r="AF1192" s="46"/>
      <c r="AG1192" s="46"/>
      <c r="AH1192" s="46"/>
      <c r="AI1192" s="46"/>
      <c r="AJ1192" s="46"/>
      <c r="AK1192" s="46"/>
      <c r="AL1192" s="46"/>
      <c r="AM1192" s="1"/>
      <c r="AN1192" s="1"/>
      <c r="AO1192" s="1"/>
      <c r="AP1192" s="1"/>
      <c r="AQ1192" s="1"/>
      <c r="AR1192" s="1"/>
      <c r="AS1192" s="1"/>
      <c r="AT1192" s="1"/>
      <c r="AU1192" s="1"/>
      <c r="AV1192" s="1"/>
      <c r="AW1192" s="1"/>
      <c r="AX1192" s="1"/>
      <c r="AY1192" s="1"/>
    </row>
    <row r="1193" ht="16" customHeight="1" spans="1:51" x14ac:dyDescent="0.25">
      <c r="A1193" s="45"/>
      <c r="B1193" s="46" t="s">
        <v>1244</v>
      </c>
      <c r="C1193" s="46" t="s">
        <v>1245</v>
      </c>
      <c r="D1193" s="46" t="s">
        <v>29</v>
      </c>
      <c r="E1193" s="46" t="s">
        <v>37</v>
      </c>
      <c r="F1193" s="46" t="s">
        <v>98</v>
      </c>
      <c r="G1193" s="46" t="s">
        <v>36</v>
      </c>
      <c r="H1193" s="46" t="s">
        <v>36</v>
      </c>
      <c r="I1193" s="46" t="s">
        <v>36</v>
      </c>
      <c r="J1193" s="46" t="s">
        <v>36</v>
      </c>
      <c r="K1193" s="46" t="s">
        <v>36</v>
      </c>
      <c r="L1193" s="46" t="s">
        <v>37</v>
      </c>
      <c r="M1193" s="46" t="s">
        <v>36</v>
      </c>
      <c r="N1193" s="46" t="s">
        <v>36</v>
      </c>
      <c r="O1193" s="46" t="s">
        <v>36</v>
      </c>
      <c r="P1193" s="46" t="s">
        <v>36</v>
      </c>
      <c r="Q1193" s="46" t="s">
        <v>36</v>
      </c>
      <c r="R1193" s="46" t="s">
        <v>36</v>
      </c>
      <c r="S1193" s="46" t="s">
        <v>37</v>
      </c>
      <c r="T1193" s="46" t="s">
        <v>36</v>
      </c>
      <c r="U1193" s="46" t="s">
        <v>36</v>
      </c>
      <c r="V1193" s="46" t="s">
        <v>36</v>
      </c>
      <c r="W1193" s="46" t="s">
        <v>36</v>
      </c>
      <c r="X1193" s="46" t="s">
        <v>36</v>
      </c>
      <c r="Y1193" s="46" t="s">
        <v>36</v>
      </c>
      <c r="Z1193" s="46" t="s">
        <v>37</v>
      </c>
      <c r="AA1193" s="46" t="s">
        <v>36</v>
      </c>
      <c r="AB1193" s="46" t="s">
        <v>36</v>
      </c>
      <c r="AC1193" s="46" t="s">
        <v>36</v>
      </c>
      <c r="AD1193" s="46" t="s">
        <v>36</v>
      </c>
      <c r="AE1193" s="46" t="s">
        <v>36</v>
      </c>
      <c r="AF1193" s="46" t="s">
        <v>36</v>
      </c>
      <c r="AG1193" s="46" t="s">
        <v>37</v>
      </c>
      <c r="AH1193" s="46" t="s">
        <v>43</v>
      </c>
      <c r="AI1193" s="46" t="s">
        <v>36</v>
      </c>
      <c r="AJ1193" s="46">
        <f>=SUM(E1194:AI1194)</f>
      </c>
      <c r="AK1193" s="46">
        <f>=+AY1193</f>
      </c>
      <c r="AL1193" s="46"/>
      <c r="AM1193" s="1"/>
      <c r="AN1193" s="1">
        <f>=COUNTIF(E1193:AI1193,"A")+COUNTIF(E1193:AI1193,"B")+COUNTIF(E1193:AI1193,"C")+COUNTIF(E1193:AI1193,"D")+COUNTIF(E1193:AI1193,"E")+COUNTIF(E1193:AI1193,"F")+COUNTIF(E1193:AI1193,"M")+COUNTIF(E1193:AI1193,"AB")+COUNTIF(E1193:AI1193,"UZ")+COUNTIF(E1193:AI1193,"G")+(COUNTIF(E1193:AI1193,"RT.")/2)+(COUNTIF(E1193:AI1193,"ÇRT.")/2)</f>
      </c>
      <c r="AO1193" s="1">
        <f>=COUNTIF(E1193:AI1193,"O")</f>
      </c>
      <c r="AP1193" s="1">
        <f>=COUNTIF(E1193:AI1193,"RT")+(COUNTIF(E1193:AI1193,"RT.")/2)</f>
      </c>
      <c r="AQ1193" s="1">
        <f>=COUNTIF(E1193:AI1193,"ÇRT")+(COUNTIF(E1193:AI1193,"ÇRT.")/2)</f>
      </c>
      <c r="AR1193" s="1">
        <f>=COUNTIF(E1193:AI1193,"ÇHT")</f>
      </c>
      <c r="AS1193" s="1">
        <f>=COUNTIF(E1193:AI1193,"Ö")+COUNTIF(E1193:AI1193,"T")</f>
      </c>
      <c r="AT1193" s="1">
        <f>=COUNTIF(E1193:AI1193,"Y")</f>
      </c>
      <c r="AU1193" s="1">
        <f>=COUNTIF(E1193:AI1193,"R.")</f>
      </c>
      <c r="AV1193" s="1">
        <f>=COUNTIF(E1193:AI1193,"Ü")</f>
      </c>
      <c r="AW1193" s="1">
        <f>=COUNTIF(E1193:AI1193,"R")</f>
      </c>
      <c r="AX1193" s="1">
        <f>=COUNTIF(E1193:AI1193,"DV")</f>
      </c>
      <c r="AY1193" s="1">
        <f>=+AN1193+AO1193+AP1193+AQ1193+AR1193+AS1193+AT1193+AU1193</f>
      </c>
    </row>
    <row r="1194" ht="16" customHeight="1" spans="1:51" x14ac:dyDescent="0.25">
      <c r="A1194" s="45"/>
      <c r="B1194" s="46"/>
      <c r="C1194" s="46"/>
      <c r="D1194" s="46" t="s">
        <v>33</v>
      </c>
      <c r="E1194" s="46"/>
      <c r="F1194" s="46"/>
      <c r="G1194" s="46"/>
      <c r="H1194" s="46"/>
      <c r="I1194" s="46"/>
      <c r="J1194" s="46"/>
      <c r="K1194" s="46"/>
      <c r="L1194" s="46"/>
      <c r="M1194" s="46"/>
      <c r="N1194" s="46"/>
      <c r="O1194" s="46"/>
      <c r="P1194" s="46"/>
      <c r="Q1194" s="46"/>
      <c r="R1194" s="46"/>
      <c r="S1194" s="46"/>
      <c r="T1194" s="46"/>
      <c r="U1194" s="46"/>
      <c r="V1194" s="46"/>
      <c r="W1194" s="46"/>
      <c r="X1194" s="46"/>
      <c r="Y1194" s="46"/>
      <c r="Z1194" s="46"/>
      <c r="AA1194" s="46"/>
      <c r="AB1194" s="46"/>
      <c r="AC1194" s="46"/>
      <c r="AD1194" s="46"/>
      <c r="AE1194" s="46"/>
      <c r="AF1194" s="46"/>
      <c r="AG1194" s="46"/>
      <c r="AH1194" s="46"/>
      <c r="AI1194" s="46"/>
      <c r="AJ1194" s="46"/>
      <c r="AK1194" s="46"/>
      <c r="AL1194" s="46"/>
      <c r="AM1194" s="1"/>
      <c r="AN1194" s="1"/>
      <c r="AO1194" s="1"/>
      <c r="AP1194" s="1"/>
      <c r="AQ1194" s="1"/>
      <c r="AR1194" s="1"/>
      <c r="AS1194" s="1"/>
      <c r="AT1194" s="1"/>
      <c r="AU1194" s="1"/>
      <c r="AV1194" s="1"/>
      <c r="AW1194" s="1"/>
      <c r="AX1194" s="1"/>
      <c r="AY1194" s="1"/>
    </row>
    <row r="1195" ht="16" customHeight="1" spans="1:51" x14ac:dyDescent="0.25">
      <c r="A1195" s="45"/>
      <c r="B1195" s="46" t="s">
        <v>1246</v>
      </c>
      <c r="C1195" s="46" t="s">
        <v>1247</v>
      </c>
      <c r="D1195" s="46" t="s">
        <v>29</v>
      </c>
      <c r="E1195" s="46" t="s">
        <v>36</v>
      </c>
      <c r="F1195" s="46" t="s">
        <v>37</v>
      </c>
      <c r="G1195" s="46" t="s">
        <v>36</v>
      </c>
      <c r="H1195" s="46" t="s">
        <v>36</v>
      </c>
      <c r="I1195" s="46" t="s">
        <v>36</v>
      </c>
      <c r="J1195" s="46" t="s">
        <v>36</v>
      </c>
      <c r="K1195" s="46" t="s">
        <v>36</v>
      </c>
      <c r="L1195" s="46" t="s">
        <v>36</v>
      </c>
      <c r="M1195" s="46" t="s">
        <v>37</v>
      </c>
      <c r="N1195" s="46" t="s">
        <v>36</v>
      </c>
      <c r="O1195" s="46" t="s">
        <v>36</v>
      </c>
      <c r="P1195" s="46" t="s">
        <v>36</v>
      </c>
      <c r="Q1195" s="46" t="s">
        <v>36</v>
      </c>
      <c r="R1195" s="46" t="s">
        <v>36</v>
      </c>
      <c r="S1195" s="46" t="s">
        <v>36</v>
      </c>
      <c r="T1195" s="46" t="s">
        <v>37</v>
      </c>
      <c r="U1195" s="46" t="s">
        <v>98</v>
      </c>
      <c r="V1195" s="46" t="s">
        <v>98</v>
      </c>
      <c r="W1195" s="46" t="s">
        <v>98</v>
      </c>
      <c r="X1195" s="46" t="s">
        <v>98</v>
      </c>
      <c r="Y1195" s="46" t="s">
        <v>98</v>
      </c>
      <c r="Z1195" s="46" t="s">
        <v>98</v>
      </c>
      <c r="AA1195" s="46" t="s">
        <v>37</v>
      </c>
      <c r="AB1195" s="46" t="s">
        <v>337</v>
      </c>
      <c r="AC1195" s="46" t="s">
        <v>337</v>
      </c>
      <c r="AD1195" s="46" t="s">
        <v>36</v>
      </c>
      <c r="AE1195" s="46" t="s">
        <v>36</v>
      </c>
      <c r="AF1195" s="46" t="s">
        <v>36</v>
      </c>
      <c r="AG1195" s="46" t="s">
        <v>36</v>
      </c>
      <c r="AH1195" s="46" t="s">
        <v>37</v>
      </c>
      <c r="AI1195" s="46" t="s">
        <v>98</v>
      </c>
      <c r="AJ1195" s="46">
        <f>=SUM(E1196:AI1196)</f>
      </c>
      <c r="AK1195" s="46">
        <f>=+AY1195</f>
      </c>
      <c r="AL1195" s="46"/>
      <c r="AM1195" s="1"/>
      <c r="AN1195" s="1">
        <f>=COUNTIF(E1195:AI1195,"A")+COUNTIF(E1195:AI1195,"B")+COUNTIF(E1195:AI1195,"C")+COUNTIF(E1195:AI1195,"D")+COUNTIF(E1195:AI1195,"E")+COUNTIF(E1195:AI1195,"F")+COUNTIF(E1195:AI1195,"M")+COUNTIF(E1195:AI1195,"AB")+COUNTIF(E1195:AI1195,"UZ")+COUNTIF(E1195:AI1195,"G")+(COUNTIF(E1195:AI1195,"RT.")/2)+(COUNTIF(E1195:AI1195,"ÇRT.")/2)</f>
      </c>
      <c r="AO1195" s="1">
        <f>=COUNTIF(E1195:AI1195,"O")</f>
      </c>
      <c r="AP1195" s="1">
        <f>=COUNTIF(E1195:AI1195,"RT")+(COUNTIF(E1195:AI1195,"RT.")/2)</f>
      </c>
      <c r="AQ1195" s="1">
        <f>=COUNTIF(E1195:AI1195,"ÇRT")+(COUNTIF(E1195:AI1195,"ÇRT.")/2)</f>
      </c>
      <c r="AR1195" s="1">
        <f>=COUNTIF(E1195:AI1195,"ÇHT")</f>
      </c>
      <c r="AS1195" s="1">
        <f>=COUNTIF(E1195:AI1195,"Ö")+COUNTIF(E1195:AI1195,"T")</f>
      </c>
      <c r="AT1195" s="1">
        <f>=COUNTIF(E1195:AI1195,"Y")</f>
      </c>
      <c r="AU1195" s="1">
        <f>=COUNTIF(E1195:AI1195,"R.")</f>
      </c>
      <c r="AV1195" s="1">
        <f>=COUNTIF(E1195:AI1195,"Ü")</f>
      </c>
      <c r="AW1195" s="1">
        <f>=COUNTIF(E1195:AI1195,"R")</f>
      </c>
      <c r="AX1195" s="1">
        <f>=COUNTIF(E1195:AI1195,"DV")</f>
      </c>
      <c r="AY1195" s="1">
        <f>=+AN1195+AO1195+AP1195+AQ1195+AR1195+AS1195+AT1195+AU1195</f>
      </c>
    </row>
    <row r="1196" ht="16" customHeight="1" spans="1:51" x14ac:dyDescent="0.25">
      <c r="A1196" s="45"/>
      <c r="B1196" s="46"/>
      <c r="C1196" s="46"/>
      <c r="D1196" s="46" t="s">
        <v>33</v>
      </c>
      <c r="E1196" s="46"/>
      <c r="F1196" s="46"/>
      <c r="G1196" s="46"/>
      <c r="H1196" s="46"/>
      <c r="I1196" s="46"/>
      <c r="J1196" s="46"/>
      <c r="K1196" s="46"/>
      <c r="L1196" s="46"/>
      <c r="M1196" s="46"/>
      <c r="N1196" s="46"/>
      <c r="O1196" s="46"/>
      <c r="P1196" s="46"/>
      <c r="Q1196" s="46"/>
      <c r="R1196" s="46"/>
      <c r="S1196" s="46"/>
      <c r="T1196" s="46"/>
      <c r="U1196" s="46"/>
      <c r="V1196" s="46"/>
      <c r="W1196" s="46"/>
      <c r="X1196" s="46"/>
      <c r="Y1196" s="46"/>
      <c r="Z1196" s="46"/>
      <c r="AA1196" s="46"/>
      <c r="AB1196" s="46"/>
      <c r="AC1196" s="46"/>
      <c r="AD1196" s="46"/>
      <c r="AE1196" s="46"/>
      <c r="AF1196" s="46"/>
      <c r="AG1196" s="46"/>
      <c r="AH1196" s="46"/>
      <c r="AI1196" s="46"/>
      <c r="AJ1196" s="46"/>
      <c r="AK1196" s="46"/>
      <c r="AL1196" s="46"/>
      <c r="AM1196" s="1"/>
      <c r="AN1196" s="1"/>
      <c r="AO1196" s="1"/>
      <c r="AP1196" s="1"/>
      <c r="AQ1196" s="1"/>
      <c r="AR1196" s="1"/>
      <c r="AS1196" s="1"/>
      <c r="AT1196" s="1"/>
      <c r="AU1196" s="1"/>
      <c r="AV1196" s="1"/>
      <c r="AW1196" s="1"/>
      <c r="AX1196" s="1"/>
      <c r="AY1196" s="1"/>
    </row>
    <row r="1197" ht="16" customHeight="1" spans="1:51" x14ac:dyDescent="0.25">
      <c r="A1197" s="45"/>
      <c r="B1197" s="46" t="s">
        <v>1248</v>
      </c>
      <c r="C1197" s="46" t="s">
        <v>1249</v>
      </c>
      <c r="D1197" s="46" t="s">
        <v>29</v>
      </c>
      <c r="E1197" s="46" t="s">
        <v>36</v>
      </c>
      <c r="F1197" s="46" t="s">
        <v>37</v>
      </c>
      <c r="G1197" s="46" t="s">
        <v>59</v>
      </c>
      <c r="H1197" s="46" t="s">
        <v>59</v>
      </c>
      <c r="I1197" s="46" t="s">
        <v>46</v>
      </c>
      <c r="J1197" s="46" t="s">
        <v>36</v>
      </c>
      <c r="K1197" s="46" t="s">
        <v>46</v>
      </c>
      <c r="L1197" s="46" t="s">
        <v>36</v>
      </c>
      <c r="M1197" s="46" t="s">
        <v>37</v>
      </c>
      <c r="N1197" s="46" t="s">
        <v>59</v>
      </c>
      <c r="O1197" s="46" t="s">
        <v>46</v>
      </c>
      <c r="P1197" s="46" t="s">
        <v>36</v>
      </c>
      <c r="Q1197" s="46" t="s">
        <v>36</v>
      </c>
      <c r="R1197" s="46" t="s">
        <v>37</v>
      </c>
      <c r="S1197" s="46" t="s">
        <v>59</v>
      </c>
      <c r="T1197" s="46" t="s">
        <v>59</v>
      </c>
      <c r="U1197" s="46" t="s">
        <v>59</v>
      </c>
      <c r="V1197" s="46" t="s">
        <v>59</v>
      </c>
      <c r="W1197" s="46" t="s">
        <v>59</v>
      </c>
      <c r="X1197" s="46" t="s">
        <v>59</v>
      </c>
      <c r="Y1197" s="46" t="s">
        <v>36</v>
      </c>
      <c r="Z1197" s="46" t="s">
        <v>36</v>
      </c>
      <c r="AA1197" s="46" t="s">
        <v>37</v>
      </c>
      <c r="AB1197" s="46" t="s">
        <v>59</v>
      </c>
      <c r="AC1197" s="46" t="s">
        <v>59</v>
      </c>
      <c r="AD1197" s="46" t="s">
        <v>46</v>
      </c>
      <c r="AE1197" s="46" t="s">
        <v>36</v>
      </c>
      <c r="AF1197" s="46" t="s">
        <v>36</v>
      </c>
      <c r="AG1197" s="46" t="s">
        <v>36</v>
      </c>
      <c r="AH1197" s="46" t="s">
        <v>37</v>
      </c>
      <c r="AI1197" s="46" t="s">
        <v>153</v>
      </c>
      <c r="AJ1197" s="46">
        <f>=SUM(E1198:AI1198)</f>
      </c>
      <c r="AK1197" s="46">
        <f>=+AY1197</f>
      </c>
      <c r="AL1197" s="46"/>
      <c r="AM1197" s="1"/>
      <c r="AN1197" s="1">
        <f>=COUNTIF(E1197:AI1197,"A")+COUNTIF(E1197:AI1197,"B")+COUNTIF(E1197:AI1197,"C")+COUNTIF(E1197:AI1197,"D")+COUNTIF(E1197:AI1197,"E")+COUNTIF(E1197:AI1197,"F")+COUNTIF(E1197:AI1197,"M")+COUNTIF(E1197:AI1197,"AB")+COUNTIF(E1197:AI1197,"UZ")+COUNTIF(E1197:AI1197,"G")+(COUNTIF(E1197:AI1197,"RT.")/2)+(COUNTIF(E1197:AI1197,"ÇRT.")/2)</f>
      </c>
      <c r="AO1197" s="1">
        <f>=COUNTIF(E1197:AI1197,"O")</f>
      </c>
      <c r="AP1197" s="1">
        <f>=COUNTIF(E1197:AI1197,"RT")+(COUNTIF(E1197:AI1197,"RT.")/2)</f>
      </c>
      <c r="AQ1197" s="1">
        <f>=COUNTIF(E1197:AI1197,"ÇRT")+(COUNTIF(E1197:AI1197,"ÇRT.")/2)</f>
      </c>
      <c r="AR1197" s="1">
        <f>=COUNTIF(E1197:AI1197,"ÇHT")</f>
      </c>
      <c r="AS1197" s="1">
        <f>=COUNTIF(E1197:AI1197,"Ö")+COUNTIF(E1197:AI1197,"T")</f>
      </c>
      <c r="AT1197" s="1">
        <f>=COUNTIF(E1197:AI1197,"Y")</f>
      </c>
      <c r="AU1197" s="1">
        <f>=COUNTIF(E1197:AI1197,"R.")</f>
      </c>
      <c r="AV1197" s="1">
        <f>=COUNTIF(E1197:AI1197,"Ü")</f>
      </c>
      <c r="AW1197" s="1">
        <f>=COUNTIF(E1197:AI1197,"R")</f>
      </c>
      <c r="AX1197" s="1">
        <f>=COUNTIF(E1197:AI1197,"DV")</f>
      </c>
      <c r="AY1197" s="1">
        <f>=+AN1197+AO1197+AP1197+AQ1197+AR1197+AS1197+AT1197+AU1197</f>
      </c>
    </row>
    <row r="1198" ht="16" customHeight="1" spans="1:51" x14ac:dyDescent="0.25">
      <c r="A1198" s="45"/>
      <c r="B1198" s="46"/>
      <c r="C1198" s="46"/>
      <c r="D1198" s="46" t="s">
        <v>33</v>
      </c>
      <c r="E1198" s="46"/>
      <c r="F1198" s="46"/>
      <c r="G1198" s="46"/>
      <c r="H1198" s="46"/>
      <c r="I1198" s="46"/>
      <c r="J1198" s="46"/>
      <c r="K1198" s="46"/>
      <c r="L1198" s="46"/>
      <c r="M1198" s="46"/>
      <c r="N1198" s="46"/>
      <c r="O1198" s="46"/>
      <c r="P1198" s="46"/>
      <c r="Q1198" s="46"/>
      <c r="R1198" s="46"/>
      <c r="S1198" s="46"/>
      <c r="T1198" s="46"/>
      <c r="U1198" s="46"/>
      <c r="V1198" s="46"/>
      <c r="W1198" s="46"/>
      <c r="X1198" s="46"/>
      <c r="Y1198" s="46"/>
      <c r="Z1198" s="46"/>
      <c r="AA1198" s="46"/>
      <c r="AB1198" s="46"/>
      <c r="AC1198" s="46"/>
      <c r="AD1198" s="46"/>
      <c r="AE1198" s="46"/>
      <c r="AF1198" s="46"/>
      <c r="AG1198" s="46"/>
      <c r="AH1198" s="46"/>
      <c r="AI1198" s="46"/>
      <c r="AJ1198" s="46"/>
      <c r="AK1198" s="46"/>
      <c r="AL1198" s="46"/>
      <c r="AM1198" s="1"/>
      <c r="AN1198" s="1"/>
      <c r="AO1198" s="1"/>
      <c r="AP1198" s="1"/>
      <c r="AQ1198" s="1"/>
      <c r="AR1198" s="1"/>
      <c r="AS1198" s="1"/>
      <c r="AT1198" s="1"/>
      <c r="AU1198" s="1"/>
      <c r="AV1198" s="1"/>
      <c r="AW1198" s="1"/>
      <c r="AX1198" s="1"/>
      <c r="AY1198" s="1"/>
    </row>
    <row r="1199" ht="16" customHeight="1" spans="1:51" x14ac:dyDescent="0.25">
      <c r="A1199" s="45"/>
      <c r="B1199" s="46" t="s">
        <v>1250</v>
      </c>
      <c r="C1199" s="46" t="s">
        <v>1251</v>
      </c>
      <c r="D1199" s="46" t="s">
        <v>29</v>
      </c>
      <c r="E1199" s="46" t="s">
        <v>59</v>
      </c>
      <c r="F1199" s="46" t="s">
        <v>37</v>
      </c>
      <c r="G1199" s="46" t="s">
        <v>59</v>
      </c>
      <c r="H1199" s="46" t="s">
        <v>59</v>
      </c>
      <c r="I1199" s="46" t="s">
        <v>59</v>
      </c>
      <c r="J1199" s="46" t="s">
        <v>59</v>
      </c>
      <c r="K1199" s="46" t="s">
        <v>59</v>
      </c>
      <c r="L1199" s="46" t="s">
        <v>59</v>
      </c>
      <c r="M1199" s="46" t="s">
        <v>37</v>
      </c>
      <c r="N1199" s="46" t="s">
        <v>36</v>
      </c>
      <c r="O1199" s="46" t="s">
        <v>36</v>
      </c>
      <c r="P1199" s="46" t="s">
        <v>36</v>
      </c>
      <c r="Q1199" s="46" t="s">
        <v>36</v>
      </c>
      <c r="R1199" s="46" t="s">
        <v>36</v>
      </c>
      <c r="S1199" s="46" t="s">
        <v>36</v>
      </c>
      <c r="T1199" s="46" t="s">
        <v>37</v>
      </c>
      <c r="U1199" s="46" t="s">
        <v>59</v>
      </c>
      <c r="V1199" s="46" t="s">
        <v>59</v>
      </c>
      <c r="W1199" s="46" t="s">
        <v>59</v>
      </c>
      <c r="X1199" s="46" t="s">
        <v>59</v>
      </c>
      <c r="Y1199" s="46" t="s">
        <v>59</v>
      </c>
      <c r="Z1199" s="46" t="s">
        <v>59</v>
      </c>
      <c r="AA1199" s="46" t="s">
        <v>37</v>
      </c>
      <c r="AB1199" s="46" t="s">
        <v>36</v>
      </c>
      <c r="AC1199" s="46" t="s">
        <v>36</v>
      </c>
      <c r="AD1199" s="46" t="s">
        <v>36</v>
      </c>
      <c r="AE1199" s="46" t="s">
        <v>36</v>
      </c>
      <c r="AF1199" s="46" t="s">
        <v>36</v>
      </c>
      <c r="AG1199" s="46" t="s">
        <v>36</v>
      </c>
      <c r="AH1199" s="46" t="s">
        <v>37</v>
      </c>
      <c r="AI1199" s="46" t="s">
        <v>59</v>
      </c>
      <c r="AJ1199" s="46">
        <f>=SUM(E1200:AI1200)</f>
      </c>
      <c r="AK1199" s="46">
        <f>=+AY1199</f>
      </c>
      <c r="AL1199" s="46"/>
      <c r="AM1199" s="1"/>
      <c r="AN1199" s="1">
        <f>=COUNTIF(E1199:AI1199,"A")+COUNTIF(E1199:AI1199,"B")+COUNTIF(E1199:AI1199,"C")+COUNTIF(E1199:AI1199,"D")+COUNTIF(E1199:AI1199,"E")+COUNTIF(E1199:AI1199,"F")+COUNTIF(E1199:AI1199,"M")+COUNTIF(E1199:AI1199,"AB")+COUNTIF(E1199:AI1199,"UZ")+COUNTIF(E1199:AI1199,"G")+(COUNTIF(E1199:AI1199,"RT.")/2)+(COUNTIF(E1199:AI1199,"ÇRT.")/2)</f>
      </c>
      <c r="AO1199" s="1">
        <f>=COUNTIF(E1199:AI1199,"O")</f>
      </c>
      <c r="AP1199" s="1">
        <f>=COUNTIF(E1199:AI1199,"RT")+(COUNTIF(E1199:AI1199,"RT.")/2)</f>
      </c>
      <c r="AQ1199" s="1">
        <f>=COUNTIF(E1199:AI1199,"ÇRT")+(COUNTIF(E1199:AI1199,"ÇRT.")/2)</f>
      </c>
      <c r="AR1199" s="1">
        <f>=COUNTIF(E1199:AI1199,"ÇHT")</f>
      </c>
      <c r="AS1199" s="1">
        <f>=COUNTIF(E1199:AI1199,"Ö")+COUNTIF(E1199:AI1199,"T")</f>
      </c>
      <c r="AT1199" s="1">
        <f>=COUNTIF(E1199:AI1199,"Y")</f>
      </c>
      <c r="AU1199" s="1">
        <f>=COUNTIF(E1199:AI1199,"R.")</f>
      </c>
      <c r="AV1199" s="1">
        <f>=COUNTIF(E1199:AI1199,"Ü")</f>
      </c>
      <c r="AW1199" s="1">
        <f>=COUNTIF(E1199:AI1199,"R")</f>
      </c>
      <c r="AX1199" s="1">
        <f>=COUNTIF(E1199:AI1199,"DV")</f>
      </c>
      <c r="AY1199" s="1">
        <f>=+AN1199+AO1199+AP1199+AQ1199+AR1199+AS1199+AT1199+AU1199</f>
      </c>
    </row>
    <row r="1200" ht="16" customHeight="1" spans="1:51" x14ac:dyDescent="0.25">
      <c r="A1200" s="45"/>
      <c r="B1200" s="46"/>
      <c r="C1200" s="46"/>
      <c r="D1200" s="46" t="s">
        <v>33</v>
      </c>
      <c r="E1200" s="46"/>
      <c r="F1200" s="46"/>
      <c r="G1200" s="46"/>
      <c r="H1200" s="46"/>
      <c r="I1200" s="46"/>
      <c r="J1200" s="46"/>
      <c r="K1200" s="46"/>
      <c r="L1200" s="46"/>
      <c r="M1200" s="46"/>
      <c r="N1200" s="46"/>
      <c r="O1200" s="46"/>
      <c r="P1200" s="46"/>
      <c r="Q1200" s="46"/>
      <c r="R1200" s="46"/>
      <c r="S1200" s="46"/>
      <c r="T1200" s="46"/>
      <c r="U1200" s="46"/>
      <c r="V1200" s="46"/>
      <c r="W1200" s="46"/>
      <c r="X1200" s="46"/>
      <c r="Y1200" s="46"/>
      <c r="Z1200" s="46"/>
      <c r="AA1200" s="46"/>
      <c r="AB1200" s="46"/>
      <c r="AC1200" s="46"/>
      <c r="AD1200" s="46"/>
      <c r="AE1200" s="46"/>
      <c r="AF1200" s="46"/>
      <c r="AG1200" s="46"/>
      <c r="AH1200" s="46"/>
      <c r="AI1200" s="46"/>
      <c r="AJ1200" s="46"/>
      <c r="AK1200" s="46"/>
      <c r="AL1200" s="46"/>
      <c r="AM1200" s="1"/>
      <c r="AN1200" s="1"/>
      <c r="AO1200" s="1"/>
      <c r="AP1200" s="1"/>
      <c r="AQ1200" s="1"/>
      <c r="AR1200" s="1"/>
      <c r="AS1200" s="1"/>
      <c r="AT1200" s="1"/>
      <c r="AU1200" s="1"/>
      <c r="AV1200" s="1"/>
      <c r="AW1200" s="1"/>
      <c r="AX1200" s="1"/>
      <c r="AY1200" s="1"/>
    </row>
    <row r="1201" ht="16" customHeight="1" spans="1:51" x14ac:dyDescent="0.25">
      <c r="A1201" s="45"/>
      <c r="B1201" s="46" t="s">
        <v>1252</v>
      </c>
      <c r="C1201" s="46" t="s">
        <v>1253</v>
      </c>
      <c r="D1201" s="46" t="s">
        <v>29</v>
      </c>
      <c r="E1201" s="46" t="s">
        <v>36</v>
      </c>
      <c r="F1201" s="46" t="s">
        <v>36</v>
      </c>
      <c r="G1201" s="46" t="s">
        <v>36</v>
      </c>
      <c r="H1201" s="46" t="s">
        <v>36</v>
      </c>
      <c r="I1201" s="46" t="s">
        <v>36</v>
      </c>
      <c r="J1201" s="46" t="s">
        <v>36</v>
      </c>
      <c r="K1201" s="46" t="s">
        <v>37</v>
      </c>
      <c r="L1201" s="46" t="s">
        <v>36</v>
      </c>
      <c r="M1201" s="46" t="s">
        <v>36</v>
      </c>
      <c r="N1201" s="46" t="s">
        <v>59</v>
      </c>
      <c r="O1201" s="46" t="s">
        <v>59</v>
      </c>
      <c r="P1201" s="46" t="s">
        <v>59</v>
      </c>
      <c r="Q1201" s="46" t="s">
        <v>59</v>
      </c>
      <c r="R1201" s="46" t="s">
        <v>37</v>
      </c>
      <c r="S1201" s="46" t="s">
        <v>36</v>
      </c>
      <c r="T1201" s="46" t="s">
        <v>36</v>
      </c>
      <c r="U1201" s="46" t="s">
        <v>36</v>
      </c>
      <c r="V1201" s="46" t="s">
        <v>36</v>
      </c>
      <c r="W1201" s="46" t="s">
        <v>36</v>
      </c>
      <c r="X1201" s="46" t="s">
        <v>46</v>
      </c>
      <c r="Y1201" s="46" t="s">
        <v>37</v>
      </c>
      <c r="Z1201" s="46" t="s">
        <v>36</v>
      </c>
      <c r="AA1201" s="46" t="s">
        <v>59</v>
      </c>
      <c r="AB1201" s="46" t="s">
        <v>59</v>
      </c>
      <c r="AC1201" s="46" t="s">
        <v>46</v>
      </c>
      <c r="AD1201" s="46" t="s">
        <v>36</v>
      </c>
      <c r="AE1201" s="46" t="s">
        <v>36</v>
      </c>
      <c r="AF1201" s="46" t="s">
        <v>37</v>
      </c>
      <c r="AG1201" s="46" t="s">
        <v>59</v>
      </c>
      <c r="AH1201" s="46" t="s">
        <v>43</v>
      </c>
      <c r="AI1201" s="46" t="s">
        <v>59</v>
      </c>
      <c r="AJ1201" s="46">
        <f>=SUM(E1202:AI1202)</f>
      </c>
      <c r="AK1201" s="46">
        <f>=+AY1201</f>
      </c>
      <c r="AL1201" s="46"/>
      <c r="AM1201" s="1"/>
      <c r="AN1201" s="1">
        <f>=COUNTIF(E1201:AI1201,"A")+COUNTIF(E1201:AI1201,"B")+COUNTIF(E1201:AI1201,"C")+COUNTIF(E1201:AI1201,"D")+COUNTIF(E1201:AI1201,"E")+COUNTIF(E1201:AI1201,"F")+COUNTIF(E1201:AI1201,"M")+COUNTIF(E1201:AI1201,"AB")+COUNTIF(E1201:AI1201,"UZ")+COUNTIF(E1201:AI1201,"G")+(COUNTIF(E1201:AI1201,"RT.")/2)+(COUNTIF(E1201:AI1201,"ÇRT.")/2)</f>
      </c>
      <c r="AO1201" s="1">
        <f>=COUNTIF(E1201:AI1201,"O")</f>
      </c>
      <c r="AP1201" s="1">
        <f>=COUNTIF(E1201:AI1201,"RT")+(COUNTIF(E1201:AI1201,"RT.")/2)</f>
      </c>
      <c r="AQ1201" s="1">
        <f>=COUNTIF(E1201:AI1201,"ÇRT")+(COUNTIF(E1201:AI1201,"ÇRT.")/2)</f>
      </c>
      <c r="AR1201" s="1">
        <f>=COUNTIF(E1201:AI1201,"ÇHT")</f>
      </c>
      <c r="AS1201" s="1">
        <f>=COUNTIF(E1201:AI1201,"Ö")+COUNTIF(E1201:AI1201,"T")</f>
      </c>
      <c r="AT1201" s="1">
        <f>=COUNTIF(E1201:AI1201,"Y")</f>
      </c>
      <c r="AU1201" s="1">
        <f>=COUNTIF(E1201:AI1201,"R.")</f>
      </c>
      <c r="AV1201" s="1">
        <f>=COUNTIF(E1201:AI1201,"Ü")</f>
      </c>
      <c r="AW1201" s="1">
        <f>=COUNTIF(E1201:AI1201,"R")</f>
      </c>
      <c r="AX1201" s="1">
        <f>=COUNTIF(E1201:AI1201,"DV")</f>
      </c>
      <c r="AY1201" s="1">
        <f>=+AN1201+AO1201+AP1201+AQ1201+AR1201+AS1201+AT1201+AU1201</f>
      </c>
    </row>
    <row r="1202" ht="16" customHeight="1" spans="1:51" x14ac:dyDescent="0.25">
      <c r="A1202" s="45"/>
      <c r="B1202" s="46"/>
      <c r="C1202" s="46"/>
      <c r="D1202" s="46" t="s">
        <v>33</v>
      </c>
      <c r="E1202" s="46"/>
      <c r="F1202" s="46"/>
      <c r="G1202" s="46"/>
      <c r="H1202" s="46"/>
      <c r="I1202" s="46"/>
      <c r="J1202" s="46"/>
      <c r="K1202" s="46"/>
      <c r="L1202" s="46"/>
      <c r="M1202" s="46"/>
      <c r="N1202" s="46"/>
      <c r="O1202" s="46"/>
      <c r="P1202" s="46"/>
      <c r="Q1202" s="46"/>
      <c r="R1202" s="46"/>
      <c r="S1202" s="46"/>
      <c r="T1202" s="46"/>
      <c r="U1202" s="46"/>
      <c r="V1202" s="46"/>
      <c r="W1202" s="46"/>
      <c r="X1202" s="46"/>
      <c r="Y1202" s="46"/>
      <c r="Z1202" s="46"/>
      <c r="AA1202" s="46"/>
      <c r="AB1202" s="46"/>
      <c r="AC1202" s="46"/>
      <c r="AD1202" s="46"/>
      <c r="AE1202" s="46"/>
      <c r="AF1202" s="46"/>
      <c r="AG1202" s="46"/>
      <c r="AH1202" s="46"/>
      <c r="AI1202" s="46"/>
      <c r="AJ1202" s="46"/>
      <c r="AK1202" s="46"/>
      <c r="AL1202" s="46"/>
      <c r="AM1202" s="1"/>
      <c r="AN1202" s="1"/>
      <c r="AO1202" s="1"/>
      <c r="AP1202" s="1"/>
      <c r="AQ1202" s="1"/>
      <c r="AR1202" s="1"/>
      <c r="AS1202" s="1"/>
      <c r="AT1202" s="1"/>
      <c r="AU1202" s="1"/>
      <c r="AV1202" s="1"/>
      <c r="AW1202" s="1"/>
      <c r="AX1202" s="1"/>
      <c r="AY1202" s="1"/>
    </row>
    <row r="1203" ht="16" customHeight="1" spans="1:51" x14ac:dyDescent="0.25">
      <c r="A1203" s="45"/>
      <c r="B1203" s="46" t="s">
        <v>1254</v>
      </c>
      <c r="C1203" s="46" t="s">
        <v>1255</v>
      </c>
      <c r="D1203" s="46" t="s">
        <v>29</v>
      </c>
      <c r="E1203" s="46" t="s">
        <v>36</v>
      </c>
      <c r="F1203" s="46" t="s">
        <v>36</v>
      </c>
      <c r="G1203" s="46" t="s">
        <v>37</v>
      </c>
      <c r="H1203" s="46" t="s">
        <v>36</v>
      </c>
      <c r="I1203" s="46" t="s">
        <v>36</v>
      </c>
      <c r="J1203" s="46" t="s">
        <v>36</v>
      </c>
      <c r="K1203" s="46" t="s">
        <v>36</v>
      </c>
      <c r="L1203" s="46" t="s">
        <v>36</v>
      </c>
      <c r="M1203" s="46" t="s">
        <v>36</v>
      </c>
      <c r="N1203" s="46" t="s">
        <v>37</v>
      </c>
      <c r="O1203" s="46" t="s">
        <v>36</v>
      </c>
      <c r="P1203" s="46" t="s">
        <v>36</v>
      </c>
      <c r="Q1203" s="46" t="s">
        <v>36</v>
      </c>
      <c r="R1203" s="46" t="s">
        <v>36</v>
      </c>
      <c r="S1203" s="46" t="s">
        <v>36</v>
      </c>
      <c r="T1203" s="46" t="s">
        <v>36</v>
      </c>
      <c r="U1203" s="46" t="s">
        <v>37</v>
      </c>
      <c r="V1203" s="46" t="s">
        <v>36</v>
      </c>
      <c r="W1203" s="46" t="s">
        <v>36</v>
      </c>
      <c r="X1203" s="46" t="s">
        <v>36</v>
      </c>
      <c r="Y1203" s="46" t="s">
        <v>36</v>
      </c>
      <c r="Z1203" s="46" t="s">
        <v>36</v>
      </c>
      <c r="AA1203" s="46" t="s">
        <v>36</v>
      </c>
      <c r="AB1203" s="46" t="s">
        <v>37</v>
      </c>
      <c r="AC1203" s="46" t="s">
        <v>36</v>
      </c>
      <c r="AD1203" s="46" t="s">
        <v>36</v>
      </c>
      <c r="AE1203" s="46" t="s">
        <v>36</v>
      </c>
      <c r="AF1203" s="46" t="s">
        <v>36</v>
      </c>
      <c r="AG1203" s="46" t="s">
        <v>36</v>
      </c>
      <c r="AH1203" s="46" t="s">
        <v>43</v>
      </c>
      <c r="AI1203" s="46" t="s">
        <v>37</v>
      </c>
      <c r="AJ1203" s="46">
        <f>=SUM(E1204:AI1204)</f>
      </c>
      <c r="AK1203" s="46">
        <f>=+AY1203</f>
      </c>
      <c r="AL1203" s="46"/>
      <c r="AM1203" s="1"/>
      <c r="AN1203" s="1">
        <f>=COUNTIF(E1203:AI1203,"A")+COUNTIF(E1203:AI1203,"B")+COUNTIF(E1203:AI1203,"C")+COUNTIF(E1203:AI1203,"D")+COUNTIF(E1203:AI1203,"E")+COUNTIF(E1203:AI1203,"F")+COUNTIF(E1203:AI1203,"M")+COUNTIF(E1203:AI1203,"AB")+COUNTIF(E1203:AI1203,"UZ")+COUNTIF(E1203:AI1203,"G")+(COUNTIF(E1203:AI1203,"RT.")/2)+(COUNTIF(E1203:AI1203,"ÇRT.")/2)</f>
      </c>
      <c r="AO1203" s="1">
        <f>=COUNTIF(E1203:AI1203,"O")</f>
      </c>
      <c r="AP1203" s="1">
        <f>=COUNTIF(E1203:AI1203,"RT")+(COUNTIF(E1203:AI1203,"RT.")/2)</f>
      </c>
      <c r="AQ1203" s="1">
        <f>=COUNTIF(E1203:AI1203,"ÇRT")+(COUNTIF(E1203:AI1203,"ÇRT.")/2)</f>
      </c>
      <c r="AR1203" s="1">
        <f>=COUNTIF(E1203:AI1203,"ÇHT")</f>
      </c>
      <c r="AS1203" s="1">
        <f>=COUNTIF(E1203:AI1203,"Ö")+COUNTIF(E1203:AI1203,"T")</f>
      </c>
      <c r="AT1203" s="1">
        <f>=COUNTIF(E1203:AI1203,"Y")</f>
      </c>
      <c r="AU1203" s="1">
        <f>=COUNTIF(E1203:AI1203,"R.")</f>
      </c>
      <c r="AV1203" s="1">
        <f>=COUNTIF(E1203:AI1203,"Ü")</f>
      </c>
      <c r="AW1203" s="1">
        <f>=COUNTIF(E1203:AI1203,"R")</f>
      </c>
      <c r="AX1203" s="1">
        <f>=COUNTIF(E1203:AI1203,"DV")</f>
      </c>
      <c r="AY1203" s="1">
        <f>=+AN1203+AO1203+AP1203+AQ1203+AR1203+AS1203+AT1203+AU1203</f>
      </c>
    </row>
    <row r="1204" ht="16" customHeight="1" spans="1:51" x14ac:dyDescent="0.25">
      <c r="A1204" s="45"/>
      <c r="B1204" s="46"/>
      <c r="C1204" s="46"/>
      <c r="D1204" s="46" t="s">
        <v>33</v>
      </c>
      <c r="E1204" s="46"/>
      <c r="F1204" s="46"/>
      <c r="G1204" s="46"/>
      <c r="H1204" s="46"/>
      <c r="I1204" s="46"/>
      <c r="J1204" s="46"/>
      <c r="K1204" s="46"/>
      <c r="L1204" s="46"/>
      <c r="M1204" s="46"/>
      <c r="N1204" s="46"/>
      <c r="O1204" s="46"/>
      <c r="P1204" s="46"/>
      <c r="Q1204" s="46"/>
      <c r="R1204" s="46"/>
      <c r="S1204" s="46"/>
      <c r="T1204" s="46"/>
      <c r="U1204" s="46"/>
      <c r="V1204" s="46"/>
      <c r="W1204" s="46"/>
      <c r="X1204" s="46"/>
      <c r="Y1204" s="46"/>
      <c r="Z1204" s="46"/>
      <c r="AA1204" s="46"/>
      <c r="AB1204" s="46"/>
      <c r="AC1204" s="46"/>
      <c r="AD1204" s="46"/>
      <c r="AE1204" s="46"/>
      <c r="AF1204" s="46"/>
      <c r="AG1204" s="46"/>
      <c r="AH1204" s="46"/>
      <c r="AI1204" s="46"/>
      <c r="AJ1204" s="46"/>
      <c r="AK1204" s="46"/>
      <c r="AL1204" s="46"/>
      <c r="AM1204" s="1"/>
      <c r="AN1204" s="1"/>
      <c r="AO1204" s="1"/>
      <c r="AP1204" s="1"/>
      <c r="AQ1204" s="1"/>
      <c r="AR1204" s="1"/>
      <c r="AS1204" s="1"/>
      <c r="AT1204" s="1"/>
      <c r="AU1204" s="1"/>
      <c r="AV1204" s="1"/>
      <c r="AW1204" s="1"/>
      <c r="AX1204" s="1"/>
      <c r="AY1204" s="1"/>
    </row>
    <row r="1205" ht="16" customHeight="1" spans="1:51" x14ac:dyDescent="0.25">
      <c r="A1205" s="45"/>
      <c r="B1205" s="46" t="s">
        <v>1256</v>
      </c>
      <c r="C1205" s="46" t="s">
        <v>1257</v>
      </c>
      <c r="D1205" s="46" t="s">
        <v>29</v>
      </c>
      <c r="E1205" s="46" t="s">
        <v>36</v>
      </c>
      <c r="F1205" s="46" t="s">
        <v>36</v>
      </c>
      <c r="G1205" s="46" t="s">
        <v>37</v>
      </c>
      <c r="H1205" s="46" t="s">
        <v>31</v>
      </c>
      <c r="I1205" s="46" t="s">
        <v>31</v>
      </c>
      <c r="J1205" s="46" t="s">
        <v>36</v>
      </c>
      <c r="K1205" s="46" t="s">
        <v>36</v>
      </c>
      <c r="L1205" s="46" t="s">
        <v>36</v>
      </c>
      <c r="M1205" s="46" t="s">
        <v>36</v>
      </c>
      <c r="N1205" s="46" t="s">
        <v>37</v>
      </c>
      <c r="O1205" s="46" t="s">
        <v>59</v>
      </c>
      <c r="P1205" s="46" t="s">
        <v>59</v>
      </c>
      <c r="Q1205" s="46" t="s">
        <v>59</v>
      </c>
      <c r="R1205" s="46" t="s">
        <v>36</v>
      </c>
      <c r="S1205" s="46" t="s">
        <v>36</v>
      </c>
      <c r="T1205" s="46" t="s">
        <v>36</v>
      </c>
      <c r="U1205" s="46" t="s">
        <v>37</v>
      </c>
      <c r="V1205" s="46" t="s">
        <v>36</v>
      </c>
      <c r="W1205" s="46" t="s">
        <v>36</v>
      </c>
      <c r="X1205" s="46" t="s">
        <v>36</v>
      </c>
      <c r="Y1205" s="46" t="s">
        <v>36</v>
      </c>
      <c r="Z1205" s="46" t="s">
        <v>36</v>
      </c>
      <c r="AA1205" s="46" t="s">
        <v>36</v>
      </c>
      <c r="AB1205" s="46" t="s">
        <v>37</v>
      </c>
      <c r="AC1205" s="46" t="s">
        <v>36</v>
      </c>
      <c r="AD1205" s="46" t="s">
        <v>36</v>
      </c>
      <c r="AE1205" s="46" t="s">
        <v>36</v>
      </c>
      <c r="AF1205" s="46" t="s">
        <v>36</v>
      </c>
      <c r="AG1205" s="46" t="s">
        <v>36</v>
      </c>
      <c r="AH1205" s="46" t="s">
        <v>43</v>
      </c>
      <c r="AI1205" s="46" t="s">
        <v>37</v>
      </c>
      <c r="AJ1205" s="46">
        <f>=SUM(E1206:AI1206)</f>
      </c>
      <c r="AK1205" s="46">
        <f>=+AY1205</f>
      </c>
      <c r="AL1205" s="46"/>
      <c r="AM1205" s="1"/>
      <c r="AN1205" s="1">
        <f>=COUNTIF(E1205:AI1205,"A")+COUNTIF(E1205:AI1205,"B")+COUNTIF(E1205:AI1205,"C")+COUNTIF(E1205:AI1205,"D")+COUNTIF(E1205:AI1205,"E")+COUNTIF(E1205:AI1205,"F")+COUNTIF(E1205:AI1205,"M")+COUNTIF(E1205:AI1205,"AB")+COUNTIF(E1205:AI1205,"UZ")+COUNTIF(E1205:AI1205,"G")+(COUNTIF(E1205:AI1205,"RT.")/2)+(COUNTIF(E1205:AI1205,"ÇRT.")/2)</f>
      </c>
      <c r="AO1205" s="1">
        <f>=COUNTIF(E1205:AI1205,"O")</f>
      </c>
      <c r="AP1205" s="1">
        <f>=COUNTIF(E1205:AI1205,"RT")+(COUNTIF(E1205:AI1205,"RT.")/2)</f>
      </c>
      <c r="AQ1205" s="1">
        <f>=COUNTIF(E1205:AI1205,"ÇRT")+(COUNTIF(E1205:AI1205,"ÇRT.")/2)</f>
      </c>
      <c r="AR1205" s="1">
        <f>=COUNTIF(E1205:AI1205,"ÇHT")</f>
      </c>
      <c r="AS1205" s="1">
        <f>=COUNTIF(E1205:AI1205,"Ö")+COUNTIF(E1205:AI1205,"T")</f>
      </c>
      <c r="AT1205" s="1">
        <f>=COUNTIF(E1205:AI1205,"Y")</f>
      </c>
      <c r="AU1205" s="1">
        <f>=COUNTIF(E1205:AI1205,"R.")</f>
      </c>
      <c r="AV1205" s="1">
        <f>=COUNTIF(E1205:AI1205,"Ü")</f>
      </c>
      <c r="AW1205" s="1">
        <f>=COUNTIF(E1205:AI1205,"R")</f>
      </c>
      <c r="AX1205" s="1">
        <f>=COUNTIF(E1205:AI1205,"DV")</f>
      </c>
      <c r="AY1205" s="1">
        <f>=+AN1205+AO1205+AP1205+AQ1205+AR1205+AS1205+AT1205+AU1205</f>
      </c>
    </row>
    <row r="1206" ht="16" customHeight="1" spans="1:51" x14ac:dyDescent="0.25">
      <c r="A1206" s="45"/>
      <c r="B1206" s="46"/>
      <c r="C1206" s="46"/>
      <c r="D1206" s="46" t="s">
        <v>33</v>
      </c>
      <c r="E1206" s="46"/>
      <c r="F1206" s="46"/>
      <c r="G1206" s="46"/>
      <c r="H1206" s="46"/>
      <c r="I1206" s="46"/>
      <c r="J1206" s="46"/>
      <c r="K1206" s="46"/>
      <c r="L1206" s="46"/>
      <c r="M1206" s="46"/>
      <c r="N1206" s="46"/>
      <c r="O1206" s="46"/>
      <c r="P1206" s="46"/>
      <c r="Q1206" s="46"/>
      <c r="R1206" s="46"/>
      <c r="S1206" s="46"/>
      <c r="T1206" s="46"/>
      <c r="U1206" s="46"/>
      <c r="V1206" s="46"/>
      <c r="W1206" s="46"/>
      <c r="X1206" s="46"/>
      <c r="Y1206" s="46"/>
      <c r="Z1206" s="46"/>
      <c r="AA1206" s="46"/>
      <c r="AB1206" s="46"/>
      <c r="AC1206" s="46"/>
      <c r="AD1206" s="46"/>
      <c r="AE1206" s="46"/>
      <c r="AF1206" s="46"/>
      <c r="AG1206" s="46"/>
      <c r="AH1206" s="46"/>
      <c r="AI1206" s="46"/>
      <c r="AJ1206" s="46"/>
      <c r="AK1206" s="46"/>
      <c r="AL1206" s="46"/>
      <c r="AM1206" s="1"/>
      <c r="AN1206" s="1"/>
      <c r="AO1206" s="1"/>
      <c r="AP1206" s="1"/>
      <c r="AQ1206" s="1"/>
      <c r="AR1206" s="1"/>
      <c r="AS1206" s="1"/>
      <c r="AT1206" s="1"/>
      <c r="AU1206" s="1"/>
      <c r="AV1206" s="1"/>
      <c r="AW1206" s="1"/>
      <c r="AX1206" s="1"/>
      <c r="AY1206" s="1"/>
    </row>
    <row r="1207" ht="16" customHeight="1" spans="1:51" x14ac:dyDescent="0.25">
      <c r="A1207" s="45"/>
      <c r="B1207" s="46" t="s">
        <v>1258</v>
      </c>
      <c r="C1207" s="46" t="s">
        <v>1259</v>
      </c>
      <c r="D1207" s="46" t="s">
        <v>29</v>
      </c>
      <c r="E1207" s="46" t="s">
        <v>36</v>
      </c>
      <c r="F1207" s="46" t="s">
        <v>36</v>
      </c>
      <c r="G1207" s="46" t="s">
        <v>59</v>
      </c>
      <c r="H1207" s="46" t="s">
        <v>59</v>
      </c>
      <c r="I1207" s="46" t="s">
        <v>59</v>
      </c>
      <c r="J1207" s="46" t="s">
        <v>98</v>
      </c>
      <c r="K1207" s="46" t="s">
        <v>37</v>
      </c>
      <c r="L1207" s="46" t="s">
        <v>36</v>
      </c>
      <c r="M1207" s="46" t="s">
        <v>36</v>
      </c>
      <c r="N1207" s="46" t="s">
        <v>59</v>
      </c>
      <c r="O1207" s="46" t="s">
        <v>59</v>
      </c>
      <c r="P1207" s="46" t="s">
        <v>59</v>
      </c>
      <c r="Q1207" s="46" t="s">
        <v>59</v>
      </c>
      <c r="R1207" s="46" t="s">
        <v>37</v>
      </c>
      <c r="S1207" s="46" t="s">
        <v>36</v>
      </c>
      <c r="T1207" s="46" t="s">
        <v>36</v>
      </c>
      <c r="U1207" s="46" t="s">
        <v>59</v>
      </c>
      <c r="V1207" s="46" t="s">
        <v>59</v>
      </c>
      <c r="W1207" s="46" t="s">
        <v>59</v>
      </c>
      <c r="X1207" s="46" t="s">
        <v>59</v>
      </c>
      <c r="Y1207" s="46" t="s">
        <v>37</v>
      </c>
      <c r="Z1207" s="46" t="s">
        <v>36</v>
      </c>
      <c r="AA1207" s="46" t="s">
        <v>36</v>
      </c>
      <c r="AB1207" s="46" t="s">
        <v>36</v>
      </c>
      <c r="AC1207" s="46" t="s">
        <v>36</v>
      </c>
      <c r="AD1207" s="46" t="s">
        <v>36</v>
      </c>
      <c r="AE1207" s="46" t="s">
        <v>36</v>
      </c>
      <c r="AF1207" s="46" t="s">
        <v>36</v>
      </c>
      <c r="AG1207" s="46" t="s">
        <v>37</v>
      </c>
      <c r="AH1207" s="46" t="s">
        <v>43</v>
      </c>
      <c r="AI1207" s="46" t="s">
        <v>36</v>
      </c>
      <c r="AJ1207" s="46">
        <f>=SUM(E1208:AI1208)</f>
      </c>
      <c r="AK1207" s="46">
        <f>=+AY1207</f>
      </c>
      <c r="AL1207" s="46"/>
      <c r="AM1207" s="1"/>
      <c r="AN1207" s="1">
        <f>=COUNTIF(E1207:AI1207,"A")+COUNTIF(E1207:AI1207,"B")+COUNTIF(E1207:AI1207,"C")+COUNTIF(E1207:AI1207,"D")+COUNTIF(E1207:AI1207,"E")+COUNTIF(E1207:AI1207,"F")+COUNTIF(E1207:AI1207,"M")+COUNTIF(E1207:AI1207,"AB")+COUNTIF(E1207:AI1207,"UZ")+COUNTIF(E1207:AI1207,"G")+(COUNTIF(E1207:AI1207,"RT.")/2)+(COUNTIF(E1207:AI1207,"ÇRT.")/2)</f>
      </c>
      <c r="AO1207" s="1">
        <f>=COUNTIF(E1207:AI1207,"O")</f>
      </c>
      <c r="AP1207" s="1">
        <f>=COUNTIF(E1207:AI1207,"RT")+(COUNTIF(E1207:AI1207,"RT.")/2)</f>
      </c>
      <c r="AQ1207" s="1">
        <f>=COUNTIF(E1207:AI1207,"ÇRT")+(COUNTIF(E1207:AI1207,"ÇRT.")/2)</f>
      </c>
      <c r="AR1207" s="1">
        <f>=COUNTIF(E1207:AI1207,"ÇHT")</f>
      </c>
      <c r="AS1207" s="1">
        <f>=COUNTIF(E1207:AI1207,"Ö")+COUNTIF(E1207:AI1207,"T")</f>
      </c>
      <c r="AT1207" s="1">
        <f>=COUNTIF(E1207:AI1207,"Y")</f>
      </c>
      <c r="AU1207" s="1">
        <f>=COUNTIF(E1207:AI1207,"R.")</f>
      </c>
      <c r="AV1207" s="1">
        <f>=COUNTIF(E1207:AI1207,"Ü")</f>
      </c>
      <c r="AW1207" s="1">
        <f>=COUNTIF(E1207:AI1207,"R")</f>
      </c>
      <c r="AX1207" s="1">
        <f>=COUNTIF(E1207:AI1207,"DV")</f>
      </c>
      <c r="AY1207" s="1">
        <f>=+AN1207+AO1207+AP1207+AQ1207+AR1207+AS1207+AT1207+AU1207</f>
      </c>
    </row>
    <row r="1208" ht="16" customHeight="1" spans="1:51" x14ac:dyDescent="0.25">
      <c r="A1208" s="45"/>
      <c r="B1208" s="46"/>
      <c r="C1208" s="46"/>
      <c r="D1208" s="46" t="s">
        <v>33</v>
      </c>
      <c r="E1208" s="46"/>
      <c r="F1208" s="46"/>
      <c r="G1208" s="46"/>
      <c r="H1208" s="46"/>
      <c r="I1208" s="46"/>
      <c r="J1208" s="46"/>
      <c r="K1208" s="46"/>
      <c r="L1208" s="46"/>
      <c r="M1208" s="46"/>
      <c r="N1208" s="46"/>
      <c r="O1208" s="46"/>
      <c r="P1208" s="46"/>
      <c r="Q1208" s="46"/>
      <c r="R1208" s="46"/>
      <c r="S1208" s="46"/>
      <c r="T1208" s="46"/>
      <c r="U1208" s="46"/>
      <c r="V1208" s="46"/>
      <c r="W1208" s="46"/>
      <c r="X1208" s="46"/>
      <c r="Y1208" s="46"/>
      <c r="Z1208" s="46"/>
      <c r="AA1208" s="46"/>
      <c r="AB1208" s="46"/>
      <c r="AC1208" s="46"/>
      <c r="AD1208" s="46"/>
      <c r="AE1208" s="46"/>
      <c r="AF1208" s="46"/>
      <c r="AG1208" s="46"/>
      <c r="AH1208" s="46"/>
      <c r="AI1208" s="46"/>
      <c r="AJ1208" s="46"/>
      <c r="AK1208" s="46"/>
      <c r="AL1208" s="46"/>
      <c r="AM1208" s="1"/>
      <c r="AN1208" s="1"/>
      <c r="AO1208" s="1"/>
      <c r="AP1208" s="1"/>
      <c r="AQ1208" s="1"/>
      <c r="AR1208" s="1"/>
      <c r="AS1208" s="1"/>
      <c r="AT1208" s="1"/>
      <c r="AU1208" s="1"/>
      <c r="AV1208" s="1"/>
      <c r="AW1208" s="1"/>
      <c r="AX1208" s="1"/>
      <c r="AY1208" s="1"/>
    </row>
    <row r="1209" ht="16" customHeight="1" spans="1:51" x14ac:dyDescent="0.25">
      <c r="A1209" s="45"/>
      <c r="B1209" s="46" t="s">
        <v>1260</v>
      </c>
      <c r="C1209" s="46" t="s">
        <v>1261</v>
      </c>
      <c r="D1209" s="46" t="s">
        <v>29</v>
      </c>
      <c r="E1209" s="46" t="s">
        <v>59</v>
      </c>
      <c r="F1209" s="46" t="s">
        <v>59</v>
      </c>
      <c r="G1209" s="46" t="s">
        <v>37</v>
      </c>
      <c r="H1209" s="46" t="s">
        <v>36</v>
      </c>
      <c r="I1209" s="46" t="s">
        <v>36</v>
      </c>
      <c r="J1209" s="46" t="s">
        <v>36</v>
      </c>
      <c r="K1209" s="46" t="s">
        <v>36</v>
      </c>
      <c r="L1209" s="46" t="s">
        <v>36</v>
      </c>
      <c r="M1209" s="46" t="s">
        <v>59</v>
      </c>
      <c r="N1209" s="46" t="s">
        <v>37</v>
      </c>
      <c r="O1209" s="46" t="s">
        <v>36</v>
      </c>
      <c r="P1209" s="46" t="s">
        <v>36</v>
      </c>
      <c r="Q1209" s="46" t="s">
        <v>36</v>
      </c>
      <c r="R1209" s="46" t="s">
        <v>59</v>
      </c>
      <c r="S1209" s="46" t="s">
        <v>59</v>
      </c>
      <c r="T1209" s="46" t="s">
        <v>59</v>
      </c>
      <c r="U1209" s="46" t="s">
        <v>37</v>
      </c>
      <c r="V1209" s="46" t="s">
        <v>59</v>
      </c>
      <c r="W1209" s="46" t="s">
        <v>46</v>
      </c>
      <c r="X1209" s="46" t="s">
        <v>36</v>
      </c>
      <c r="Y1209" s="46" t="s">
        <v>36</v>
      </c>
      <c r="Z1209" s="46" t="s">
        <v>36</v>
      </c>
      <c r="AA1209" s="46" t="s">
        <v>36</v>
      </c>
      <c r="AB1209" s="46" t="s">
        <v>37</v>
      </c>
      <c r="AC1209" s="46" t="s">
        <v>59</v>
      </c>
      <c r="AD1209" s="46" t="s">
        <v>59</v>
      </c>
      <c r="AE1209" s="46" t="s">
        <v>59</v>
      </c>
      <c r="AF1209" s="46" t="s">
        <v>59</v>
      </c>
      <c r="AG1209" s="46" t="s">
        <v>59</v>
      </c>
      <c r="AH1209" s="46" t="s">
        <v>43</v>
      </c>
      <c r="AI1209" s="46" t="s">
        <v>36</v>
      </c>
      <c r="AJ1209" s="46">
        <f>=SUM(E1210:AI1210)</f>
      </c>
      <c r="AK1209" s="46">
        <f>=+AY1209</f>
      </c>
      <c r="AL1209" s="46"/>
      <c r="AM1209" s="1"/>
      <c r="AN1209" s="1">
        <f>=COUNTIF(E1209:AI1209,"A")+COUNTIF(E1209:AI1209,"B")+COUNTIF(E1209:AI1209,"C")+COUNTIF(E1209:AI1209,"D")+COUNTIF(E1209:AI1209,"E")+COUNTIF(E1209:AI1209,"F")+COUNTIF(E1209:AI1209,"M")+COUNTIF(E1209:AI1209,"AB")+COUNTIF(E1209:AI1209,"UZ")+COUNTIF(E1209:AI1209,"G")+(COUNTIF(E1209:AI1209,"RT.")/2)+(COUNTIF(E1209:AI1209,"ÇRT.")/2)</f>
      </c>
      <c r="AO1209" s="1">
        <f>=COUNTIF(E1209:AI1209,"O")</f>
      </c>
      <c r="AP1209" s="1">
        <f>=COUNTIF(E1209:AI1209,"RT")+(COUNTIF(E1209:AI1209,"RT.")/2)</f>
      </c>
      <c r="AQ1209" s="1">
        <f>=COUNTIF(E1209:AI1209,"ÇRT")+(COUNTIF(E1209:AI1209,"ÇRT.")/2)</f>
      </c>
      <c r="AR1209" s="1">
        <f>=COUNTIF(E1209:AI1209,"ÇHT")</f>
      </c>
      <c r="AS1209" s="1">
        <f>=COUNTIF(E1209:AI1209,"Ö")+COUNTIF(E1209:AI1209,"T")</f>
      </c>
      <c r="AT1209" s="1">
        <f>=COUNTIF(E1209:AI1209,"Y")</f>
      </c>
      <c r="AU1209" s="1">
        <f>=COUNTIF(E1209:AI1209,"R.")</f>
      </c>
      <c r="AV1209" s="1">
        <f>=COUNTIF(E1209:AI1209,"Ü")</f>
      </c>
      <c r="AW1209" s="1">
        <f>=COUNTIF(E1209:AI1209,"R")</f>
      </c>
      <c r="AX1209" s="1">
        <f>=COUNTIF(E1209:AI1209,"DV")</f>
      </c>
      <c r="AY1209" s="1">
        <f>=+AN1209+AO1209+AP1209+AQ1209+AR1209+AS1209+AT1209+AU1209</f>
      </c>
    </row>
    <row r="1210" ht="16" customHeight="1" spans="1:51" x14ac:dyDescent="0.25">
      <c r="A1210" s="45"/>
      <c r="B1210" s="46"/>
      <c r="C1210" s="46"/>
      <c r="D1210" s="46" t="s">
        <v>33</v>
      </c>
      <c r="E1210" s="46"/>
      <c r="F1210" s="46"/>
      <c r="G1210" s="46"/>
      <c r="H1210" s="46"/>
      <c r="I1210" s="46"/>
      <c r="J1210" s="46"/>
      <c r="K1210" s="46"/>
      <c r="L1210" s="46"/>
      <c r="M1210" s="46"/>
      <c r="N1210" s="46"/>
      <c r="O1210" s="46"/>
      <c r="P1210" s="46"/>
      <c r="Q1210" s="46"/>
      <c r="R1210" s="46"/>
      <c r="S1210" s="46"/>
      <c r="T1210" s="46"/>
      <c r="U1210" s="46"/>
      <c r="V1210" s="46"/>
      <c r="W1210" s="46"/>
      <c r="X1210" s="46"/>
      <c r="Y1210" s="46"/>
      <c r="Z1210" s="46"/>
      <c r="AA1210" s="46"/>
      <c r="AB1210" s="46"/>
      <c r="AC1210" s="46"/>
      <c r="AD1210" s="46"/>
      <c r="AE1210" s="46"/>
      <c r="AF1210" s="46"/>
      <c r="AG1210" s="46"/>
      <c r="AH1210" s="46"/>
      <c r="AI1210" s="46"/>
      <c r="AJ1210" s="46"/>
      <c r="AK1210" s="46"/>
      <c r="AL1210" s="46"/>
      <c r="AM1210" s="1"/>
      <c r="AN1210" s="1"/>
      <c r="AO1210" s="1"/>
      <c r="AP1210" s="1"/>
      <c r="AQ1210" s="1"/>
      <c r="AR1210" s="1"/>
      <c r="AS1210" s="1"/>
      <c r="AT1210" s="1"/>
      <c r="AU1210" s="1"/>
      <c r="AV1210" s="1"/>
      <c r="AW1210" s="1"/>
      <c r="AX1210" s="1"/>
      <c r="AY1210" s="1"/>
    </row>
    <row r="1211" ht="16" customHeight="1" spans="1:51" x14ac:dyDescent="0.25">
      <c r="A1211" s="45"/>
      <c r="B1211" s="46" t="s">
        <v>1262</v>
      </c>
      <c r="C1211" s="46" t="s">
        <v>1263</v>
      </c>
      <c r="D1211" s="46" t="s">
        <v>29</v>
      </c>
      <c r="E1211" s="46" t="s">
        <v>59</v>
      </c>
      <c r="F1211" s="46" t="s">
        <v>59</v>
      </c>
      <c r="G1211" s="46" t="s">
        <v>59</v>
      </c>
      <c r="H1211" s="46" t="s">
        <v>59</v>
      </c>
      <c r="I1211" s="46" t="s">
        <v>37</v>
      </c>
      <c r="J1211" s="46" t="s">
        <v>59</v>
      </c>
      <c r="K1211" s="46" t="s">
        <v>59</v>
      </c>
      <c r="L1211" s="46" t="s">
        <v>59</v>
      </c>
      <c r="M1211" s="46" t="s">
        <v>59</v>
      </c>
      <c r="N1211" s="46" t="s">
        <v>59</v>
      </c>
      <c r="O1211" s="46" t="s">
        <v>59</v>
      </c>
      <c r="P1211" s="46" t="s">
        <v>37</v>
      </c>
      <c r="Q1211" s="46" t="s">
        <v>30</v>
      </c>
      <c r="R1211" s="46" t="s">
        <v>30</v>
      </c>
      <c r="S1211" s="46" t="s">
        <v>30</v>
      </c>
      <c r="T1211" s="46" t="s">
        <v>30</v>
      </c>
      <c r="U1211" s="46" t="s">
        <v>30</v>
      </c>
      <c r="V1211" s="46" t="s">
        <v>30</v>
      </c>
      <c r="W1211" s="46" t="s">
        <v>37</v>
      </c>
      <c r="X1211" s="46" t="s">
        <v>30</v>
      </c>
      <c r="Y1211" s="46" t="s">
        <v>30</v>
      </c>
      <c r="Z1211" s="46" t="s">
        <v>30</v>
      </c>
      <c r="AA1211" s="46" t="s">
        <v>30</v>
      </c>
      <c r="AB1211" s="46" t="s">
        <v>30</v>
      </c>
      <c r="AC1211" s="46" t="s">
        <v>30</v>
      </c>
      <c r="AD1211" s="46" t="s">
        <v>37</v>
      </c>
      <c r="AE1211" s="46" t="s">
        <v>59</v>
      </c>
      <c r="AF1211" s="46" t="s">
        <v>59</v>
      </c>
      <c r="AG1211" s="46" t="s">
        <v>59</v>
      </c>
      <c r="AH1211" s="46" t="s">
        <v>43</v>
      </c>
      <c r="AI1211" s="46" t="s">
        <v>46</v>
      </c>
      <c r="AJ1211" s="46">
        <f>=SUM(E1212:AI1212)</f>
      </c>
      <c r="AK1211" s="46">
        <f>=+AY1211</f>
      </c>
      <c r="AL1211" s="46"/>
      <c r="AM1211" s="1"/>
      <c r="AN1211" s="1">
        <f>=COUNTIF(E1211:AI1211,"A")+COUNTIF(E1211:AI1211,"B")+COUNTIF(E1211:AI1211,"C")+COUNTIF(E1211:AI1211,"D")+COUNTIF(E1211:AI1211,"E")+COUNTIF(E1211:AI1211,"F")+COUNTIF(E1211:AI1211,"M")+COUNTIF(E1211:AI1211,"AB")+COUNTIF(E1211:AI1211,"UZ")+COUNTIF(E1211:AI1211,"G")+(COUNTIF(E1211:AI1211,"RT.")/2)+(COUNTIF(E1211:AI1211,"ÇRT.")/2)</f>
      </c>
      <c r="AO1211" s="1">
        <f>=COUNTIF(E1211:AI1211,"O")</f>
      </c>
      <c r="AP1211" s="1">
        <f>=COUNTIF(E1211:AI1211,"RT")+(COUNTIF(E1211:AI1211,"RT.")/2)</f>
      </c>
      <c r="AQ1211" s="1">
        <f>=COUNTIF(E1211:AI1211,"ÇRT")+(COUNTIF(E1211:AI1211,"ÇRT.")/2)</f>
      </c>
      <c r="AR1211" s="1">
        <f>=COUNTIF(E1211:AI1211,"ÇHT")</f>
      </c>
      <c r="AS1211" s="1">
        <f>=COUNTIF(E1211:AI1211,"Ö")+COUNTIF(E1211:AI1211,"T")</f>
      </c>
      <c r="AT1211" s="1">
        <f>=COUNTIF(E1211:AI1211,"Y")</f>
      </c>
      <c r="AU1211" s="1">
        <f>=COUNTIF(E1211:AI1211,"R.")</f>
      </c>
      <c r="AV1211" s="1">
        <f>=COUNTIF(E1211:AI1211,"Ü")</f>
      </c>
      <c r="AW1211" s="1">
        <f>=COUNTIF(E1211:AI1211,"R")</f>
      </c>
      <c r="AX1211" s="1">
        <f>=COUNTIF(E1211:AI1211,"DV")</f>
      </c>
      <c r="AY1211" s="1">
        <f>=+AN1211+AO1211+AP1211+AQ1211+AR1211+AS1211+AT1211+AU1211</f>
      </c>
    </row>
    <row r="1212" ht="16" customHeight="1" spans="1:51" x14ac:dyDescent="0.25">
      <c r="A1212" s="45"/>
      <c r="B1212" s="46"/>
      <c r="C1212" s="46"/>
      <c r="D1212" s="46" t="s">
        <v>33</v>
      </c>
      <c r="E1212" s="46"/>
      <c r="F1212" s="46"/>
      <c r="G1212" s="46"/>
      <c r="H1212" s="46"/>
      <c r="I1212" s="46"/>
      <c r="J1212" s="46"/>
      <c r="K1212" s="46"/>
      <c r="L1212" s="46"/>
      <c r="M1212" s="46"/>
      <c r="N1212" s="46"/>
      <c r="O1212" s="46"/>
      <c r="P1212" s="46"/>
      <c r="Q1212" s="46"/>
      <c r="R1212" s="46"/>
      <c r="S1212" s="46"/>
      <c r="T1212" s="46"/>
      <c r="U1212" s="46"/>
      <c r="V1212" s="46"/>
      <c r="W1212" s="46"/>
      <c r="X1212" s="46"/>
      <c r="Y1212" s="46"/>
      <c r="Z1212" s="46"/>
      <c r="AA1212" s="46"/>
      <c r="AB1212" s="46"/>
      <c r="AC1212" s="46"/>
      <c r="AD1212" s="46"/>
      <c r="AE1212" s="46"/>
      <c r="AF1212" s="46"/>
      <c r="AG1212" s="46"/>
      <c r="AH1212" s="46"/>
      <c r="AI1212" s="46"/>
      <c r="AJ1212" s="46"/>
      <c r="AK1212" s="46"/>
      <c r="AL1212" s="46"/>
      <c r="AM1212" s="1"/>
      <c r="AN1212" s="1"/>
      <c r="AO1212" s="1"/>
      <c r="AP1212" s="1"/>
      <c r="AQ1212" s="1"/>
      <c r="AR1212" s="1"/>
      <c r="AS1212" s="1"/>
      <c r="AT1212" s="1"/>
      <c r="AU1212" s="1"/>
      <c r="AV1212" s="1"/>
      <c r="AW1212" s="1"/>
      <c r="AX1212" s="1"/>
      <c r="AY1212" s="1"/>
    </row>
    <row r="1213" ht="16" customHeight="1" spans="1:51" x14ac:dyDescent="0.25">
      <c r="A1213" s="45"/>
      <c r="B1213" s="46" t="s">
        <v>1264</v>
      </c>
      <c r="C1213" s="46" t="s">
        <v>1265</v>
      </c>
      <c r="D1213" s="46" t="s">
        <v>29</v>
      </c>
      <c r="E1213" s="46" t="s">
        <v>37</v>
      </c>
      <c r="F1213" s="46" t="s">
        <v>36</v>
      </c>
      <c r="G1213" s="46" t="s">
        <v>36</v>
      </c>
      <c r="H1213" s="46" t="s">
        <v>36</v>
      </c>
      <c r="I1213" s="46" t="s">
        <v>36</v>
      </c>
      <c r="J1213" s="46" t="s">
        <v>36</v>
      </c>
      <c r="K1213" s="46" t="s">
        <v>36</v>
      </c>
      <c r="L1213" s="46" t="s">
        <v>37</v>
      </c>
      <c r="M1213" s="46" t="s">
        <v>36</v>
      </c>
      <c r="N1213" s="46" t="s">
        <v>36</v>
      </c>
      <c r="O1213" s="46" t="s">
        <v>36</v>
      </c>
      <c r="P1213" s="46" t="s">
        <v>36</v>
      </c>
      <c r="Q1213" s="46" t="s">
        <v>36</v>
      </c>
      <c r="R1213" s="46" t="s">
        <v>36</v>
      </c>
      <c r="S1213" s="46" t="s">
        <v>37</v>
      </c>
      <c r="T1213" s="46" t="s">
        <v>36</v>
      </c>
      <c r="U1213" s="46" t="s">
        <v>36</v>
      </c>
      <c r="V1213" s="46" t="s">
        <v>36</v>
      </c>
      <c r="W1213" s="46" t="s">
        <v>36</v>
      </c>
      <c r="X1213" s="46" t="s">
        <v>36</v>
      </c>
      <c r="Y1213" s="46" t="s">
        <v>36</v>
      </c>
      <c r="Z1213" s="46" t="s">
        <v>37</v>
      </c>
      <c r="AA1213" s="46" t="s">
        <v>36</v>
      </c>
      <c r="AB1213" s="46" t="s">
        <v>36</v>
      </c>
      <c r="AC1213" s="46" t="s">
        <v>36</v>
      </c>
      <c r="AD1213" s="46" t="s">
        <v>36</v>
      </c>
      <c r="AE1213" s="46" t="s">
        <v>36</v>
      </c>
      <c r="AF1213" s="46" t="s">
        <v>36</v>
      </c>
      <c r="AG1213" s="46" t="s">
        <v>37</v>
      </c>
      <c r="AH1213" s="46" t="s">
        <v>43</v>
      </c>
      <c r="AI1213" s="46" t="s">
        <v>36</v>
      </c>
      <c r="AJ1213" s="46">
        <f>=SUM(E1214:AI1214)</f>
      </c>
      <c r="AK1213" s="46">
        <f>=+AY1213</f>
      </c>
      <c r="AL1213" s="46"/>
      <c r="AM1213" s="1"/>
      <c r="AN1213" s="1">
        <f>=COUNTIF(E1213:AI1213,"A")+COUNTIF(E1213:AI1213,"B")+COUNTIF(E1213:AI1213,"C")+COUNTIF(E1213:AI1213,"D")+COUNTIF(E1213:AI1213,"E")+COUNTIF(E1213:AI1213,"F")+COUNTIF(E1213:AI1213,"M")+COUNTIF(E1213:AI1213,"AB")+COUNTIF(E1213:AI1213,"UZ")+COUNTIF(E1213:AI1213,"G")+(COUNTIF(E1213:AI1213,"RT.")/2)+(COUNTIF(E1213:AI1213,"ÇRT.")/2)</f>
      </c>
      <c r="AO1213" s="1">
        <f>=COUNTIF(E1213:AI1213,"O")</f>
      </c>
      <c r="AP1213" s="1">
        <f>=COUNTIF(E1213:AI1213,"RT")+(COUNTIF(E1213:AI1213,"RT.")/2)</f>
      </c>
      <c r="AQ1213" s="1">
        <f>=COUNTIF(E1213:AI1213,"ÇRT")+(COUNTIF(E1213:AI1213,"ÇRT.")/2)</f>
      </c>
      <c r="AR1213" s="1">
        <f>=COUNTIF(E1213:AI1213,"ÇHT")</f>
      </c>
      <c r="AS1213" s="1">
        <f>=COUNTIF(E1213:AI1213,"Ö")+COUNTIF(E1213:AI1213,"T")</f>
      </c>
      <c r="AT1213" s="1">
        <f>=COUNTIF(E1213:AI1213,"Y")</f>
      </c>
      <c r="AU1213" s="1">
        <f>=COUNTIF(E1213:AI1213,"R.")</f>
      </c>
      <c r="AV1213" s="1">
        <f>=COUNTIF(E1213:AI1213,"Ü")</f>
      </c>
      <c r="AW1213" s="1">
        <f>=COUNTIF(E1213:AI1213,"R")</f>
      </c>
      <c r="AX1213" s="1">
        <f>=COUNTIF(E1213:AI1213,"DV")</f>
      </c>
      <c r="AY1213" s="1">
        <f>=+AN1213+AO1213+AP1213+AQ1213+AR1213+AS1213+AT1213+AU1213</f>
      </c>
    </row>
    <row r="1214" ht="16" customHeight="1" spans="1:51" x14ac:dyDescent="0.25">
      <c r="A1214" s="45"/>
      <c r="B1214" s="46"/>
      <c r="C1214" s="46"/>
      <c r="D1214" s="46" t="s">
        <v>33</v>
      </c>
      <c r="E1214" s="46"/>
      <c r="F1214" s="46"/>
      <c r="G1214" s="46"/>
      <c r="H1214" s="46"/>
      <c r="I1214" s="46"/>
      <c r="J1214" s="46"/>
      <c r="K1214" s="46"/>
      <c r="L1214" s="46"/>
      <c r="M1214" s="46"/>
      <c r="N1214" s="46"/>
      <c r="O1214" s="46"/>
      <c r="P1214" s="46"/>
      <c r="Q1214" s="46"/>
      <c r="R1214" s="46"/>
      <c r="S1214" s="46"/>
      <c r="T1214" s="46"/>
      <c r="U1214" s="46"/>
      <c r="V1214" s="46"/>
      <c r="W1214" s="46"/>
      <c r="X1214" s="46"/>
      <c r="Y1214" s="46"/>
      <c r="Z1214" s="46"/>
      <c r="AA1214" s="46"/>
      <c r="AB1214" s="46"/>
      <c r="AC1214" s="46"/>
      <c r="AD1214" s="46"/>
      <c r="AE1214" s="46"/>
      <c r="AF1214" s="46"/>
      <c r="AG1214" s="46"/>
      <c r="AH1214" s="46"/>
      <c r="AI1214" s="46"/>
      <c r="AJ1214" s="46"/>
      <c r="AK1214" s="46"/>
      <c r="AL1214" s="46"/>
      <c r="AM1214" s="1"/>
      <c r="AN1214" s="1"/>
      <c r="AO1214" s="1"/>
      <c r="AP1214" s="1"/>
      <c r="AQ1214" s="1"/>
      <c r="AR1214" s="1"/>
      <c r="AS1214" s="1"/>
      <c r="AT1214" s="1"/>
      <c r="AU1214" s="1"/>
      <c r="AV1214" s="1"/>
      <c r="AW1214" s="1"/>
      <c r="AX1214" s="1"/>
      <c r="AY1214" s="1"/>
    </row>
    <row r="1215" ht="16" customHeight="1" spans="1:51" x14ac:dyDescent="0.25">
      <c r="A1215" s="45"/>
      <c r="B1215" s="46" t="s">
        <v>1266</v>
      </c>
      <c r="C1215" s="46" t="s">
        <v>1267</v>
      </c>
      <c r="D1215" s="46" t="s">
        <v>29</v>
      </c>
      <c r="E1215" s="46"/>
      <c r="F1215" s="46"/>
      <c r="G1215" s="46"/>
      <c r="H1215" s="46"/>
      <c r="I1215" s="46"/>
      <c r="J1215" s="46"/>
      <c r="K1215" s="46"/>
      <c r="L1215" s="46"/>
      <c r="M1215" s="46"/>
      <c r="N1215" s="46"/>
      <c r="O1215" s="46"/>
      <c r="P1215" s="46"/>
      <c r="Q1215" s="46"/>
      <c r="R1215" s="46"/>
      <c r="S1215" s="46"/>
      <c r="T1215" s="46"/>
      <c r="U1215" s="46"/>
      <c r="V1215" s="46"/>
      <c r="W1215" s="46"/>
      <c r="X1215" s="46"/>
      <c r="Y1215" s="46"/>
      <c r="Z1215" s="46"/>
      <c r="AA1215" s="46"/>
      <c r="AB1215" s="46"/>
      <c r="AC1215" s="46"/>
      <c r="AD1215" s="46"/>
      <c r="AE1215" s="46"/>
      <c r="AF1215" s="46"/>
      <c r="AG1215" s="46"/>
      <c r="AH1215" s="46"/>
      <c r="AI1215" s="46"/>
      <c r="AJ1215" s="46">
        <f>=SUM(E1216:AI1216)</f>
      </c>
      <c r="AK1215" s="46">
        <f>=+AY1215</f>
      </c>
      <c r="AL1215" s="46"/>
      <c r="AM1215" s="1"/>
      <c r="AN1215" s="1">
        <f>=COUNTIF(E1215:AI1215,"A")+COUNTIF(E1215:AI1215,"B")+COUNTIF(E1215:AI1215,"C")+COUNTIF(E1215:AI1215,"D")+COUNTIF(E1215:AI1215,"E")+COUNTIF(E1215:AI1215,"F")+COUNTIF(E1215:AI1215,"M")+COUNTIF(E1215:AI1215,"AB")+COUNTIF(E1215:AI1215,"UZ")+COUNTIF(E1215:AI1215,"G")+(COUNTIF(E1215:AI1215,"RT.")/2)+(COUNTIF(E1215:AI1215,"ÇRT.")/2)</f>
      </c>
      <c r="AO1215" s="1">
        <f>=COUNTIF(E1215:AI1215,"O")</f>
      </c>
      <c r="AP1215" s="1">
        <f>=COUNTIF(E1215:AI1215,"RT")+(COUNTIF(E1215:AI1215,"RT.")/2)</f>
      </c>
      <c r="AQ1215" s="1">
        <f>=COUNTIF(E1215:AI1215,"ÇRT")+(COUNTIF(E1215:AI1215,"ÇRT.")/2)</f>
      </c>
      <c r="AR1215" s="1">
        <f>=COUNTIF(E1215:AI1215,"ÇHT")</f>
      </c>
      <c r="AS1215" s="1">
        <f>=COUNTIF(E1215:AI1215,"Ö")+COUNTIF(E1215:AI1215,"T")</f>
      </c>
      <c r="AT1215" s="1">
        <f>=COUNTIF(E1215:AI1215,"Y")</f>
      </c>
      <c r="AU1215" s="1">
        <f>=COUNTIF(E1215:AI1215,"R.")</f>
      </c>
      <c r="AV1215" s="1">
        <f>=COUNTIF(E1215:AI1215,"Ü")</f>
      </c>
      <c r="AW1215" s="1">
        <f>=COUNTIF(E1215:AI1215,"R")</f>
      </c>
      <c r="AX1215" s="1">
        <f>=COUNTIF(E1215:AI1215,"DV")</f>
      </c>
      <c r="AY1215" s="1">
        <f>=+AN1215+AO1215+AP1215+AQ1215+AR1215+AS1215+AT1215+AU1215</f>
      </c>
    </row>
    <row r="1216" ht="16" customHeight="1" spans="1:51" x14ac:dyDescent="0.25">
      <c r="A1216" s="45"/>
      <c r="B1216" s="46"/>
      <c r="C1216" s="46"/>
      <c r="D1216" s="46" t="s">
        <v>33</v>
      </c>
      <c r="E1216" s="46"/>
      <c r="F1216" s="46"/>
      <c r="G1216" s="46"/>
      <c r="H1216" s="46"/>
      <c r="I1216" s="46"/>
      <c r="J1216" s="46"/>
      <c r="K1216" s="46"/>
      <c r="L1216" s="46"/>
      <c r="M1216" s="46"/>
      <c r="N1216" s="46"/>
      <c r="O1216" s="46"/>
      <c r="P1216" s="46"/>
      <c r="Q1216" s="46"/>
      <c r="R1216" s="46"/>
      <c r="S1216" s="46"/>
      <c r="T1216" s="46"/>
      <c r="U1216" s="46"/>
      <c r="V1216" s="46"/>
      <c r="W1216" s="46"/>
      <c r="X1216" s="46"/>
      <c r="Y1216" s="46"/>
      <c r="Z1216" s="46"/>
      <c r="AA1216" s="46"/>
      <c r="AB1216" s="46"/>
      <c r="AC1216" s="46"/>
      <c r="AD1216" s="46"/>
      <c r="AE1216" s="46"/>
      <c r="AF1216" s="46"/>
      <c r="AG1216" s="46"/>
      <c r="AH1216" s="46"/>
      <c r="AI1216" s="46"/>
      <c r="AJ1216" s="46"/>
      <c r="AK1216" s="46"/>
      <c r="AL1216" s="46"/>
      <c r="AM1216" s="1"/>
      <c r="AN1216" s="1"/>
      <c r="AO1216" s="1"/>
      <c r="AP1216" s="1"/>
      <c r="AQ1216" s="1"/>
      <c r="AR1216" s="1"/>
      <c r="AS1216" s="1"/>
      <c r="AT1216" s="1"/>
      <c r="AU1216" s="1"/>
      <c r="AV1216" s="1"/>
      <c r="AW1216" s="1"/>
      <c r="AX1216" s="1"/>
      <c r="AY1216" s="1"/>
    </row>
    <row r="1217" ht="16" customHeight="1" spans="1:51" x14ac:dyDescent="0.25">
      <c r="A1217" s="45"/>
      <c r="B1217" s="46" t="s">
        <v>1268</v>
      </c>
      <c r="C1217" s="46" t="s">
        <v>1269</v>
      </c>
      <c r="D1217" s="46" t="s">
        <v>29</v>
      </c>
      <c r="E1217" s="46" t="s">
        <v>36</v>
      </c>
      <c r="F1217" s="46" t="s">
        <v>37</v>
      </c>
      <c r="G1217" s="46" t="s">
        <v>36</v>
      </c>
      <c r="H1217" s="46" t="s">
        <v>36</v>
      </c>
      <c r="I1217" s="46" t="s">
        <v>36</v>
      </c>
      <c r="J1217" s="46" t="s">
        <v>36</v>
      </c>
      <c r="K1217" s="46" t="s">
        <v>36</v>
      </c>
      <c r="L1217" s="46" t="s">
        <v>36</v>
      </c>
      <c r="M1217" s="46" t="s">
        <v>37</v>
      </c>
      <c r="N1217" s="46" t="s">
        <v>36</v>
      </c>
      <c r="O1217" s="46" t="s">
        <v>36</v>
      </c>
      <c r="P1217" s="46" t="s">
        <v>36</v>
      </c>
      <c r="Q1217" s="46" t="s">
        <v>36</v>
      </c>
      <c r="R1217" s="46" t="s">
        <v>36</v>
      </c>
      <c r="S1217" s="46" t="s">
        <v>36</v>
      </c>
      <c r="T1217" s="46" t="s">
        <v>37</v>
      </c>
      <c r="U1217" s="46" t="s">
        <v>36</v>
      </c>
      <c r="V1217" s="46" t="s">
        <v>36</v>
      </c>
      <c r="W1217" s="46" t="s">
        <v>36</v>
      </c>
      <c r="X1217" s="46" t="s">
        <v>36</v>
      </c>
      <c r="Y1217" s="46" t="s">
        <v>36</v>
      </c>
      <c r="Z1217" s="46" t="s">
        <v>36</v>
      </c>
      <c r="AA1217" s="46" t="s">
        <v>37</v>
      </c>
      <c r="AB1217" s="46" t="s">
        <v>36</v>
      </c>
      <c r="AC1217" s="46" t="s">
        <v>36</v>
      </c>
      <c r="AD1217" s="46" t="s">
        <v>36</v>
      </c>
      <c r="AE1217" s="46" t="s">
        <v>36</v>
      </c>
      <c r="AF1217" s="46" t="s">
        <v>36</v>
      </c>
      <c r="AG1217" s="46" t="s">
        <v>36</v>
      </c>
      <c r="AH1217" s="46" t="s">
        <v>37</v>
      </c>
      <c r="AI1217" s="46" t="s">
        <v>36</v>
      </c>
      <c r="AJ1217" s="46">
        <f>=SUM(E1218:AI1218)</f>
      </c>
      <c r="AK1217" s="46">
        <f>=+AY1217</f>
      </c>
      <c r="AL1217" s="46"/>
      <c r="AM1217" s="1"/>
      <c r="AN1217" s="1">
        <f>=COUNTIF(E1217:AI1217,"A")+COUNTIF(E1217:AI1217,"B")+COUNTIF(E1217:AI1217,"C")+COUNTIF(E1217:AI1217,"D")+COUNTIF(E1217:AI1217,"E")+COUNTIF(E1217:AI1217,"F")+COUNTIF(E1217:AI1217,"M")+COUNTIF(E1217:AI1217,"AB")+COUNTIF(E1217:AI1217,"UZ")+COUNTIF(E1217:AI1217,"G")+(COUNTIF(E1217:AI1217,"RT.")/2)+(COUNTIF(E1217:AI1217,"ÇRT.")/2)</f>
      </c>
      <c r="AO1217" s="1">
        <f>=COUNTIF(E1217:AI1217,"O")</f>
      </c>
      <c r="AP1217" s="1">
        <f>=COUNTIF(E1217:AI1217,"RT")+(COUNTIF(E1217:AI1217,"RT.")/2)</f>
      </c>
      <c r="AQ1217" s="1">
        <f>=COUNTIF(E1217:AI1217,"ÇRT")+(COUNTIF(E1217:AI1217,"ÇRT.")/2)</f>
      </c>
      <c r="AR1217" s="1">
        <f>=COUNTIF(E1217:AI1217,"ÇHT")</f>
      </c>
      <c r="AS1217" s="1">
        <f>=COUNTIF(E1217:AI1217,"Ö")+COUNTIF(E1217:AI1217,"T")</f>
      </c>
      <c r="AT1217" s="1">
        <f>=COUNTIF(E1217:AI1217,"Y")</f>
      </c>
      <c r="AU1217" s="1">
        <f>=COUNTIF(E1217:AI1217,"R.")</f>
      </c>
      <c r="AV1217" s="1">
        <f>=COUNTIF(E1217:AI1217,"Ü")</f>
      </c>
      <c r="AW1217" s="1">
        <f>=COUNTIF(E1217:AI1217,"R")</f>
      </c>
      <c r="AX1217" s="1">
        <f>=COUNTIF(E1217:AI1217,"DV")</f>
      </c>
      <c r="AY1217" s="1">
        <f>=+AN1217+AO1217+AP1217+AQ1217+AR1217+AS1217+AT1217+AU1217</f>
      </c>
    </row>
    <row r="1218" ht="16" customHeight="1" spans="1:51" x14ac:dyDescent="0.25">
      <c r="A1218" s="45"/>
      <c r="B1218" s="46"/>
      <c r="C1218" s="46"/>
      <c r="D1218" s="46" t="s">
        <v>33</v>
      </c>
      <c r="E1218" s="46"/>
      <c r="F1218" s="46"/>
      <c r="G1218" s="46"/>
      <c r="H1218" s="46"/>
      <c r="I1218" s="46"/>
      <c r="J1218" s="46"/>
      <c r="K1218" s="46"/>
      <c r="L1218" s="46"/>
      <c r="M1218" s="46"/>
      <c r="N1218" s="46"/>
      <c r="O1218" s="46"/>
      <c r="P1218" s="46"/>
      <c r="Q1218" s="46"/>
      <c r="R1218" s="46"/>
      <c r="S1218" s="46"/>
      <c r="T1218" s="46"/>
      <c r="U1218" s="46"/>
      <c r="V1218" s="46"/>
      <c r="W1218" s="46"/>
      <c r="X1218" s="46"/>
      <c r="Y1218" s="46"/>
      <c r="Z1218" s="46"/>
      <c r="AA1218" s="46"/>
      <c r="AB1218" s="46"/>
      <c r="AC1218" s="46"/>
      <c r="AD1218" s="46"/>
      <c r="AE1218" s="46"/>
      <c r="AF1218" s="46"/>
      <c r="AG1218" s="46"/>
      <c r="AH1218" s="46"/>
      <c r="AI1218" s="46"/>
      <c r="AJ1218" s="46"/>
      <c r="AK1218" s="46"/>
      <c r="AL1218" s="46"/>
      <c r="AM1218" s="1"/>
      <c r="AN1218" s="1"/>
      <c r="AO1218" s="1"/>
      <c r="AP1218" s="1"/>
      <c r="AQ1218" s="1"/>
      <c r="AR1218" s="1"/>
      <c r="AS1218" s="1"/>
      <c r="AT1218" s="1"/>
      <c r="AU1218" s="1"/>
      <c r="AV1218" s="1"/>
      <c r="AW1218" s="1"/>
      <c r="AX1218" s="1"/>
      <c r="AY1218" s="1"/>
    </row>
    <row r="1219" ht="16" customHeight="1" spans="1:51" x14ac:dyDescent="0.25">
      <c r="A1219" s="45"/>
      <c r="B1219" s="46" t="s">
        <v>1270</v>
      </c>
      <c r="C1219" s="46" t="s">
        <v>1271</v>
      </c>
      <c r="D1219" s="46" t="s">
        <v>29</v>
      </c>
      <c r="E1219" s="46" t="s">
        <v>98</v>
      </c>
      <c r="F1219" s="46" t="s">
        <v>37</v>
      </c>
      <c r="G1219" s="46" t="s">
        <v>36</v>
      </c>
      <c r="H1219" s="46" t="s">
        <v>36</v>
      </c>
      <c r="I1219" s="46" t="s">
        <v>36</v>
      </c>
      <c r="J1219" s="46" t="s">
        <v>36</v>
      </c>
      <c r="K1219" s="46" t="s">
        <v>36</v>
      </c>
      <c r="L1219" s="46" t="s">
        <v>36</v>
      </c>
      <c r="M1219" s="46" t="s">
        <v>37</v>
      </c>
      <c r="N1219" s="46" t="s">
        <v>36</v>
      </c>
      <c r="O1219" s="46" t="s">
        <v>36</v>
      </c>
      <c r="P1219" s="46" t="s">
        <v>36</v>
      </c>
      <c r="Q1219" s="46" t="s">
        <v>36</v>
      </c>
      <c r="R1219" s="46" t="s">
        <v>36</v>
      </c>
      <c r="S1219" s="46" t="s">
        <v>36</v>
      </c>
      <c r="T1219" s="46" t="s">
        <v>37</v>
      </c>
      <c r="U1219" s="46" t="s">
        <v>36</v>
      </c>
      <c r="V1219" s="46" t="s">
        <v>36</v>
      </c>
      <c r="W1219" s="46" t="s">
        <v>36</v>
      </c>
      <c r="X1219" s="46" t="s">
        <v>36</v>
      </c>
      <c r="Y1219" s="46" t="s">
        <v>36</v>
      </c>
      <c r="Z1219" s="46" t="s">
        <v>36</v>
      </c>
      <c r="AA1219" s="46" t="s">
        <v>37</v>
      </c>
      <c r="AB1219" s="46" t="s">
        <v>36</v>
      </c>
      <c r="AC1219" s="46" t="s">
        <v>36</v>
      </c>
      <c r="AD1219" s="46" t="s">
        <v>36</v>
      </c>
      <c r="AE1219" s="46" t="s">
        <v>36</v>
      </c>
      <c r="AF1219" s="46" t="s">
        <v>36</v>
      </c>
      <c r="AG1219" s="46" t="s">
        <v>36</v>
      </c>
      <c r="AH1219" s="46" t="s">
        <v>37</v>
      </c>
      <c r="AI1219" s="46" t="s">
        <v>36</v>
      </c>
      <c r="AJ1219" s="46">
        <f>=SUM(E1220:AI1220)</f>
      </c>
      <c r="AK1219" s="46">
        <f>=+AY1219</f>
      </c>
      <c r="AL1219" s="46"/>
      <c r="AM1219" s="1"/>
      <c r="AN1219" s="1">
        <f>=COUNTIF(E1219:AI1219,"A")+COUNTIF(E1219:AI1219,"B")+COUNTIF(E1219:AI1219,"C")+COUNTIF(E1219:AI1219,"D")+COUNTIF(E1219:AI1219,"E")+COUNTIF(E1219:AI1219,"F")+COUNTIF(E1219:AI1219,"M")+COUNTIF(E1219:AI1219,"AB")+COUNTIF(E1219:AI1219,"UZ")+COUNTIF(E1219:AI1219,"G")+(COUNTIF(E1219:AI1219,"RT.")/2)+(COUNTIF(E1219:AI1219,"ÇRT.")/2)</f>
      </c>
      <c r="AO1219" s="1">
        <f>=COUNTIF(E1219:AI1219,"O")</f>
      </c>
      <c r="AP1219" s="1">
        <f>=COUNTIF(E1219:AI1219,"RT")+(COUNTIF(E1219:AI1219,"RT.")/2)</f>
      </c>
      <c r="AQ1219" s="1">
        <f>=COUNTIF(E1219:AI1219,"ÇRT")+(COUNTIF(E1219:AI1219,"ÇRT.")/2)</f>
      </c>
      <c r="AR1219" s="1">
        <f>=COUNTIF(E1219:AI1219,"ÇHT")</f>
      </c>
      <c r="AS1219" s="1">
        <f>=COUNTIF(E1219:AI1219,"Ö")+COUNTIF(E1219:AI1219,"T")</f>
      </c>
      <c r="AT1219" s="1">
        <f>=COUNTIF(E1219:AI1219,"Y")</f>
      </c>
      <c r="AU1219" s="1">
        <f>=COUNTIF(E1219:AI1219,"R.")</f>
      </c>
      <c r="AV1219" s="1">
        <f>=COUNTIF(E1219:AI1219,"Ü")</f>
      </c>
      <c r="AW1219" s="1">
        <f>=COUNTIF(E1219:AI1219,"R")</f>
      </c>
      <c r="AX1219" s="1">
        <f>=COUNTIF(E1219:AI1219,"DV")</f>
      </c>
      <c r="AY1219" s="1">
        <f>=+AN1219+AO1219+AP1219+AQ1219+AR1219+AS1219+AT1219+AU1219</f>
      </c>
    </row>
    <row r="1220" ht="16" customHeight="1" spans="1:51" x14ac:dyDescent="0.25">
      <c r="A1220" s="45"/>
      <c r="B1220" s="46"/>
      <c r="C1220" s="46"/>
      <c r="D1220" s="46" t="s">
        <v>33</v>
      </c>
      <c r="E1220" s="46"/>
      <c r="F1220" s="46"/>
      <c r="G1220" s="46"/>
      <c r="H1220" s="46"/>
      <c r="I1220" s="46"/>
      <c r="J1220" s="46"/>
      <c r="K1220" s="46"/>
      <c r="L1220" s="46"/>
      <c r="M1220" s="46"/>
      <c r="N1220" s="46"/>
      <c r="O1220" s="46"/>
      <c r="P1220" s="46"/>
      <c r="Q1220" s="46"/>
      <c r="R1220" s="46"/>
      <c r="S1220" s="46"/>
      <c r="T1220" s="46"/>
      <c r="U1220" s="46"/>
      <c r="V1220" s="46"/>
      <c r="W1220" s="46"/>
      <c r="X1220" s="46"/>
      <c r="Y1220" s="46"/>
      <c r="Z1220" s="46"/>
      <c r="AA1220" s="46"/>
      <c r="AB1220" s="46"/>
      <c r="AC1220" s="46"/>
      <c r="AD1220" s="46"/>
      <c r="AE1220" s="46"/>
      <c r="AF1220" s="46"/>
      <c r="AG1220" s="46"/>
      <c r="AH1220" s="46"/>
      <c r="AI1220" s="46"/>
      <c r="AJ1220" s="46"/>
      <c r="AK1220" s="46"/>
      <c r="AL1220" s="46"/>
      <c r="AM1220" s="1"/>
      <c r="AN1220" s="1"/>
      <c r="AO1220" s="1"/>
      <c r="AP1220" s="1"/>
      <c r="AQ1220" s="1"/>
      <c r="AR1220" s="1"/>
      <c r="AS1220" s="1"/>
      <c r="AT1220" s="1"/>
      <c r="AU1220" s="1"/>
      <c r="AV1220" s="1"/>
      <c r="AW1220" s="1"/>
      <c r="AX1220" s="1"/>
      <c r="AY1220" s="1"/>
    </row>
    <row r="1221" ht="16" customHeight="1" spans="1:51" x14ac:dyDescent="0.25">
      <c r="A1221" s="45"/>
      <c r="B1221" s="46" t="s">
        <v>1272</v>
      </c>
      <c r="C1221" s="46" t="s">
        <v>1273</v>
      </c>
      <c r="D1221" s="46" t="s">
        <v>29</v>
      </c>
      <c r="E1221" s="46" t="s">
        <v>37</v>
      </c>
      <c r="F1221" s="46" t="s">
        <v>98</v>
      </c>
      <c r="G1221" s="46" t="s">
        <v>36</v>
      </c>
      <c r="H1221" s="46" t="s">
        <v>36</v>
      </c>
      <c r="I1221" s="46" t="s">
        <v>36</v>
      </c>
      <c r="J1221" s="46" t="s">
        <v>36</v>
      </c>
      <c r="K1221" s="46" t="s">
        <v>36</v>
      </c>
      <c r="L1221" s="46" t="s">
        <v>37</v>
      </c>
      <c r="M1221" s="46" t="s">
        <v>36</v>
      </c>
      <c r="N1221" s="46" t="s">
        <v>36</v>
      </c>
      <c r="O1221" s="46" t="s">
        <v>36</v>
      </c>
      <c r="P1221" s="46" t="s">
        <v>36</v>
      </c>
      <c r="Q1221" s="46" t="s">
        <v>36</v>
      </c>
      <c r="R1221" s="46" t="s">
        <v>36</v>
      </c>
      <c r="S1221" s="46" t="s">
        <v>37</v>
      </c>
      <c r="T1221" s="46" t="s">
        <v>36</v>
      </c>
      <c r="U1221" s="46" t="s">
        <v>36</v>
      </c>
      <c r="V1221" s="46" t="s">
        <v>36</v>
      </c>
      <c r="W1221" s="46" t="s">
        <v>36</v>
      </c>
      <c r="X1221" s="46" t="s">
        <v>36</v>
      </c>
      <c r="Y1221" s="46" t="s">
        <v>36</v>
      </c>
      <c r="Z1221" s="46" t="s">
        <v>37</v>
      </c>
      <c r="AA1221" s="46" t="s">
        <v>36</v>
      </c>
      <c r="AB1221" s="46" t="s">
        <v>36</v>
      </c>
      <c r="AC1221" s="46" t="s">
        <v>36</v>
      </c>
      <c r="AD1221" s="46" t="s">
        <v>36</v>
      </c>
      <c r="AE1221" s="46" t="s">
        <v>36</v>
      </c>
      <c r="AF1221" s="46" t="s">
        <v>36</v>
      </c>
      <c r="AG1221" s="46" t="s">
        <v>37</v>
      </c>
      <c r="AH1221" s="46" t="s">
        <v>43</v>
      </c>
      <c r="AI1221" s="46" t="s">
        <v>36</v>
      </c>
      <c r="AJ1221" s="46">
        <f>=SUM(E1222:AI1222)</f>
      </c>
      <c r="AK1221" s="46">
        <f>=+AY1221</f>
      </c>
      <c r="AL1221" s="46"/>
      <c r="AM1221" s="1"/>
      <c r="AN1221" s="1">
        <f>=COUNTIF(E1221:AI1221,"A")+COUNTIF(E1221:AI1221,"B")+COUNTIF(E1221:AI1221,"C")+COUNTIF(E1221:AI1221,"D")+COUNTIF(E1221:AI1221,"E")+COUNTIF(E1221:AI1221,"F")+COUNTIF(E1221:AI1221,"M")+COUNTIF(E1221:AI1221,"AB")+COUNTIF(E1221:AI1221,"UZ")+COUNTIF(E1221:AI1221,"G")+(COUNTIF(E1221:AI1221,"RT.")/2)+(COUNTIF(E1221:AI1221,"ÇRT.")/2)</f>
      </c>
      <c r="AO1221" s="1">
        <f>=COUNTIF(E1221:AI1221,"O")</f>
      </c>
      <c r="AP1221" s="1">
        <f>=COUNTIF(E1221:AI1221,"RT")+(COUNTIF(E1221:AI1221,"RT.")/2)</f>
      </c>
      <c r="AQ1221" s="1">
        <f>=COUNTIF(E1221:AI1221,"ÇRT")+(COUNTIF(E1221:AI1221,"ÇRT.")/2)</f>
      </c>
      <c r="AR1221" s="1">
        <f>=COUNTIF(E1221:AI1221,"ÇHT")</f>
      </c>
      <c r="AS1221" s="1">
        <f>=COUNTIF(E1221:AI1221,"Ö")+COUNTIF(E1221:AI1221,"T")</f>
      </c>
      <c r="AT1221" s="1">
        <f>=COUNTIF(E1221:AI1221,"Y")</f>
      </c>
      <c r="AU1221" s="1">
        <f>=COUNTIF(E1221:AI1221,"R.")</f>
      </c>
      <c r="AV1221" s="1">
        <f>=COUNTIF(E1221:AI1221,"Ü")</f>
      </c>
      <c r="AW1221" s="1">
        <f>=COUNTIF(E1221:AI1221,"R")</f>
      </c>
      <c r="AX1221" s="1">
        <f>=COUNTIF(E1221:AI1221,"DV")</f>
      </c>
      <c r="AY1221" s="1">
        <f>=+AN1221+AO1221+AP1221+AQ1221+AR1221+AS1221+AT1221+AU1221</f>
      </c>
    </row>
    <row r="1222" ht="16" customHeight="1" spans="1:51" x14ac:dyDescent="0.25">
      <c r="A1222" s="45"/>
      <c r="B1222" s="46"/>
      <c r="C1222" s="46"/>
      <c r="D1222" s="46" t="s">
        <v>33</v>
      </c>
      <c r="E1222" s="46"/>
      <c r="F1222" s="46"/>
      <c r="G1222" s="46"/>
      <c r="H1222" s="46"/>
      <c r="I1222" s="46"/>
      <c r="J1222" s="46"/>
      <c r="K1222" s="46"/>
      <c r="L1222" s="46"/>
      <c r="M1222" s="46"/>
      <c r="N1222" s="46"/>
      <c r="O1222" s="46"/>
      <c r="P1222" s="46"/>
      <c r="Q1222" s="46"/>
      <c r="R1222" s="46"/>
      <c r="S1222" s="46"/>
      <c r="T1222" s="46"/>
      <c r="U1222" s="46"/>
      <c r="V1222" s="46"/>
      <c r="W1222" s="46"/>
      <c r="X1222" s="46"/>
      <c r="Y1222" s="46"/>
      <c r="Z1222" s="46"/>
      <c r="AA1222" s="46"/>
      <c r="AB1222" s="46"/>
      <c r="AC1222" s="46"/>
      <c r="AD1222" s="46"/>
      <c r="AE1222" s="46"/>
      <c r="AF1222" s="46"/>
      <c r="AG1222" s="46"/>
      <c r="AH1222" s="46"/>
      <c r="AI1222" s="46"/>
      <c r="AJ1222" s="46"/>
      <c r="AK1222" s="46"/>
      <c r="AL1222" s="46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/>
      <c r="AW1222" s="1"/>
      <c r="AX1222" s="1"/>
      <c r="AY1222" s="1"/>
    </row>
    <row r="1223" ht="16" customHeight="1" spans="1:51" x14ac:dyDescent="0.25">
      <c r="A1223" s="45"/>
      <c r="B1223" s="46" t="s">
        <v>1274</v>
      </c>
      <c r="C1223" s="46" t="s">
        <v>1275</v>
      </c>
      <c r="D1223" s="46" t="s">
        <v>29</v>
      </c>
      <c r="E1223" s="46" t="s">
        <v>36</v>
      </c>
      <c r="F1223" s="46" t="s">
        <v>36</v>
      </c>
      <c r="G1223" s="46" t="s">
        <v>36</v>
      </c>
      <c r="H1223" s="46" t="s">
        <v>37</v>
      </c>
      <c r="I1223" s="46" t="s">
        <v>36</v>
      </c>
      <c r="J1223" s="46" t="s">
        <v>36</v>
      </c>
      <c r="K1223" s="46" t="s">
        <v>36</v>
      </c>
      <c r="L1223" s="46" t="s">
        <v>36</v>
      </c>
      <c r="M1223" s="46" t="s">
        <v>36</v>
      </c>
      <c r="N1223" s="46" t="s">
        <v>36</v>
      </c>
      <c r="O1223" s="46" t="s">
        <v>36</v>
      </c>
      <c r="P1223" s="46" t="s">
        <v>36</v>
      </c>
      <c r="Q1223" s="46" t="s">
        <v>36</v>
      </c>
      <c r="R1223" s="46" t="s">
        <v>37</v>
      </c>
      <c r="S1223" s="46" t="s">
        <v>30</v>
      </c>
      <c r="T1223" s="46" t="s">
        <v>30</v>
      </c>
      <c r="U1223" s="46" t="s">
        <v>30</v>
      </c>
      <c r="V1223" s="46" t="s">
        <v>37</v>
      </c>
      <c r="W1223" s="46" t="s">
        <v>30</v>
      </c>
      <c r="X1223" s="46" t="s">
        <v>30</v>
      </c>
      <c r="Y1223" s="46" t="s">
        <v>46</v>
      </c>
      <c r="Z1223" s="46" t="s">
        <v>36</v>
      </c>
      <c r="AA1223" s="46" t="s">
        <v>36</v>
      </c>
      <c r="AB1223" s="46" t="s">
        <v>36</v>
      </c>
      <c r="AC1223" s="46" t="s">
        <v>36</v>
      </c>
      <c r="AD1223" s="46" t="s">
        <v>37</v>
      </c>
      <c r="AE1223" s="46" t="s">
        <v>59</v>
      </c>
      <c r="AF1223" s="46" t="s">
        <v>59</v>
      </c>
      <c r="AG1223" s="46" t="s">
        <v>46</v>
      </c>
      <c r="AH1223" s="46" t="s">
        <v>43</v>
      </c>
      <c r="AI1223" s="46" t="s">
        <v>36</v>
      </c>
      <c r="AJ1223" s="46">
        <f>=SUM(E1224:AI1224)</f>
      </c>
      <c r="AK1223" s="46">
        <f>=+AY1223</f>
      </c>
      <c r="AL1223" s="46"/>
      <c r="AM1223" s="1"/>
      <c r="AN1223" s="1">
        <f>=COUNTIF(E1223:AI1223,"A")+COUNTIF(E1223:AI1223,"B")+COUNTIF(E1223:AI1223,"C")+COUNTIF(E1223:AI1223,"D")+COUNTIF(E1223:AI1223,"E")+COUNTIF(E1223:AI1223,"F")+COUNTIF(E1223:AI1223,"M")+COUNTIF(E1223:AI1223,"AB")+COUNTIF(E1223:AI1223,"UZ")+COUNTIF(E1223:AI1223,"G")+(COUNTIF(E1223:AI1223,"RT.")/2)+(COUNTIF(E1223:AI1223,"ÇRT.")/2)</f>
      </c>
      <c r="AO1223" s="1">
        <f>=COUNTIF(E1223:AI1223,"O")</f>
      </c>
      <c r="AP1223" s="1">
        <f>=COUNTIF(E1223:AI1223,"RT")+(COUNTIF(E1223:AI1223,"RT.")/2)</f>
      </c>
      <c r="AQ1223" s="1">
        <f>=COUNTIF(E1223:AI1223,"ÇRT")+(COUNTIF(E1223:AI1223,"ÇRT.")/2)</f>
      </c>
      <c r="AR1223" s="1">
        <f>=COUNTIF(E1223:AI1223,"ÇHT")</f>
      </c>
      <c r="AS1223" s="1">
        <f>=COUNTIF(E1223:AI1223,"Ö")+COUNTIF(E1223:AI1223,"T")</f>
      </c>
      <c r="AT1223" s="1">
        <f>=COUNTIF(E1223:AI1223,"Y")</f>
      </c>
      <c r="AU1223" s="1">
        <f>=COUNTIF(E1223:AI1223,"R.")</f>
      </c>
      <c r="AV1223" s="1">
        <f>=COUNTIF(E1223:AI1223,"Ü")</f>
      </c>
      <c r="AW1223" s="1">
        <f>=COUNTIF(E1223:AI1223,"R")</f>
      </c>
      <c r="AX1223" s="1">
        <f>=COUNTIF(E1223:AI1223,"DV")</f>
      </c>
      <c r="AY1223" s="1">
        <f>=+AN1223+AO1223+AP1223+AQ1223+AR1223+AS1223+AT1223+AU1223</f>
      </c>
    </row>
    <row r="1224" ht="16" customHeight="1" spans="1:51" x14ac:dyDescent="0.25">
      <c r="A1224" s="45"/>
      <c r="B1224" s="46"/>
      <c r="C1224" s="46"/>
      <c r="D1224" s="46" t="s">
        <v>33</v>
      </c>
      <c r="E1224" s="46"/>
      <c r="F1224" s="46"/>
      <c r="G1224" s="46"/>
      <c r="H1224" s="46"/>
      <c r="I1224" s="46"/>
      <c r="J1224" s="46"/>
      <c r="K1224" s="46"/>
      <c r="L1224" s="46"/>
      <c r="M1224" s="46"/>
      <c r="N1224" s="46"/>
      <c r="O1224" s="46"/>
      <c r="P1224" s="46"/>
      <c r="Q1224" s="46"/>
      <c r="R1224" s="46"/>
      <c r="S1224" s="46"/>
      <c r="T1224" s="46"/>
      <c r="U1224" s="46"/>
      <c r="V1224" s="46"/>
      <c r="W1224" s="46"/>
      <c r="X1224" s="46"/>
      <c r="Y1224" s="46"/>
      <c r="Z1224" s="46"/>
      <c r="AA1224" s="46"/>
      <c r="AB1224" s="46"/>
      <c r="AC1224" s="46"/>
      <c r="AD1224" s="46"/>
      <c r="AE1224" s="46"/>
      <c r="AF1224" s="46"/>
      <c r="AG1224" s="46"/>
      <c r="AH1224" s="46"/>
      <c r="AI1224" s="46"/>
      <c r="AJ1224" s="46"/>
      <c r="AK1224" s="46"/>
      <c r="AL1224" s="46"/>
      <c r="AM1224" s="1"/>
      <c r="AN1224" s="1"/>
      <c r="AO1224" s="1"/>
      <c r="AP1224" s="1"/>
      <c r="AQ1224" s="1"/>
      <c r="AR1224" s="1"/>
      <c r="AS1224" s="1"/>
      <c r="AT1224" s="1"/>
      <c r="AU1224" s="1"/>
      <c r="AV1224" s="1"/>
      <c r="AW1224" s="1"/>
      <c r="AX1224" s="1"/>
      <c r="AY1224" s="1"/>
    </row>
    <row r="1225" ht="16" customHeight="1" spans="1:51" x14ac:dyDescent="0.25">
      <c r="A1225" s="45"/>
      <c r="B1225" s="46" t="s">
        <v>1276</v>
      </c>
      <c r="C1225" s="46" t="s">
        <v>1277</v>
      </c>
      <c r="D1225" s="46" t="s">
        <v>29</v>
      </c>
      <c r="E1225" s="46" t="s">
        <v>42</v>
      </c>
      <c r="F1225" s="46" t="s">
        <v>37</v>
      </c>
      <c r="G1225" s="46" t="s">
        <v>98</v>
      </c>
      <c r="H1225" s="46" t="s">
        <v>98</v>
      </c>
      <c r="I1225" s="46" t="s">
        <v>98</v>
      </c>
      <c r="J1225" s="46" t="s">
        <v>98</v>
      </c>
      <c r="K1225" s="46" t="s">
        <v>98</v>
      </c>
      <c r="L1225" s="46" t="s">
        <v>98</v>
      </c>
      <c r="M1225" s="46" t="s">
        <v>37</v>
      </c>
      <c r="N1225" s="46" t="s">
        <v>98</v>
      </c>
      <c r="O1225" s="46" t="s">
        <v>98</v>
      </c>
      <c r="P1225" s="46" t="s">
        <v>98</v>
      </c>
      <c r="Q1225" s="46" t="s">
        <v>98</v>
      </c>
      <c r="R1225" s="46" t="s">
        <v>42</v>
      </c>
      <c r="S1225" s="46" t="s">
        <v>42</v>
      </c>
      <c r="T1225" s="46" t="s">
        <v>37</v>
      </c>
      <c r="U1225" s="46" t="s">
        <v>42</v>
      </c>
      <c r="V1225" s="46" t="s">
        <v>42</v>
      </c>
      <c r="W1225" s="46" t="s">
        <v>42</v>
      </c>
      <c r="X1225" s="46" t="s">
        <v>42</v>
      </c>
      <c r="Y1225" s="46" t="s">
        <v>42</v>
      </c>
      <c r="Z1225" s="46" t="s">
        <v>42</v>
      </c>
      <c r="AA1225" s="46" t="s">
        <v>37</v>
      </c>
      <c r="AB1225" s="46" t="s">
        <v>42</v>
      </c>
      <c r="AC1225" s="46" t="s">
        <v>42</v>
      </c>
      <c r="AD1225" s="46" t="s">
        <v>42</v>
      </c>
      <c r="AE1225" s="46" t="s">
        <v>42</v>
      </c>
      <c r="AF1225" s="46" t="s">
        <v>42</v>
      </c>
      <c r="AG1225" s="46" t="s">
        <v>42</v>
      </c>
      <c r="AH1225" s="46" t="s">
        <v>37</v>
      </c>
      <c r="AI1225" s="46" t="s">
        <v>42</v>
      </c>
      <c r="AJ1225" s="46">
        <f>=SUM(E1226:AI1226)</f>
      </c>
      <c r="AK1225" s="46">
        <f>=+AY1225</f>
      </c>
      <c r="AL1225" s="46"/>
      <c r="AM1225" s="1"/>
      <c r="AN1225" s="1">
        <f>=COUNTIF(E1225:AI1225,"A")+COUNTIF(E1225:AI1225,"B")+COUNTIF(E1225:AI1225,"C")+COUNTIF(E1225:AI1225,"D")+COUNTIF(E1225:AI1225,"E")+COUNTIF(E1225:AI1225,"F")+COUNTIF(E1225:AI1225,"M")+COUNTIF(E1225:AI1225,"AB")+COUNTIF(E1225:AI1225,"UZ")+COUNTIF(E1225:AI1225,"G")+(COUNTIF(E1225:AI1225,"RT.")/2)+(COUNTIF(E1225:AI1225,"ÇRT.")/2)</f>
      </c>
      <c r="AO1225" s="1">
        <f>=COUNTIF(E1225:AI1225,"O")</f>
      </c>
      <c r="AP1225" s="1">
        <f>=COUNTIF(E1225:AI1225,"RT")+(COUNTIF(E1225:AI1225,"RT.")/2)</f>
      </c>
      <c r="AQ1225" s="1">
        <f>=COUNTIF(E1225:AI1225,"ÇRT")+(COUNTIF(E1225:AI1225,"ÇRT.")/2)</f>
      </c>
      <c r="AR1225" s="1">
        <f>=COUNTIF(E1225:AI1225,"ÇHT")</f>
      </c>
      <c r="AS1225" s="1">
        <f>=COUNTIF(E1225:AI1225,"Ö")+COUNTIF(E1225:AI1225,"T")</f>
      </c>
      <c r="AT1225" s="1">
        <f>=COUNTIF(E1225:AI1225,"Y")</f>
      </c>
      <c r="AU1225" s="1">
        <f>=COUNTIF(E1225:AI1225,"R.")</f>
      </c>
      <c r="AV1225" s="1">
        <f>=COUNTIF(E1225:AI1225,"Ü")</f>
      </c>
      <c r="AW1225" s="1">
        <f>=COUNTIF(E1225:AI1225,"R")</f>
      </c>
      <c r="AX1225" s="1">
        <f>=COUNTIF(E1225:AI1225,"DV")</f>
      </c>
      <c r="AY1225" s="1">
        <f>=+AN1225+AO1225+AP1225+AQ1225+AR1225+AS1225+AT1225+AU1225</f>
      </c>
    </row>
    <row r="1226" ht="16" customHeight="1" spans="1:51" x14ac:dyDescent="0.25">
      <c r="A1226" s="45"/>
      <c r="B1226" s="46"/>
      <c r="C1226" s="46"/>
      <c r="D1226" s="46" t="s">
        <v>33</v>
      </c>
      <c r="E1226" s="46"/>
      <c r="F1226" s="46"/>
      <c r="G1226" s="46"/>
      <c r="H1226" s="46"/>
      <c r="I1226" s="46"/>
      <c r="J1226" s="46"/>
      <c r="K1226" s="46"/>
      <c r="L1226" s="46"/>
      <c r="M1226" s="46"/>
      <c r="N1226" s="46"/>
      <c r="O1226" s="46"/>
      <c r="P1226" s="46"/>
      <c r="Q1226" s="46"/>
      <c r="R1226" s="46"/>
      <c r="S1226" s="46"/>
      <c r="T1226" s="46"/>
      <c r="U1226" s="46"/>
      <c r="V1226" s="46"/>
      <c r="W1226" s="46"/>
      <c r="X1226" s="46"/>
      <c r="Y1226" s="46"/>
      <c r="Z1226" s="46"/>
      <c r="AA1226" s="46"/>
      <c r="AB1226" s="46"/>
      <c r="AC1226" s="46"/>
      <c r="AD1226" s="46"/>
      <c r="AE1226" s="46"/>
      <c r="AF1226" s="46"/>
      <c r="AG1226" s="46"/>
      <c r="AH1226" s="46"/>
      <c r="AI1226" s="46"/>
      <c r="AJ1226" s="46"/>
      <c r="AK1226" s="46"/>
      <c r="AL1226" s="46"/>
      <c r="AM1226" s="1"/>
      <c r="AN1226" s="1"/>
      <c r="AO1226" s="1"/>
      <c r="AP1226" s="1"/>
      <c r="AQ1226" s="1"/>
      <c r="AR1226" s="1"/>
      <c r="AS1226" s="1"/>
      <c r="AT1226" s="1"/>
      <c r="AU1226" s="1"/>
      <c r="AV1226" s="1"/>
      <c r="AW1226" s="1"/>
      <c r="AX1226" s="1"/>
      <c r="AY1226" s="1"/>
    </row>
    <row r="1227" ht="16" customHeight="1" spans="1:51" x14ac:dyDescent="0.25">
      <c r="A1227" s="45"/>
      <c r="B1227" s="46" t="s">
        <v>1278</v>
      </c>
      <c r="C1227" s="46" t="s">
        <v>1279</v>
      </c>
      <c r="D1227" s="46" t="s">
        <v>29</v>
      </c>
      <c r="E1227" s="46" t="s">
        <v>37</v>
      </c>
      <c r="F1227" s="46" t="s">
        <v>59</v>
      </c>
      <c r="G1227" s="46" t="s">
        <v>59</v>
      </c>
      <c r="H1227" s="46" t="s">
        <v>59</v>
      </c>
      <c r="I1227" s="46" t="s">
        <v>59</v>
      </c>
      <c r="J1227" s="46" t="s">
        <v>59</v>
      </c>
      <c r="K1227" s="46" t="s">
        <v>59</v>
      </c>
      <c r="L1227" s="46" t="s">
        <v>37</v>
      </c>
      <c r="M1227" s="46" t="s">
        <v>59</v>
      </c>
      <c r="N1227" s="46" t="s">
        <v>59</v>
      </c>
      <c r="O1227" s="46" t="s">
        <v>59</v>
      </c>
      <c r="P1227" s="46" t="s">
        <v>59</v>
      </c>
      <c r="Q1227" s="46" t="s">
        <v>59</v>
      </c>
      <c r="R1227" s="46" t="s">
        <v>59</v>
      </c>
      <c r="S1227" s="46" t="s">
        <v>37</v>
      </c>
      <c r="T1227" s="46" t="s">
        <v>59</v>
      </c>
      <c r="U1227" s="46" t="s">
        <v>59</v>
      </c>
      <c r="V1227" s="46" t="s">
        <v>59</v>
      </c>
      <c r="W1227" s="46" t="s">
        <v>59</v>
      </c>
      <c r="X1227" s="46" t="s">
        <v>59</v>
      </c>
      <c r="Y1227" s="46" t="s">
        <v>59</v>
      </c>
      <c r="Z1227" s="46" t="s">
        <v>37</v>
      </c>
      <c r="AA1227" s="46" t="s">
        <v>36</v>
      </c>
      <c r="AB1227" s="46" t="s">
        <v>36</v>
      </c>
      <c r="AC1227" s="46" t="s">
        <v>59</v>
      </c>
      <c r="AD1227" s="46" t="s">
        <v>59</v>
      </c>
      <c r="AE1227" s="46" t="s">
        <v>59</v>
      </c>
      <c r="AF1227" s="46" t="s">
        <v>59</v>
      </c>
      <c r="AG1227" s="46" t="s">
        <v>46</v>
      </c>
      <c r="AH1227" s="46" t="s">
        <v>43</v>
      </c>
      <c r="AI1227" s="46" t="s">
        <v>36</v>
      </c>
      <c r="AJ1227" s="46">
        <f>=SUM(E1228:AI1228)</f>
      </c>
      <c r="AK1227" s="46">
        <f>=+AY1227</f>
      </c>
      <c r="AL1227" s="46"/>
      <c r="AM1227" s="1"/>
      <c r="AN1227" s="1">
        <f>=COUNTIF(E1227:AI1227,"A")+COUNTIF(E1227:AI1227,"B")+COUNTIF(E1227:AI1227,"C")+COUNTIF(E1227:AI1227,"D")+COUNTIF(E1227:AI1227,"E")+COUNTIF(E1227:AI1227,"F")+COUNTIF(E1227:AI1227,"M")+COUNTIF(E1227:AI1227,"AB")+COUNTIF(E1227:AI1227,"UZ")+COUNTIF(E1227:AI1227,"G")+(COUNTIF(E1227:AI1227,"RT.")/2)+(COUNTIF(E1227:AI1227,"ÇRT.")/2)</f>
      </c>
      <c r="AO1227" s="1">
        <f>=COUNTIF(E1227:AI1227,"O")</f>
      </c>
      <c r="AP1227" s="1">
        <f>=COUNTIF(E1227:AI1227,"RT")+(COUNTIF(E1227:AI1227,"RT.")/2)</f>
      </c>
      <c r="AQ1227" s="1">
        <f>=COUNTIF(E1227:AI1227,"ÇRT")+(COUNTIF(E1227:AI1227,"ÇRT.")/2)</f>
      </c>
      <c r="AR1227" s="1">
        <f>=COUNTIF(E1227:AI1227,"ÇHT")</f>
      </c>
      <c r="AS1227" s="1">
        <f>=COUNTIF(E1227:AI1227,"Ö")+COUNTIF(E1227:AI1227,"T")</f>
      </c>
      <c r="AT1227" s="1">
        <f>=COUNTIF(E1227:AI1227,"Y")</f>
      </c>
      <c r="AU1227" s="1">
        <f>=COUNTIF(E1227:AI1227,"R.")</f>
      </c>
      <c r="AV1227" s="1">
        <f>=COUNTIF(E1227:AI1227,"Ü")</f>
      </c>
      <c r="AW1227" s="1">
        <f>=COUNTIF(E1227:AI1227,"R")</f>
      </c>
      <c r="AX1227" s="1">
        <f>=COUNTIF(E1227:AI1227,"DV")</f>
      </c>
      <c r="AY1227" s="1">
        <f>=+AN1227+AO1227+AP1227+AQ1227+AR1227+AS1227+AT1227+AU1227</f>
      </c>
    </row>
    <row r="1228" ht="16" customHeight="1" spans="1:51" x14ac:dyDescent="0.25">
      <c r="A1228" s="45"/>
      <c r="B1228" s="46"/>
      <c r="C1228" s="46"/>
      <c r="D1228" s="46" t="s">
        <v>33</v>
      </c>
      <c r="E1228" s="46"/>
      <c r="F1228" s="46"/>
      <c r="G1228" s="46"/>
      <c r="H1228" s="46"/>
      <c r="I1228" s="46"/>
      <c r="J1228" s="46"/>
      <c r="K1228" s="46"/>
      <c r="L1228" s="46"/>
      <c r="M1228" s="46"/>
      <c r="N1228" s="46"/>
      <c r="O1228" s="46"/>
      <c r="P1228" s="46"/>
      <c r="Q1228" s="46"/>
      <c r="R1228" s="46"/>
      <c r="S1228" s="46"/>
      <c r="T1228" s="46"/>
      <c r="U1228" s="46"/>
      <c r="V1228" s="46"/>
      <c r="W1228" s="46"/>
      <c r="X1228" s="46"/>
      <c r="Y1228" s="46"/>
      <c r="Z1228" s="46"/>
      <c r="AA1228" s="46"/>
      <c r="AB1228" s="46"/>
      <c r="AC1228" s="46"/>
      <c r="AD1228" s="46"/>
      <c r="AE1228" s="46"/>
      <c r="AF1228" s="46"/>
      <c r="AG1228" s="46"/>
      <c r="AH1228" s="46"/>
      <c r="AI1228" s="46"/>
      <c r="AJ1228" s="46"/>
      <c r="AK1228" s="46"/>
      <c r="AL1228" s="46"/>
      <c r="AM1228" s="1"/>
      <c r="AN1228" s="1"/>
      <c r="AO1228" s="1"/>
      <c r="AP1228" s="1"/>
      <c r="AQ1228" s="1"/>
      <c r="AR1228" s="1"/>
      <c r="AS1228" s="1"/>
      <c r="AT1228" s="1"/>
      <c r="AU1228" s="1"/>
      <c r="AV1228" s="1"/>
      <c r="AW1228" s="1"/>
      <c r="AX1228" s="1"/>
      <c r="AY1228" s="1"/>
    </row>
    <row r="1229" ht="16" customHeight="1" spans="1:51" x14ac:dyDescent="0.25">
      <c r="A1229" s="45"/>
      <c r="B1229" s="46" t="s">
        <v>1280</v>
      </c>
      <c r="C1229" s="46" t="s">
        <v>1281</v>
      </c>
      <c r="D1229" s="46" t="s">
        <v>29</v>
      </c>
      <c r="E1229" s="46" t="s">
        <v>36</v>
      </c>
      <c r="F1229" s="46" t="s">
        <v>37</v>
      </c>
      <c r="G1229" s="46" t="s">
        <v>36</v>
      </c>
      <c r="H1229" s="46" t="s">
        <v>36</v>
      </c>
      <c r="I1229" s="46" t="s">
        <v>36</v>
      </c>
      <c r="J1229" s="46" t="s">
        <v>36</v>
      </c>
      <c r="K1229" s="46" t="s">
        <v>36</v>
      </c>
      <c r="L1229" s="46" t="s">
        <v>36</v>
      </c>
      <c r="M1229" s="46" t="s">
        <v>37</v>
      </c>
      <c r="N1229" s="46" t="s">
        <v>36</v>
      </c>
      <c r="O1229" s="46" t="s">
        <v>36</v>
      </c>
      <c r="P1229" s="46" t="s">
        <v>36</v>
      </c>
      <c r="Q1229" s="46" t="s">
        <v>36</v>
      </c>
      <c r="R1229" s="46" t="s">
        <v>36</v>
      </c>
      <c r="S1229" s="46" t="s">
        <v>36</v>
      </c>
      <c r="T1229" s="46" t="s">
        <v>37</v>
      </c>
      <c r="U1229" s="46" t="s">
        <v>36</v>
      </c>
      <c r="V1229" s="46" t="s">
        <v>36</v>
      </c>
      <c r="W1229" s="46" t="s">
        <v>36</v>
      </c>
      <c r="X1229" s="46" t="s">
        <v>36</v>
      </c>
      <c r="Y1229" s="46" t="s">
        <v>36</v>
      </c>
      <c r="Z1229" s="46" t="s">
        <v>36</v>
      </c>
      <c r="AA1229" s="46" t="s">
        <v>37</v>
      </c>
      <c r="AB1229" s="46" t="s">
        <v>36</v>
      </c>
      <c r="AC1229" s="46" t="s">
        <v>36</v>
      </c>
      <c r="AD1229" s="46" t="s">
        <v>36</v>
      </c>
      <c r="AE1229" s="46" t="s">
        <v>36</v>
      </c>
      <c r="AF1229" s="46" t="s">
        <v>36</v>
      </c>
      <c r="AG1229" s="46" t="s">
        <v>153</v>
      </c>
      <c r="AH1229" s="46" t="s">
        <v>37</v>
      </c>
      <c r="AI1229" s="46" t="s">
        <v>36</v>
      </c>
      <c r="AJ1229" s="46">
        <f>=SUM(E1230:AI1230)</f>
      </c>
      <c r="AK1229" s="46">
        <f>=+AY1229</f>
      </c>
      <c r="AL1229" s="46"/>
      <c r="AM1229" s="1"/>
      <c r="AN1229" s="1">
        <f>=COUNTIF(E1229:AI1229,"A")+COUNTIF(E1229:AI1229,"B")+COUNTIF(E1229:AI1229,"C")+COUNTIF(E1229:AI1229,"D")+COUNTIF(E1229:AI1229,"E")+COUNTIF(E1229:AI1229,"F")+COUNTIF(E1229:AI1229,"M")+COUNTIF(E1229:AI1229,"AB")+COUNTIF(E1229:AI1229,"UZ")+COUNTIF(E1229:AI1229,"G")+(COUNTIF(E1229:AI1229,"RT.")/2)+(COUNTIF(E1229:AI1229,"ÇRT.")/2)</f>
      </c>
      <c r="AO1229" s="1">
        <f>=COUNTIF(E1229:AI1229,"O")</f>
      </c>
      <c r="AP1229" s="1">
        <f>=COUNTIF(E1229:AI1229,"RT")+(COUNTIF(E1229:AI1229,"RT.")/2)</f>
      </c>
      <c r="AQ1229" s="1">
        <f>=COUNTIF(E1229:AI1229,"ÇRT")+(COUNTIF(E1229:AI1229,"ÇRT.")/2)</f>
      </c>
      <c r="AR1229" s="1">
        <f>=COUNTIF(E1229:AI1229,"ÇHT")</f>
      </c>
      <c r="AS1229" s="1">
        <f>=COUNTIF(E1229:AI1229,"Ö")+COUNTIF(E1229:AI1229,"T")</f>
      </c>
      <c r="AT1229" s="1">
        <f>=COUNTIF(E1229:AI1229,"Y")</f>
      </c>
      <c r="AU1229" s="1">
        <f>=COUNTIF(E1229:AI1229,"R.")</f>
      </c>
      <c r="AV1229" s="1">
        <f>=COUNTIF(E1229:AI1229,"Ü")</f>
      </c>
      <c r="AW1229" s="1">
        <f>=COUNTIF(E1229:AI1229,"R")</f>
      </c>
      <c r="AX1229" s="1">
        <f>=COUNTIF(E1229:AI1229,"DV")</f>
      </c>
      <c r="AY1229" s="1">
        <f>=+AN1229+AO1229+AP1229+AQ1229+AR1229+AS1229+AT1229+AU1229</f>
      </c>
    </row>
    <row r="1230" ht="16" customHeight="1" spans="1:51" x14ac:dyDescent="0.25">
      <c r="A1230" s="45"/>
      <c r="B1230" s="46"/>
      <c r="C1230" s="46"/>
      <c r="D1230" s="46" t="s">
        <v>33</v>
      </c>
      <c r="E1230" s="46"/>
      <c r="F1230" s="46"/>
      <c r="G1230" s="46"/>
      <c r="H1230" s="46"/>
      <c r="I1230" s="46"/>
      <c r="J1230" s="46"/>
      <c r="K1230" s="46"/>
      <c r="L1230" s="46"/>
      <c r="M1230" s="46"/>
      <c r="N1230" s="46"/>
      <c r="O1230" s="46"/>
      <c r="P1230" s="46"/>
      <c r="Q1230" s="46"/>
      <c r="R1230" s="46"/>
      <c r="S1230" s="46"/>
      <c r="T1230" s="46"/>
      <c r="U1230" s="46"/>
      <c r="V1230" s="46"/>
      <c r="W1230" s="46"/>
      <c r="X1230" s="46"/>
      <c r="Y1230" s="46"/>
      <c r="Z1230" s="46"/>
      <c r="AA1230" s="46"/>
      <c r="AB1230" s="46"/>
      <c r="AC1230" s="46"/>
      <c r="AD1230" s="46"/>
      <c r="AE1230" s="46"/>
      <c r="AF1230" s="46"/>
      <c r="AG1230" s="46"/>
      <c r="AH1230" s="46"/>
      <c r="AI1230" s="46"/>
      <c r="AJ1230" s="46"/>
      <c r="AK1230" s="46"/>
      <c r="AL1230" s="46"/>
      <c r="AM1230" s="1"/>
      <c r="AN1230" s="1"/>
      <c r="AO1230" s="1"/>
      <c r="AP1230" s="1"/>
      <c r="AQ1230" s="1"/>
      <c r="AR1230" s="1"/>
      <c r="AS1230" s="1"/>
      <c r="AT1230" s="1"/>
      <c r="AU1230" s="1"/>
      <c r="AV1230" s="1"/>
      <c r="AW1230" s="1"/>
      <c r="AX1230" s="1"/>
      <c r="AY1230" s="1"/>
    </row>
    <row r="1231" ht="16" customHeight="1" spans="1:51" x14ac:dyDescent="0.25">
      <c r="A1231" s="45"/>
      <c r="B1231" s="46" t="s">
        <v>1282</v>
      </c>
      <c r="C1231" s="46" t="s">
        <v>1283</v>
      </c>
      <c r="D1231" s="46" t="s">
        <v>29</v>
      </c>
      <c r="E1231" s="46" t="s">
        <v>59</v>
      </c>
      <c r="F1231" s="46" t="s">
        <v>37</v>
      </c>
      <c r="G1231" s="46" t="s">
        <v>59</v>
      </c>
      <c r="H1231" s="46" t="s">
        <v>59</v>
      </c>
      <c r="I1231" s="46" t="s">
        <v>59</v>
      </c>
      <c r="J1231" s="46" t="s">
        <v>59</v>
      </c>
      <c r="K1231" s="46" t="s">
        <v>59</v>
      </c>
      <c r="L1231" s="46" t="s">
        <v>59</v>
      </c>
      <c r="M1231" s="46" t="s">
        <v>37</v>
      </c>
      <c r="N1231" s="46" t="s">
        <v>30</v>
      </c>
      <c r="O1231" s="46" t="s">
        <v>30</v>
      </c>
      <c r="P1231" s="46" t="s">
        <v>30</v>
      </c>
      <c r="Q1231" s="46" t="s">
        <v>30</v>
      </c>
      <c r="R1231" s="46" t="s">
        <v>30</v>
      </c>
      <c r="S1231" s="46" t="s">
        <v>30</v>
      </c>
      <c r="T1231" s="46" t="s">
        <v>37</v>
      </c>
      <c r="U1231" s="46" t="s">
        <v>30</v>
      </c>
      <c r="V1231" s="46" t="s">
        <v>30</v>
      </c>
      <c r="W1231" s="46" t="s">
        <v>30</v>
      </c>
      <c r="X1231" s="46" t="s">
        <v>30</v>
      </c>
      <c r="Y1231" s="46" t="s">
        <v>30</v>
      </c>
      <c r="Z1231" s="46" t="s">
        <v>30</v>
      </c>
      <c r="AA1231" s="46" t="s">
        <v>37</v>
      </c>
      <c r="AB1231" s="46" t="s">
        <v>59</v>
      </c>
      <c r="AC1231" s="46" t="s">
        <v>59</v>
      </c>
      <c r="AD1231" s="46" t="s">
        <v>59</v>
      </c>
      <c r="AE1231" s="46" t="s">
        <v>59</v>
      </c>
      <c r="AF1231" s="46" t="s">
        <v>59</v>
      </c>
      <c r="AG1231" s="46" t="s">
        <v>59</v>
      </c>
      <c r="AH1231" s="46" t="s">
        <v>37</v>
      </c>
      <c r="AI1231" s="46" t="s">
        <v>30</v>
      </c>
      <c r="AJ1231" s="46">
        <f>=SUM(E1232:AI1232)</f>
      </c>
      <c r="AK1231" s="46">
        <f>=+AY1231</f>
      </c>
      <c r="AL1231" s="46"/>
      <c r="AM1231" s="1"/>
      <c r="AN1231" s="1">
        <f>=COUNTIF(E1231:AI1231,"A")+COUNTIF(E1231:AI1231,"B")+COUNTIF(E1231:AI1231,"C")+COUNTIF(E1231:AI1231,"D")+COUNTIF(E1231:AI1231,"E")+COUNTIF(E1231:AI1231,"F")+COUNTIF(E1231:AI1231,"M")+COUNTIF(E1231:AI1231,"AB")+COUNTIF(E1231:AI1231,"UZ")+COUNTIF(E1231:AI1231,"G")+(COUNTIF(E1231:AI1231,"RT.")/2)+(COUNTIF(E1231:AI1231,"ÇRT.")/2)</f>
      </c>
      <c r="AO1231" s="1">
        <f>=COUNTIF(E1231:AI1231,"O")</f>
      </c>
      <c r="AP1231" s="1">
        <f>=COUNTIF(E1231:AI1231,"RT")+(COUNTIF(E1231:AI1231,"RT.")/2)</f>
      </c>
      <c r="AQ1231" s="1">
        <f>=COUNTIF(E1231:AI1231,"ÇRT")+(COUNTIF(E1231:AI1231,"ÇRT.")/2)</f>
      </c>
      <c r="AR1231" s="1">
        <f>=COUNTIF(E1231:AI1231,"ÇHT")</f>
      </c>
      <c r="AS1231" s="1">
        <f>=COUNTIF(E1231:AI1231,"Ö")+COUNTIF(E1231:AI1231,"T")</f>
      </c>
      <c r="AT1231" s="1">
        <f>=COUNTIF(E1231:AI1231,"Y")</f>
      </c>
      <c r="AU1231" s="1">
        <f>=COUNTIF(E1231:AI1231,"R.")</f>
      </c>
      <c r="AV1231" s="1">
        <f>=COUNTIF(E1231:AI1231,"Ü")</f>
      </c>
      <c r="AW1231" s="1">
        <f>=COUNTIF(E1231:AI1231,"R")</f>
      </c>
      <c r="AX1231" s="1">
        <f>=COUNTIF(E1231:AI1231,"DV")</f>
      </c>
      <c r="AY1231" s="1">
        <f>=+AN1231+AO1231+AP1231+AQ1231+AR1231+AS1231+AT1231+AU1231</f>
      </c>
    </row>
    <row r="1232" ht="16" customHeight="1" spans="1:51" x14ac:dyDescent="0.25">
      <c r="A1232" s="45"/>
      <c r="B1232" s="46"/>
      <c r="C1232" s="46"/>
      <c r="D1232" s="46" t="s">
        <v>33</v>
      </c>
      <c r="E1232" s="46"/>
      <c r="F1232" s="46"/>
      <c r="G1232" s="46"/>
      <c r="H1232" s="46"/>
      <c r="I1232" s="46"/>
      <c r="J1232" s="46"/>
      <c r="K1232" s="46"/>
      <c r="L1232" s="46"/>
      <c r="M1232" s="46"/>
      <c r="N1232" s="46"/>
      <c r="O1232" s="46"/>
      <c r="P1232" s="46"/>
      <c r="Q1232" s="46"/>
      <c r="R1232" s="46"/>
      <c r="S1232" s="46"/>
      <c r="T1232" s="46"/>
      <c r="U1232" s="46"/>
      <c r="V1232" s="46"/>
      <c r="W1232" s="46"/>
      <c r="X1232" s="46"/>
      <c r="Y1232" s="46"/>
      <c r="Z1232" s="46"/>
      <c r="AA1232" s="46"/>
      <c r="AB1232" s="46"/>
      <c r="AC1232" s="46"/>
      <c r="AD1232" s="46"/>
      <c r="AE1232" s="46"/>
      <c r="AF1232" s="46"/>
      <c r="AG1232" s="46"/>
      <c r="AH1232" s="46"/>
      <c r="AI1232" s="46"/>
      <c r="AJ1232" s="46"/>
      <c r="AK1232" s="46"/>
      <c r="AL1232" s="46"/>
      <c r="AM1232" s="1"/>
      <c r="AN1232" s="1"/>
      <c r="AO1232" s="1"/>
      <c r="AP1232" s="1"/>
      <c r="AQ1232" s="1"/>
      <c r="AR1232" s="1"/>
      <c r="AS1232" s="1"/>
      <c r="AT1232" s="1"/>
      <c r="AU1232" s="1"/>
      <c r="AV1232" s="1"/>
      <c r="AW1232" s="1"/>
      <c r="AX1232" s="1"/>
      <c r="AY1232" s="1"/>
    </row>
    <row r="1233" ht="16" customHeight="1" spans="1:51" x14ac:dyDescent="0.25">
      <c r="A1233" s="45"/>
      <c r="B1233" s="46" t="s">
        <v>1284</v>
      </c>
      <c r="C1233" s="46" t="s">
        <v>1285</v>
      </c>
      <c r="D1233" s="46" t="s">
        <v>29</v>
      </c>
      <c r="E1233" s="46" t="s">
        <v>36</v>
      </c>
      <c r="F1233" s="46" t="s">
        <v>36</v>
      </c>
      <c r="G1233" s="46" t="s">
        <v>37</v>
      </c>
      <c r="H1233" s="46" t="s">
        <v>36</v>
      </c>
      <c r="I1233" s="46" t="s">
        <v>36</v>
      </c>
      <c r="J1233" s="46" t="s">
        <v>36</v>
      </c>
      <c r="K1233" s="46" t="s">
        <v>36</v>
      </c>
      <c r="L1233" s="46" t="s">
        <v>36</v>
      </c>
      <c r="M1233" s="46" t="s">
        <v>36</v>
      </c>
      <c r="N1233" s="46" t="s">
        <v>37</v>
      </c>
      <c r="O1233" s="46" t="s">
        <v>36</v>
      </c>
      <c r="P1233" s="46" t="s">
        <v>36</v>
      </c>
      <c r="Q1233" s="46" t="s">
        <v>36</v>
      </c>
      <c r="R1233" s="46" t="s">
        <v>36</v>
      </c>
      <c r="S1233" s="46" t="s">
        <v>36</v>
      </c>
      <c r="T1233" s="46" t="s">
        <v>36</v>
      </c>
      <c r="U1233" s="46" t="s">
        <v>37</v>
      </c>
      <c r="V1233" s="46" t="s">
        <v>36</v>
      </c>
      <c r="W1233" s="46" t="s">
        <v>36</v>
      </c>
      <c r="X1233" s="46" t="s">
        <v>36</v>
      </c>
      <c r="Y1233" s="46" t="s">
        <v>36</v>
      </c>
      <c r="Z1233" s="46" t="s">
        <v>36</v>
      </c>
      <c r="AA1233" s="46" t="s">
        <v>36</v>
      </c>
      <c r="AB1233" s="46" t="s">
        <v>37</v>
      </c>
      <c r="AC1233" s="46" t="s">
        <v>153</v>
      </c>
      <c r="AD1233" s="46" t="s">
        <v>36</v>
      </c>
      <c r="AE1233" s="46" t="s">
        <v>36</v>
      </c>
      <c r="AF1233" s="46" t="s">
        <v>36</v>
      </c>
      <c r="AG1233" s="46" t="s">
        <v>36</v>
      </c>
      <c r="AH1233" s="46" t="s">
        <v>43</v>
      </c>
      <c r="AI1233" s="46" t="s">
        <v>37</v>
      </c>
      <c r="AJ1233" s="46">
        <f>=SUM(E1234:AI1234)</f>
      </c>
      <c r="AK1233" s="46">
        <f>=+AY1233</f>
      </c>
      <c r="AL1233" s="46"/>
      <c r="AM1233" s="1"/>
      <c r="AN1233" s="1">
        <f>=COUNTIF(E1233:AI1233,"A")+COUNTIF(E1233:AI1233,"B")+COUNTIF(E1233:AI1233,"C")+COUNTIF(E1233:AI1233,"D")+COUNTIF(E1233:AI1233,"E")+COUNTIF(E1233:AI1233,"F")+COUNTIF(E1233:AI1233,"M")+COUNTIF(E1233:AI1233,"AB")+COUNTIF(E1233:AI1233,"UZ")+COUNTIF(E1233:AI1233,"G")+(COUNTIF(E1233:AI1233,"RT.")/2)+(COUNTIF(E1233:AI1233,"ÇRT.")/2)</f>
      </c>
      <c r="AO1233" s="1">
        <f>=COUNTIF(E1233:AI1233,"O")</f>
      </c>
      <c r="AP1233" s="1">
        <f>=COUNTIF(E1233:AI1233,"RT")+(COUNTIF(E1233:AI1233,"RT.")/2)</f>
      </c>
      <c r="AQ1233" s="1">
        <f>=COUNTIF(E1233:AI1233,"ÇRT")+(COUNTIF(E1233:AI1233,"ÇRT.")/2)</f>
      </c>
      <c r="AR1233" s="1">
        <f>=COUNTIF(E1233:AI1233,"ÇHT")</f>
      </c>
      <c r="AS1233" s="1">
        <f>=COUNTIF(E1233:AI1233,"Ö")+COUNTIF(E1233:AI1233,"T")</f>
      </c>
      <c r="AT1233" s="1">
        <f>=COUNTIF(E1233:AI1233,"Y")</f>
      </c>
      <c r="AU1233" s="1">
        <f>=COUNTIF(E1233:AI1233,"R.")</f>
      </c>
      <c r="AV1233" s="1">
        <f>=COUNTIF(E1233:AI1233,"Ü")</f>
      </c>
      <c r="AW1233" s="1">
        <f>=COUNTIF(E1233:AI1233,"R")</f>
      </c>
      <c r="AX1233" s="1">
        <f>=COUNTIF(E1233:AI1233,"DV")</f>
      </c>
      <c r="AY1233" s="1">
        <f>=+AN1233+AO1233+AP1233+AQ1233+AR1233+AS1233+AT1233+AU1233</f>
      </c>
    </row>
    <row r="1234" ht="16" customHeight="1" spans="1:51" x14ac:dyDescent="0.25">
      <c r="A1234" s="45"/>
      <c r="B1234" s="46"/>
      <c r="C1234" s="46"/>
      <c r="D1234" s="46" t="s">
        <v>33</v>
      </c>
      <c r="E1234" s="46"/>
      <c r="F1234" s="46"/>
      <c r="G1234" s="46"/>
      <c r="H1234" s="46"/>
      <c r="I1234" s="46"/>
      <c r="J1234" s="46"/>
      <c r="K1234" s="46"/>
      <c r="L1234" s="46"/>
      <c r="M1234" s="46"/>
      <c r="N1234" s="46"/>
      <c r="O1234" s="46"/>
      <c r="P1234" s="46"/>
      <c r="Q1234" s="46"/>
      <c r="R1234" s="46"/>
      <c r="S1234" s="46"/>
      <c r="T1234" s="46"/>
      <c r="U1234" s="46"/>
      <c r="V1234" s="46"/>
      <c r="W1234" s="46"/>
      <c r="X1234" s="46"/>
      <c r="Y1234" s="46"/>
      <c r="Z1234" s="46"/>
      <c r="AA1234" s="46"/>
      <c r="AB1234" s="46"/>
      <c r="AC1234" s="46"/>
      <c r="AD1234" s="46"/>
      <c r="AE1234" s="46"/>
      <c r="AF1234" s="46"/>
      <c r="AG1234" s="46"/>
      <c r="AH1234" s="46">
        <v>0</v>
      </c>
      <c r="AI1234" s="46"/>
      <c r="AJ1234" s="46"/>
      <c r="AK1234" s="46"/>
      <c r="AL1234" s="46"/>
      <c r="AM1234" s="1"/>
      <c r="AN1234" s="1"/>
      <c r="AO1234" s="1"/>
      <c r="AP1234" s="1"/>
      <c r="AQ1234" s="1"/>
      <c r="AR1234" s="1"/>
      <c r="AS1234" s="1"/>
      <c r="AT1234" s="1"/>
      <c r="AU1234" s="1"/>
      <c r="AV1234" s="1"/>
      <c r="AW1234" s="1"/>
      <c r="AX1234" s="1"/>
      <c r="AY1234" s="1"/>
    </row>
    <row r="1235" ht="16" customHeight="1" spans="1:51" x14ac:dyDescent="0.25">
      <c r="A1235" s="45"/>
      <c r="B1235" s="46" t="s">
        <v>1286</v>
      </c>
      <c r="C1235" s="46" t="s">
        <v>1287</v>
      </c>
      <c r="D1235" s="46" t="s">
        <v>29</v>
      </c>
      <c r="E1235" s="46" t="s">
        <v>30</v>
      </c>
      <c r="F1235" s="46" t="s">
        <v>30</v>
      </c>
      <c r="G1235" s="46" t="s">
        <v>30</v>
      </c>
      <c r="H1235" s="46" t="s">
        <v>30</v>
      </c>
      <c r="I1235" s="46" t="s">
        <v>30</v>
      </c>
      <c r="J1235" s="46" t="s">
        <v>37</v>
      </c>
      <c r="K1235" s="46" t="s">
        <v>36</v>
      </c>
      <c r="L1235" s="46" t="s">
        <v>59</v>
      </c>
      <c r="M1235" s="46" t="s">
        <v>153</v>
      </c>
      <c r="N1235" s="46" t="s">
        <v>59</v>
      </c>
      <c r="O1235" s="46" t="s">
        <v>59</v>
      </c>
      <c r="P1235" s="46" t="s">
        <v>37</v>
      </c>
      <c r="Q1235" s="46" t="s">
        <v>30</v>
      </c>
      <c r="R1235" s="46" t="s">
        <v>30</v>
      </c>
      <c r="S1235" s="46" t="s">
        <v>30</v>
      </c>
      <c r="T1235" s="46" t="s">
        <v>30</v>
      </c>
      <c r="U1235" s="46" t="s">
        <v>30</v>
      </c>
      <c r="V1235" s="46" t="s">
        <v>30</v>
      </c>
      <c r="W1235" s="46" t="s">
        <v>30</v>
      </c>
      <c r="X1235" s="46" t="s">
        <v>37</v>
      </c>
      <c r="Y1235" s="46" t="s">
        <v>98</v>
      </c>
      <c r="Z1235" s="46" t="s">
        <v>98</v>
      </c>
      <c r="AA1235" s="46" t="s">
        <v>98</v>
      </c>
      <c r="AB1235" s="46" t="s">
        <v>98</v>
      </c>
      <c r="AC1235" s="46" t="s">
        <v>98</v>
      </c>
      <c r="AD1235" s="46" t="s">
        <v>98</v>
      </c>
      <c r="AE1235" s="46" t="s">
        <v>37</v>
      </c>
      <c r="AF1235" s="46" t="s">
        <v>98</v>
      </c>
      <c r="AG1235" s="46" t="s">
        <v>98</v>
      </c>
      <c r="AH1235" s="46" t="s">
        <v>154</v>
      </c>
      <c r="AI1235" s="46" t="s">
        <v>98</v>
      </c>
      <c r="AJ1235" s="46">
        <f>=SUM(E1236:AI1236)</f>
      </c>
      <c r="AK1235" s="46">
        <f>=+AY1235</f>
      </c>
      <c r="AL1235" s="46"/>
      <c r="AM1235" s="1"/>
      <c r="AN1235" s="1">
        <f>=COUNTIF(E1235:AI1235,"A")+COUNTIF(E1235:AI1235,"B")+COUNTIF(E1235:AI1235,"C")+COUNTIF(E1235:AI1235,"D")+COUNTIF(E1235:AI1235,"E")+COUNTIF(E1235:AI1235,"F")+COUNTIF(E1235:AI1235,"M")+COUNTIF(E1235:AI1235,"AB")+COUNTIF(E1235:AI1235,"UZ")+COUNTIF(E1235:AI1235,"G")+(COUNTIF(E1235:AI1235,"RT.")/2)+(COUNTIF(E1235:AI1235,"ÇRT.")/2)</f>
      </c>
      <c r="AO1235" s="1">
        <f>=COUNTIF(E1235:AI1235,"O")</f>
      </c>
      <c r="AP1235" s="1">
        <f>=COUNTIF(E1235:AI1235,"RT")+(COUNTIF(E1235:AI1235,"RT.")/2)</f>
      </c>
      <c r="AQ1235" s="1">
        <f>=COUNTIF(E1235:AI1235,"ÇRT")+(COUNTIF(E1235:AI1235,"ÇRT.")/2)</f>
      </c>
      <c r="AR1235" s="1">
        <f>=COUNTIF(E1235:AI1235,"ÇHT")</f>
      </c>
      <c r="AS1235" s="1">
        <f>=COUNTIF(E1235:AI1235,"Ö")+COUNTIF(E1235:AI1235,"T")</f>
      </c>
      <c r="AT1235" s="1">
        <f>=COUNTIF(E1235:AI1235,"Y")</f>
      </c>
      <c r="AU1235" s="1">
        <f>=COUNTIF(E1235:AI1235,"R.")</f>
      </c>
      <c r="AV1235" s="1">
        <f>=COUNTIF(E1235:AI1235,"Ü")</f>
      </c>
      <c r="AW1235" s="1">
        <f>=COUNTIF(E1235:AI1235,"R")</f>
      </c>
      <c r="AX1235" s="1">
        <f>=COUNTIF(E1235:AI1235,"DV")</f>
      </c>
      <c r="AY1235" s="1">
        <f>=+AN1235+AO1235+AP1235+AQ1235+AR1235+AS1235+AT1235+AU1235</f>
      </c>
    </row>
    <row r="1236" ht="16" customHeight="1" spans="1:51" x14ac:dyDescent="0.25">
      <c r="A1236" s="45"/>
      <c r="B1236" s="46"/>
      <c r="C1236" s="46"/>
      <c r="D1236" s="46" t="s">
        <v>33</v>
      </c>
      <c r="E1236" s="46"/>
      <c r="F1236" s="46"/>
      <c r="G1236" s="46"/>
      <c r="H1236" s="46"/>
      <c r="I1236" s="46"/>
      <c r="J1236" s="46"/>
      <c r="K1236" s="46"/>
      <c r="L1236" s="46"/>
      <c r="M1236" s="46"/>
      <c r="N1236" s="46"/>
      <c r="O1236" s="46"/>
      <c r="P1236" s="46"/>
      <c r="Q1236" s="46"/>
      <c r="R1236" s="46"/>
      <c r="S1236" s="46"/>
      <c r="T1236" s="46"/>
      <c r="U1236" s="46"/>
      <c r="V1236" s="46"/>
      <c r="W1236" s="46"/>
      <c r="X1236" s="46"/>
      <c r="Y1236" s="46"/>
      <c r="Z1236" s="46"/>
      <c r="AA1236" s="46"/>
      <c r="AB1236" s="46"/>
      <c r="AC1236" s="46"/>
      <c r="AD1236" s="46"/>
      <c r="AE1236" s="46"/>
      <c r="AF1236" s="46"/>
      <c r="AG1236" s="46"/>
      <c r="AH1236" s="46">
        <v>0</v>
      </c>
      <c r="AI1236" s="46"/>
      <c r="AJ1236" s="46"/>
      <c r="AK1236" s="46"/>
      <c r="AL1236" s="46"/>
      <c r="AM1236" s="1"/>
      <c r="AN1236" s="1"/>
      <c r="AO1236" s="1"/>
      <c r="AP1236" s="1"/>
      <c r="AQ1236" s="1"/>
      <c r="AR1236" s="1"/>
      <c r="AS1236" s="1"/>
      <c r="AT1236" s="1"/>
      <c r="AU1236" s="1"/>
      <c r="AV1236" s="1"/>
      <c r="AW1236" s="1"/>
      <c r="AX1236" s="1"/>
      <c r="AY1236" s="1"/>
    </row>
    <row r="1237" ht="16" customHeight="1" spans="1:51" x14ac:dyDescent="0.25">
      <c r="A1237" s="45"/>
      <c r="B1237" s="46" t="s">
        <v>1288</v>
      </c>
      <c r="C1237" s="46" t="s">
        <v>185</v>
      </c>
      <c r="D1237" s="46" t="s">
        <v>29</v>
      </c>
      <c r="E1237" s="46" t="s">
        <v>30</v>
      </c>
      <c r="F1237" s="46" t="s">
        <v>30</v>
      </c>
      <c r="G1237" s="46" t="s">
        <v>30</v>
      </c>
      <c r="H1237" s="46" t="s">
        <v>37</v>
      </c>
      <c r="I1237" s="46" t="s">
        <v>30</v>
      </c>
      <c r="J1237" s="46" t="s">
        <v>30</v>
      </c>
      <c r="K1237" s="46" t="s">
        <v>30</v>
      </c>
      <c r="L1237" s="46" t="s">
        <v>30</v>
      </c>
      <c r="M1237" s="46" t="s">
        <v>30</v>
      </c>
      <c r="N1237" s="46" t="s">
        <v>30</v>
      </c>
      <c r="O1237" s="46" t="s">
        <v>37</v>
      </c>
      <c r="P1237" s="46" t="s">
        <v>59</v>
      </c>
      <c r="Q1237" s="46" t="s">
        <v>59</v>
      </c>
      <c r="R1237" s="46" t="s">
        <v>59</v>
      </c>
      <c r="S1237" s="46" t="s">
        <v>59</v>
      </c>
      <c r="T1237" s="46" t="s">
        <v>59</v>
      </c>
      <c r="U1237" s="46" t="s">
        <v>37</v>
      </c>
      <c r="V1237" s="46" t="s">
        <v>30</v>
      </c>
      <c r="W1237" s="46" t="s">
        <v>30</v>
      </c>
      <c r="X1237" s="46" t="s">
        <v>30</v>
      </c>
      <c r="Y1237" s="46" t="s">
        <v>30</v>
      </c>
      <c r="Z1237" s="46" t="s">
        <v>30</v>
      </c>
      <c r="AA1237" s="46" t="s">
        <v>30</v>
      </c>
      <c r="AB1237" s="46" t="s">
        <v>30</v>
      </c>
      <c r="AC1237" s="46" t="s">
        <v>37</v>
      </c>
      <c r="AD1237" s="46" t="s">
        <v>30</v>
      </c>
      <c r="AE1237" s="46" t="s">
        <v>30</v>
      </c>
      <c r="AF1237" s="46" t="s">
        <v>30</v>
      </c>
      <c r="AG1237" s="46" t="s">
        <v>30</v>
      </c>
      <c r="AH1237" s="46" t="s">
        <v>43</v>
      </c>
      <c r="AI1237" s="46" t="s">
        <v>59</v>
      </c>
      <c r="AJ1237" s="46">
        <f>=SUM(E1238:AI1238)</f>
      </c>
      <c r="AK1237" s="46">
        <f>=+AY1237</f>
      </c>
      <c r="AL1237" s="46"/>
      <c r="AM1237" s="1"/>
      <c r="AN1237" s="1">
        <f>=COUNTIF(E1237:AI1237,"A")+COUNTIF(E1237:AI1237,"B")+COUNTIF(E1237:AI1237,"C")+COUNTIF(E1237:AI1237,"D")+COUNTIF(E1237:AI1237,"E")+COUNTIF(E1237:AI1237,"F")+COUNTIF(E1237:AI1237,"M")+COUNTIF(E1237:AI1237,"AB")+COUNTIF(E1237:AI1237,"UZ")+COUNTIF(E1237:AI1237,"G")+(COUNTIF(E1237:AI1237,"RT.")/2)+(COUNTIF(E1237:AI1237,"ÇRT.")/2)</f>
      </c>
      <c r="AO1237" s="1">
        <f>=COUNTIF(E1237:AI1237,"O")</f>
      </c>
      <c r="AP1237" s="1">
        <f>=COUNTIF(E1237:AI1237,"RT")+(COUNTIF(E1237:AI1237,"RT.")/2)</f>
      </c>
      <c r="AQ1237" s="1">
        <f>=COUNTIF(E1237:AI1237,"ÇRT")+(COUNTIF(E1237:AI1237,"ÇRT.")/2)</f>
      </c>
      <c r="AR1237" s="1">
        <f>=COUNTIF(E1237:AI1237,"ÇHT")</f>
      </c>
      <c r="AS1237" s="1">
        <f>=COUNTIF(E1237:AI1237,"Ö")+COUNTIF(E1237:AI1237,"T")</f>
      </c>
      <c r="AT1237" s="1">
        <f>=COUNTIF(E1237:AI1237,"Y")</f>
      </c>
      <c r="AU1237" s="1">
        <f>=COUNTIF(E1237:AI1237,"R.")</f>
      </c>
      <c r="AV1237" s="1">
        <f>=COUNTIF(E1237:AI1237,"Ü")</f>
      </c>
      <c r="AW1237" s="1">
        <f>=COUNTIF(E1237:AI1237,"R")</f>
      </c>
      <c r="AX1237" s="1">
        <f>=COUNTIF(E1237:AI1237,"DV")</f>
      </c>
      <c r="AY1237" s="1">
        <f>=+AN1237+AO1237+AP1237+AQ1237+AR1237+AS1237+AT1237+AU1237</f>
      </c>
    </row>
    <row r="1238" ht="16" customHeight="1" spans="1:51" x14ac:dyDescent="0.25">
      <c r="A1238" s="45"/>
      <c r="B1238" s="46"/>
      <c r="C1238" s="46"/>
      <c r="D1238" s="46" t="s">
        <v>33</v>
      </c>
      <c r="E1238" s="46"/>
      <c r="F1238" s="46"/>
      <c r="G1238" s="46"/>
      <c r="H1238" s="46"/>
      <c r="I1238" s="46"/>
      <c r="J1238" s="46"/>
      <c r="K1238" s="46"/>
      <c r="L1238" s="46"/>
      <c r="M1238" s="46"/>
      <c r="N1238" s="46"/>
      <c r="O1238" s="46"/>
      <c r="P1238" s="46"/>
      <c r="Q1238" s="46"/>
      <c r="R1238" s="46"/>
      <c r="S1238" s="46"/>
      <c r="T1238" s="46"/>
      <c r="U1238" s="46"/>
      <c r="V1238" s="46"/>
      <c r="W1238" s="46"/>
      <c r="X1238" s="46"/>
      <c r="Y1238" s="46"/>
      <c r="Z1238" s="46"/>
      <c r="AA1238" s="46"/>
      <c r="AB1238" s="46"/>
      <c r="AC1238" s="46"/>
      <c r="AD1238" s="46"/>
      <c r="AE1238" s="46"/>
      <c r="AF1238" s="46"/>
      <c r="AG1238" s="46"/>
      <c r="AH1238" s="46"/>
      <c r="AI1238" s="46"/>
      <c r="AJ1238" s="46"/>
      <c r="AK1238" s="46"/>
      <c r="AL1238" s="46"/>
      <c r="AM1238" s="1"/>
      <c r="AN1238" s="1"/>
      <c r="AO1238" s="1"/>
      <c r="AP1238" s="1"/>
      <c r="AQ1238" s="1"/>
      <c r="AR1238" s="1"/>
      <c r="AS1238" s="1"/>
      <c r="AT1238" s="1"/>
      <c r="AU1238" s="1"/>
      <c r="AV1238" s="1"/>
      <c r="AW1238" s="1"/>
      <c r="AX1238" s="1"/>
      <c r="AY1238" s="1"/>
    </row>
    <row r="1239" ht="16" customHeight="1" spans="1:51" x14ac:dyDescent="0.25">
      <c r="A1239" s="45"/>
      <c r="B1239" s="46" t="s">
        <v>1289</v>
      </c>
      <c r="C1239" s="46" t="s">
        <v>1290</v>
      </c>
      <c r="D1239" s="46" t="s">
        <v>29</v>
      </c>
      <c r="E1239" s="46" t="s">
        <v>36</v>
      </c>
      <c r="F1239" s="46" t="s">
        <v>36</v>
      </c>
      <c r="G1239" s="46" t="s">
        <v>37</v>
      </c>
      <c r="H1239" s="46" t="s">
        <v>36</v>
      </c>
      <c r="I1239" s="46" t="s">
        <v>36</v>
      </c>
      <c r="J1239" s="46" t="s">
        <v>36</v>
      </c>
      <c r="K1239" s="46" t="s">
        <v>36</v>
      </c>
      <c r="L1239" s="46" t="s">
        <v>36</v>
      </c>
      <c r="M1239" s="46" t="s">
        <v>36</v>
      </c>
      <c r="N1239" s="46" t="s">
        <v>37</v>
      </c>
      <c r="O1239" s="46" t="s">
        <v>36</v>
      </c>
      <c r="P1239" s="46" t="s">
        <v>36</v>
      </c>
      <c r="Q1239" s="46" t="s">
        <v>36</v>
      </c>
      <c r="R1239" s="46" t="s">
        <v>36</v>
      </c>
      <c r="S1239" s="46" t="s">
        <v>36</v>
      </c>
      <c r="T1239" s="46" t="s">
        <v>153</v>
      </c>
      <c r="U1239" s="46" t="s">
        <v>37</v>
      </c>
      <c r="V1239" s="46" t="s">
        <v>36</v>
      </c>
      <c r="W1239" s="46" t="s">
        <v>36</v>
      </c>
      <c r="X1239" s="46" t="s">
        <v>36</v>
      </c>
      <c r="Y1239" s="46" t="s">
        <v>36</v>
      </c>
      <c r="Z1239" s="46" t="s">
        <v>36</v>
      </c>
      <c r="AA1239" s="46" t="s">
        <v>36</v>
      </c>
      <c r="AB1239" s="46" t="s">
        <v>37</v>
      </c>
      <c r="AC1239" s="46" t="s">
        <v>36</v>
      </c>
      <c r="AD1239" s="46" t="s">
        <v>36</v>
      </c>
      <c r="AE1239" s="46" t="s">
        <v>36</v>
      </c>
      <c r="AF1239" s="46" t="s">
        <v>36</v>
      </c>
      <c r="AG1239" s="46" t="s">
        <v>36</v>
      </c>
      <c r="AH1239" s="46" t="s">
        <v>43</v>
      </c>
      <c r="AI1239" s="46" t="s">
        <v>37</v>
      </c>
      <c r="AJ1239" s="46">
        <f>=SUM(E1240:AI1240)</f>
      </c>
      <c r="AK1239" s="46">
        <f>=+AY1239</f>
      </c>
      <c r="AL1239" s="46"/>
      <c r="AM1239" s="1"/>
      <c r="AN1239" s="1">
        <f>=COUNTIF(E1239:AI1239,"A")+COUNTIF(E1239:AI1239,"B")+COUNTIF(E1239:AI1239,"C")+COUNTIF(E1239:AI1239,"D")+COUNTIF(E1239:AI1239,"E")+COUNTIF(E1239:AI1239,"F")+COUNTIF(E1239:AI1239,"M")+COUNTIF(E1239:AI1239,"AB")+COUNTIF(E1239:AI1239,"UZ")+COUNTIF(E1239:AI1239,"G")+(COUNTIF(E1239:AI1239,"RT.")/2)+(COUNTIF(E1239:AI1239,"ÇRT.")/2)</f>
      </c>
      <c r="AO1239" s="1">
        <f>=COUNTIF(E1239:AI1239,"O")</f>
      </c>
      <c r="AP1239" s="1">
        <f>=COUNTIF(E1239:AI1239,"RT")+(COUNTIF(E1239:AI1239,"RT.")/2)</f>
      </c>
      <c r="AQ1239" s="1">
        <f>=COUNTIF(E1239:AI1239,"ÇRT")+(COUNTIF(E1239:AI1239,"ÇRT.")/2)</f>
      </c>
      <c r="AR1239" s="1">
        <f>=COUNTIF(E1239:AI1239,"ÇHT")</f>
      </c>
      <c r="AS1239" s="1">
        <f>=COUNTIF(E1239:AI1239,"Ö")+COUNTIF(E1239:AI1239,"T")</f>
      </c>
      <c r="AT1239" s="1">
        <f>=COUNTIF(E1239:AI1239,"Y")</f>
      </c>
      <c r="AU1239" s="1">
        <f>=COUNTIF(E1239:AI1239,"R.")</f>
      </c>
      <c r="AV1239" s="1">
        <f>=COUNTIF(E1239:AI1239,"Ü")</f>
      </c>
      <c r="AW1239" s="1">
        <f>=COUNTIF(E1239:AI1239,"R")</f>
      </c>
      <c r="AX1239" s="1">
        <f>=COUNTIF(E1239:AI1239,"DV")</f>
      </c>
      <c r="AY1239" s="1">
        <f>=+AN1239+AO1239+AP1239+AQ1239+AR1239+AS1239+AT1239+AU1239</f>
      </c>
    </row>
    <row r="1240" ht="16" customHeight="1" spans="1:51" x14ac:dyDescent="0.25">
      <c r="A1240" s="45"/>
      <c r="B1240" s="46"/>
      <c r="C1240" s="46"/>
      <c r="D1240" s="46" t="s">
        <v>33</v>
      </c>
      <c r="E1240" s="46">
        <v>3</v>
      </c>
      <c r="F1240" s="46">
        <v>3</v>
      </c>
      <c r="G1240" s="46"/>
      <c r="H1240" s="46">
        <v>3</v>
      </c>
      <c r="I1240" s="46">
        <v>3</v>
      </c>
      <c r="J1240" s="46">
        <v>3</v>
      </c>
      <c r="K1240" s="46">
        <v>3</v>
      </c>
      <c r="L1240" s="46">
        <v>3</v>
      </c>
      <c r="M1240" s="46">
        <v>3</v>
      </c>
      <c r="N1240" s="46"/>
      <c r="O1240" s="46">
        <v>3</v>
      </c>
      <c r="P1240" s="46">
        <v>3</v>
      </c>
      <c r="Q1240" s="46">
        <v>3</v>
      </c>
      <c r="R1240" s="46">
        <v>3</v>
      </c>
      <c r="S1240" s="46">
        <v>3</v>
      </c>
      <c r="T1240" s="46"/>
      <c r="U1240" s="46">
        <v>0</v>
      </c>
      <c r="V1240" s="46">
        <v>3</v>
      </c>
      <c r="W1240" s="46">
        <v>3</v>
      </c>
      <c r="X1240" s="46">
        <v>3</v>
      </c>
      <c r="Y1240" s="46">
        <v>3</v>
      </c>
      <c r="Z1240" s="46">
        <v>3</v>
      </c>
      <c r="AA1240" s="46">
        <v>3</v>
      </c>
      <c r="AB1240" s="46"/>
      <c r="AC1240" s="46">
        <v>3</v>
      </c>
      <c r="AD1240" s="46">
        <v>3</v>
      </c>
      <c r="AE1240" s="46">
        <v>3</v>
      </c>
      <c r="AF1240" s="46">
        <v>3</v>
      </c>
      <c r="AG1240" s="46">
        <v>3</v>
      </c>
      <c r="AH1240" s="46">
        <v>3</v>
      </c>
      <c r="AI1240" s="46"/>
      <c r="AJ1240" s="46"/>
      <c r="AK1240" s="46"/>
      <c r="AL1240" s="46"/>
      <c r="AM1240" s="1"/>
      <c r="AN1240" s="1"/>
      <c r="AO1240" s="1"/>
      <c r="AP1240" s="1"/>
      <c r="AQ1240" s="1"/>
      <c r="AR1240" s="1"/>
      <c r="AS1240" s="1"/>
      <c r="AT1240" s="1"/>
      <c r="AU1240" s="1"/>
      <c r="AV1240" s="1"/>
      <c r="AW1240" s="1"/>
      <c r="AX1240" s="1"/>
      <c r="AY1240" s="1"/>
    </row>
    <row r="1241" ht="16" customHeight="1" spans="1:51" x14ac:dyDescent="0.25">
      <c r="A1241" s="45"/>
      <c r="B1241" s="46" t="s">
        <v>1291</v>
      </c>
      <c r="C1241" s="46" t="s">
        <v>1292</v>
      </c>
      <c r="D1241" s="46" t="s">
        <v>29</v>
      </c>
      <c r="E1241" s="46" t="s">
        <v>36</v>
      </c>
      <c r="F1241" s="46" t="s">
        <v>36</v>
      </c>
      <c r="G1241" s="46" t="s">
        <v>36</v>
      </c>
      <c r="H1241" s="46" t="s">
        <v>36</v>
      </c>
      <c r="I1241" s="46" t="s">
        <v>337</v>
      </c>
      <c r="J1241" s="46" t="s">
        <v>153</v>
      </c>
      <c r="K1241" s="46" t="s">
        <v>153</v>
      </c>
      <c r="L1241" s="46" t="s">
        <v>46</v>
      </c>
      <c r="M1241" s="46" t="s">
        <v>36</v>
      </c>
      <c r="N1241" s="46" t="s">
        <v>36</v>
      </c>
      <c r="O1241" s="46" t="s">
        <v>36</v>
      </c>
      <c r="P1241" s="46" t="s">
        <v>36</v>
      </c>
      <c r="Q1241" s="46" t="s">
        <v>36</v>
      </c>
      <c r="R1241" s="46" t="s">
        <v>37</v>
      </c>
      <c r="S1241" s="46" t="s">
        <v>36</v>
      </c>
      <c r="T1241" s="46" t="s">
        <v>36</v>
      </c>
      <c r="U1241" s="46" t="s">
        <v>36</v>
      </c>
      <c r="V1241" s="46" t="s">
        <v>36</v>
      </c>
      <c r="W1241" s="46" t="s">
        <v>36</v>
      </c>
      <c r="X1241" s="46" t="s">
        <v>36</v>
      </c>
      <c r="Y1241" s="46" t="s">
        <v>37</v>
      </c>
      <c r="Z1241" s="46" t="s">
        <v>36</v>
      </c>
      <c r="AA1241" s="46" t="s">
        <v>36</v>
      </c>
      <c r="AB1241" s="46" t="s">
        <v>36</v>
      </c>
      <c r="AC1241" s="46" t="s">
        <v>36</v>
      </c>
      <c r="AD1241" s="46" t="s">
        <v>36</v>
      </c>
      <c r="AE1241" s="46" t="s">
        <v>36</v>
      </c>
      <c r="AF1241" s="46" t="s">
        <v>37</v>
      </c>
      <c r="AG1241" s="46" t="s">
        <v>36</v>
      </c>
      <c r="AH1241" s="46" t="s">
        <v>43</v>
      </c>
      <c r="AI1241" s="46" t="s">
        <v>36</v>
      </c>
      <c r="AJ1241" s="46">
        <f>=SUM(E1242:AI1242)</f>
      </c>
      <c r="AK1241" s="46">
        <f>=+AY1241</f>
      </c>
      <c r="AL1241" s="46"/>
      <c r="AM1241" s="1"/>
      <c r="AN1241" s="1">
        <f>=COUNTIF(E1241:AI1241,"A")+COUNTIF(E1241:AI1241,"B")+COUNTIF(E1241:AI1241,"C")+COUNTIF(E1241:AI1241,"D")+COUNTIF(E1241:AI1241,"E")+COUNTIF(E1241:AI1241,"F")+COUNTIF(E1241:AI1241,"M")+COUNTIF(E1241:AI1241,"AB")+COUNTIF(E1241:AI1241,"UZ")+COUNTIF(E1241:AI1241,"G")+(COUNTIF(E1241:AI1241,"RT.")/2)+(COUNTIF(E1241:AI1241,"ÇRT.")/2)</f>
      </c>
      <c r="AO1241" s="1">
        <f>=COUNTIF(E1241:AI1241,"O")</f>
      </c>
      <c r="AP1241" s="1">
        <f>=COUNTIF(E1241:AI1241,"RT")+(COUNTIF(E1241:AI1241,"RT.")/2)</f>
      </c>
      <c r="AQ1241" s="1">
        <f>=COUNTIF(E1241:AI1241,"ÇRT")+(COUNTIF(E1241:AI1241,"ÇRT.")/2)</f>
      </c>
      <c r="AR1241" s="1">
        <f>=COUNTIF(E1241:AI1241,"ÇHT")</f>
      </c>
      <c r="AS1241" s="1">
        <f>=COUNTIF(E1241:AI1241,"Ö")+COUNTIF(E1241:AI1241,"T")</f>
      </c>
      <c r="AT1241" s="1">
        <f>=COUNTIF(E1241:AI1241,"Y")</f>
      </c>
      <c r="AU1241" s="1">
        <f>=COUNTIF(E1241:AI1241,"R.")</f>
      </c>
      <c r="AV1241" s="1">
        <f>=COUNTIF(E1241:AI1241,"Ü")</f>
      </c>
      <c r="AW1241" s="1">
        <f>=COUNTIF(E1241:AI1241,"R")</f>
      </c>
      <c r="AX1241" s="1">
        <f>=COUNTIF(E1241:AI1241,"DV")</f>
      </c>
      <c r="AY1241" s="1">
        <f>=+AN1241+AO1241+AP1241+AQ1241+AR1241+AS1241+AT1241+AU1241</f>
      </c>
    </row>
    <row r="1242" ht="16" customHeight="1" spans="1:51" x14ac:dyDescent="0.25">
      <c r="A1242" s="45"/>
      <c r="B1242" s="46"/>
      <c r="C1242" s="46"/>
      <c r="D1242" s="46" t="s">
        <v>33</v>
      </c>
      <c r="E1242" s="46"/>
      <c r="F1242" s="46"/>
      <c r="G1242" s="46"/>
      <c r="H1242" s="46"/>
      <c r="I1242" s="46"/>
      <c r="J1242" s="46"/>
      <c r="K1242" s="46"/>
      <c r="L1242" s="46"/>
      <c r="M1242" s="46"/>
      <c r="N1242" s="46"/>
      <c r="O1242" s="46"/>
      <c r="P1242" s="46"/>
      <c r="Q1242" s="46"/>
      <c r="R1242" s="46"/>
      <c r="S1242" s="46"/>
      <c r="T1242" s="46"/>
      <c r="U1242" s="46"/>
      <c r="V1242" s="46"/>
      <c r="W1242" s="46"/>
      <c r="X1242" s="46"/>
      <c r="Y1242" s="46"/>
      <c r="Z1242" s="46"/>
      <c r="AA1242" s="46"/>
      <c r="AB1242" s="46"/>
      <c r="AC1242" s="46"/>
      <c r="AD1242" s="46"/>
      <c r="AE1242" s="46"/>
      <c r="AF1242" s="46"/>
      <c r="AG1242" s="46"/>
      <c r="AH1242" s="46"/>
      <c r="AI1242" s="46"/>
      <c r="AJ1242" s="46"/>
      <c r="AK1242" s="46"/>
      <c r="AL1242" s="46"/>
      <c r="AM1242" s="1"/>
      <c r="AN1242" s="1"/>
      <c r="AO1242" s="1"/>
      <c r="AP1242" s="1"/>
      <c r="AQ1242" s="1"/>
      <c r="AR1242" s="1"/>
      <c r="AS1242" s="1"/>
      <c r="AT1242" s="1"/>
      <c r="AU1242" s="1"/>
      <c r="AV1242" s="1"/>
      <c r="AW1242" s="1"/>
      <c r="AX1242" s="1"/>
      <c r="AY1242" s="1"/>
    </row>
    <row r="1243" ht="16" customHeight="1" spans="1:51" x14ac:dyDescent="0.25">
      <c r="A1243" s="45"/>
      <c r="B1243" s="46" t="s">
        <v>1293</v>
      </c>
      <c r="C1243" s="46" t="s">
        <v>1294</v>
      </c>
      <c r="D1243" s="46" t="s">
        <v>29</v>
      </c>
      <c r="E1243" s="46" t="s">
        <v>36</v>
      </c>
      <c r="F1243" s="46" t="s">
        <v>36</v>
      </c>
      <c r="G1243" s="46" t="s">
        <v>36</v>
      </c>
      <c r="H1243" s="46" t="s">
        <v>36</v>
      </c>
      <c r="I1243" s="46" t="s">
        <v>36</v>
      </c>
      <c r="J1243" s="46" t="s">
        <v>36</v>
      </c>
      <c r="K1243" s="46" t="s">
        <v>37</v>
      </c>
      <c r="L1243" s="46" t="s">
        <v>59</v>
      </c>
      <c r="M1243" s="46" t="s">
        <v>36</v>
      </c>
      <c r="N1243" s="46" t="s">
        <v>36</v>
      </c>
      <c r="O1243" s="46" t="s">
        <v>36</v>
      </c>
      <c r="P1243" s="46" t="s">
        <v>36</v>
      </c>
      <c r="Q1243" s="46" t="s">
        <v>37</v>
      </c>
      <c r="R1243" s="46" t="s">
        <v>36</v>
      </c>
      <c r="S1243" s="46" t="s">
        <v>36</v>
      </c>
      <c r="T1243" s="46" t="s">
        <v>36</v>
      </c>
      <c r="U1243" s="46" t="s">
        <v>36</v>
      </c>
      <c r="V1243" s="46" t="s">
        <v>36</v>
      </c>
      <c r="W1243" s="46" t="s">
        <v>36</v>
      </c>
      <c r="X1243" s="46" t="s">
        <v>36</v>
      </c>
      <c r="Y1243" s="46" t="s">
        <v>37</v>
      </c>
      <c r="Z1243" s="46" t="s">
        <v>59</v>
      </c>
      <c r="AA1243" s="46" t="s">
        <v>36</v>
      </c>
      <c r="AB1243" s="46" t="s">
        <v>36</v>
      </c>
      <c r="AC1243" s="46" t="s">
        <v>36</v>
      </c>
      <c r="AD1243" s="46" t="s">
        <v>36</v>
      </c>
      <c r="AE1243" s="46" t="s">
        <v>36</v>
      </c>
      <c r="AF1243" s="46" t="s">
        <v>36</v>
      </c>
      <c r="AG1243" s="46" t="s">
        <v>59</v>
      </c>
      <c r="AH1243" s="46" t="s">
        <v>37</v>
      </c>
      <c r="AI1243" s="46" t="s">
        <v>36</v>
      </c>
      <c r="AJ1243" s="46">
        <f>=SUM(E1244:AI1244)</f>
      </c>
      <c r="AK1243" s="46">
        <f>=+AY1243</f>
      </c>
      <c r="AL1243" s="46"/>
      <c r="AM1243" s="1"/>
      <c r="AN1243" s="1">
        <f>=COUNTIF(E1243:AI1243,"A")+COUNTIF(E1243:AI1243,"B")+COUNTIF(E1243:AI1243,"C")+COUNTIF(E1243:AI1243,"D")+COUNTIF(E1243:AI1243,"E")+COUNTIF(E1243:AI1243,"F")+COUNTIF(E1243:AI1243,"M")+COUNTIF(E1243:AI1243,"AB")+COUNTIF(E1243:AI1243,"UZ")+COUNTIF(E1243:AI1243,"G")+(COUNTIF(E1243:AI1243,"RT.")/2)+(COUNTIF(E1243:AI1243,"ÇRT.")/2)</f>
      </c>
      <c r="AO1243" s="1">
        <f>=COUNTIF(E1243:AI1243,"O")</f>
      </c>
      <c r="AP1243" s="1">
        <f>=COUNTIF(E1243:AI1243,"RT")+(COUNTIF(E1243:AI1243,"RT.")/2)</f>
      </c>
      <c r="AQ1243" s="1">
        <f>=COUNTIF(E1243:AI1243,"ÇRT")+(COUNTIF(E1243:AI1243,"ÇRT.")/2)</f>
      </c>
      <c r="AR1243" s="1">
        <f>=COUNTIF(E1243:AI1243,"ÇHT")</f>
      </c>
      <c r="AS1243" s="1">
        <f>=COUNTIF(E1243:AI1243,"Ö")+COUNTIF(E1243:AI1243,"T")</f>
      </c>
      <c r="AT1243" s="1">
        <f>=COUNTIF(E1243:AI1243,"Y")</f>
      </c>
      <c r="AU1243" s="1">
        <f>=COUNTIF(E1243:AI1243,"R.")</f>
      </c>
      <c r="AV1243" s="1">
        <f>=COUNTIF(E1243:AI1243,"Ü")</f>
      </c>
      <c r="AW1243" s="1">
        <f>=COUNTIF(E1243:AI1243,"R")</f>
      </c>
      <c r="AX1243" s="1">
        <f>=COUNTIF(E1243:AI1243,"DV")</f>
      </c>
      <c r="AY1243" s="1">
        <f>=+AN1243+AO1243+AP1243+AQ1243+AR1243+AS1243+AT1243+AU1243</f>
      </c>
    </row>
    <row r="1244" ht="16" customHeight="1" spans="1:51" x14ac:dyDescent="0.25">
      <c r="A1244" s="45"/>
      <c r="B1244" s="46"/>
      <c r="C1244" s="46"/>
      <c r="D1244" s="46" t="s">
        <v>33</v>
      </c>
      <c r="E1244" s="46"/>
      <c r="F1244" s="46"/>
      <c r="G1244" s="46"/>
      <c r="H1244" s="46"/>
      <c r="I1244" s="46"/>
      <c r="J1244" s="46"/>
      <c r="K1244" s="46"/>
      <c r="L1244" s="46"/>
      <c r="M1244" s="46"/>
      <c r="N1244" s="46"/>
      <c r="O1244" s="46"/>
      <c r="P1244" s="46"/>
      <c r="Q1244" s="46"/>
      <c r="R1244" s="46"/>
      <c r="S1244" s="46"/>
      <c r="T1244" s="46"/>
      <c r="U1244" s="46"/>
      <c r="V1244" s="46">
        <v>0</v>
      </c>
      <c r="W1244" s="46"/>
      <c r="X1244" s="46"/>
      <c r="Y1244" s="46"/>
      <c r="Z1244" s="46"/>
      <c r="AA1244" s="46"/>
      <c r="AB1244" s="46"/>
      <c r="AC1244" s="46"/>
      <c r="AD1244" s="46"/>
      <c r="AE1244" s="46"/>
      <c r="AF1244" s="46"/>
      <c r="AG1244" s="46"/>
      <c r="AH1244" s="46"/>
      <c r="AI1244" s="46"/>
      <c r="AJ1244" s="46"/>
      <c r="AK1244" s="46"/>
      <c r="AL1244" s="46"/>
      <c r="AM1244" s="1"/>
      <c r="AN1244" s="1"/>
      <c r="AO1244" s="1"/>
      <c r="AP1244" s="1"/>
      <c r="AQ1244" s="1"/>
      <c r="AR1244" s="1"/>
      <c r="AS1244" s="1"/>
      <c r="AT1244" s="1"/>
      <c r="AU1244" s="1"/>
      <c r="AV1244" s="1"/>
      <c r="AW1244" s="1"/>
      <c r="AX1244" s="1"/>
      <c r="AY1244" s="1"/>
    </row>
    <row r="1245" ht="16" customHeight="1" spans="1:51" x14ac:dyDescent="0.25">
      <c r="A1245" s="45"/>
      <c r="B1245" s="46" t="s">
        <v>1295</v>
      </c>
      <c r="C1245" s="46" t="s">
        <v>1296</v>
      </c>
      <c r="D1245" s="46" t="s">
        <v>29</v>
      </c>
      <c r="E1245" s="46" t="s">
        <v>36</v>
      </c>
      <c r="F1245" s="46" t="s">
        <v>36</v>
      </c>
      <c r="G1245" s="46" t="s">
        <v>36</v>
      </c>
      <c r="H1245" s="46" t="s">
        <v>37</v>
      </c>
      <c r="I1245" s="46" t="s">
        <v>36</v>
      </c>
      <c r="J1245" s="46" t="s">
        <v>36</v>
      </c>
      <c r="K1245" s="46" t="s">
        <v>36</v>
      </c>
      <c r="L1245" s="46" t="s">
        <v>36</v>
      </c>
      <c r="M1245" s="46" t="s">
        <v>36</v>
      </c>
      <c r="N1245" s="46" t="s">
        <v>36</v>
      </c>
      <c r="O1245" s="46" t="s">
        <v>37</v>
      </c>
      <c r="P1245" s="46" t="s">
        <v>36</v>
      </c>
      <c r="Q1245" s="46" t="s">
        <v>153</v>
      </c>
      <c r="R1245" s="46" t="s">
        <v>36</v>
      </c>
      <c r="S1245" s="46" t="s">
        <v>59</v>
      </c>
      <c r="T1245" s="46" t="s">
        <v>46</v>
      </c>
      <c r="U1245" s="46" t="s">
        <v>36</v>
      </c>
      <c r="V1245" s="46" t="s">
        <v>37</v>
      </c>
      <c r="W1245" s="46" t="s">
        <v>36</v>
      </c>
      <c r="X1245" s="46" t="s">
        <v>36</v>
      </c>
      <c r="Y1245" s="46" t="s">
        <v>36</v>
      </c>
      <c r="Z1245" s="46" t="s">
        <v>36</v>
      </c>
      <c r="AA1245" s="46" t="s">
        <v>36</v>
      </c>
      <c r="AB1245" s="46" t="s">
        <v>36</v>
      </c>
      <c r="AC1245" s="46" t="s">
        <v>37</v>
      </c>
      <c r="AD1245" s="46" t="s">
        <v>36</v>
      </c>
      <c r="AE1245" s="46" t="s">
        <v>36</v>
      </c>
      <c r="AF1245" s="46" t="s">
        <v>36</v>
      </c>
      <c r="AG1245" s="46" t="s">
        <v>36</v>
      </c>
      <c r="AH1245" s="46" t="s">
        <v>43</v>
      </c>
      <c r="AI1245" s="46" t="s">
        <v>36</v>
      </c>
      <c r="AJ1245" s="46">
        <f>=SUM(E1246:AI1246)</f>
      </c>
      <c r="AK1245" s="46">
        <f>=+AY1245</f>
      </c>
      <c r="AL1245" s="46"/>
      <c r="AM1245" s="1"/>
      <c r="AN1245" s="1">
        <f>=COUNTIF(E1245:AI1245,"A")+COUNTIF(E1245:AI1245,"B")+COUNTIF(E1245:AI1245,"C")+COUNTIF(E1245:AI1245,"D")+COUNTIF(E1245:AI1245,"E")+COUNTIF(E1245:AI1245,"F")+COUNTIF(E1245:AI1245,"M")+COUNTIF(E1245:AI1245,"AB")+COUNTIF(E1245:AI1245,"UZ")+COUNTIF(E1245:AI1245,"G")+(COUNTIF(E1245:AI1245,"RT.")/2)+(COUNTIF(E1245:AI1245,"ÇRT.")/2)</f>
      </c>
      <c r="AO1245" s="1">
        <f>=COUNTIF(E1245:AI1245,"O")</f>
      </c>
      <c r="AP1245" s="1">
        <f>=COUNTIF(E1245:AI1245,"RT")+(COUNTIF(E1245:AI1245,"RT.")/2)</f>
      </c>
      <c r="AQ1245" s="1">
        <f>=COUNTIF(E1245:AI1245,"ÇRT")+(COUNTIF(E1245:AI1245,"ÇRT.")/2)</f>
      </c>
      <c r="AR1245" s="1">
        <f>=COUNTIF(E1245:AI1245,"ÇHT")</f>
      </c>
      <c r="AS1245" s="1">
        <f>=COUNTIF(E1245:AI1245,"Ö")+COUNTIF(E1245:AI1245,"T")</f>
      </c>
      <c r="AT1245" s="1">
        <f>=COUNTIF(E1245:AI1245,"Y")</f>
      </c>
      <c r="AU1245" s="1">
        <f>=COUNTIF(E1245:AI1245,"R.")</f>
      </c>
      <c r="AV1245" s="1">
        <f>=COUNTIF(E1245:AI1245,"Ü")</f>
      </c>
      <c r="AW1245" s="1">
        <f>=COUNTIF(E1245:AI1245,"R")</f>
      </c>
      <c r="AX1245" s="1">
        <f>=COUNTIF(E1245:AI1245,"DV")</f>
      </c>
      <c r="AY1245" s="1">
        <f>=+AN1245+AO1245+AP1245+AQ1245+AR1245+AS1245+AT1245+AU1245</f>
      </c>
    </row>
    <row r="1246" ht="16" customHeight="1" spans="1:51" x14ac:dyDescent="0.25">
      <c r="A1246" s="45"/>
      <c r="B1246" s="46"/>
      <c r="C1246" s="46"/>
      <c r="D1246" s="46" t="s">
        <v>33</v>
      </c>
      <c r="E1246" s="46"/>
      <c r="F1246" s="46"/>
      <c r="G1246" s="46"/>
      <c r="H1246" s="46"/>
      <c r="I1246" s="46"/>
      <c r="J1246" s="46"/>
      <c r="K1246" s="46"/>
      <c r="L1246" s="46"/>
      <c r="M1246" s="46"/>
      <c r="N1246" s="46"/>
      <c r="O1246" s="46"/>
      <c r="P1246" s="46"/>
      <c r="Q1246" s="46"/>
      <c r="R1246" s="46"/>
      <c r="S1246" s="46"/>
      <c r="T1246" s="46"/>
      <c r="U1246" s="46"/>
      <c r="V1246" s="46"/>
      <c r="W1246" s="46"/>
      <c r="X1246" s="46"/>
      <c r="Y1246" s="46"/>
      <c r="Z1246" s="46"/>
      <c r="AA1246" s="46"/>
      <c r="AB1246" s="46"/>
      <c r="AC1246" s="46"/>
      <c r="AD1246" s="46"/>
      <c r="AE1246" s="46"/>
      <c r="AF1246" s="46"/>
      <c r="AG1246" s="46"/>
      <c r="AH1246" s="46"/>
      <c r="AI1246" s="46"/>
      <c r="AJ1246" s="46"/>
      <c r="AK1246" s="46"/>
      <c r="AL1246" s="46"/>
      <c r="AM1246" s="1"/>
      <c r="AN1246" s="1"/>
      <c r="AO1246" s="1"/>
      <c r="AP1246" s="1"/>
      <c r="AQ1246" s="1"/>
      <c r="AR1246" s="1"/>
      <c r="AS1246" s="1"/>
      <c r="AT1246" s="1"/>
      <c r="AU1246" s="1"/>
      <c r="AV1246" s="1"/>
      <c r="AW1246" s="1"/>
      <c r="AX1246" s="1"/>
      <c r="AY1246" s="1"/>
    </row>
    <row r="1247" ht="16" customHeight="1" spans="1:51" x14ac:dyDescent="0.25">
      <c r="A1247" s="45"/>
      <c r="B1247" s="46" t="s">
        <v>1297</v>
      </c>
      <c r="C1247" s="46" t="s">
        <v>1298</v>
      </c>
      <c r="D1247" s="46" t="s">
        <v>29</v>
      </c>
      <c r="E1247" s="46" t="s">
        <v>59</v>
      </c>
      <c r="F1247" s="46" t="s">
        <v>59</v>
      </c>
      <c r="G1247" s="46" t="s">
        <v>59</v>
      </c>
      <c r="H1247" s="46" t="s">
        <v>59</v>
      </c>
      <c r="I1247" s="46" t="s">
        <v>59</v>
      </c>
      <c r="J1247" s="46" t="s">
        <v>37</v>
      </c>
      <c r="K1247" s="46" t="s">
        <v>30</v>
      </c>
      <c r="L1247" s="46" t="s">
        <v>30</v>
      </c>
      <c r="M1247" s="46" t="s">
        <v>30</v>
      </c>
      <c r="N1247" s="46" t="s">
        <v>30</v>
      </c>
      <c r="O1247" s="46" t="s">
        <v>30</v>
      </c>
      <c r="P1247" s="46" t="s">
        <v>30</v>
      </c>
      <c r="Q1247" s="46" t="s">
        <v>37</v>
      </c>
      <c r="R1247" s="46" t="s">
        <v>30</v>
      </c>
      <c r="S1247" s="46" t="s">
        <v>59</v>
      </c>
      <c r="T1247" s="46" t="s">
        <v>59</v>
      </c>
      <c r="U1247" s="46" t="s">
        <v>59</v>
      </c>
      <c r="V1247" s="46" t="s">
        <v>59</v>
      </c>
      <c r="W1247" s="46" t="s">
        <v>59</v>
      </c>
      <c r="X1247" s="46" t="s">
        <v>37</v>
      </c>
      <c r="Y1247" s="46" t="s">
        <v>59</v>
      </c>
      <c r="Z1247" s="46" t="s">
        <v>59</v>
      </c>
      <c r="AA1247" s="46" t="s">
        <v>59</v>
      </c>
      <c r="AB1247" s="46" t="s">
        <v>59</v>
      </c>
      <c r="AC1247" s="46" t="s">
        <v>59</v>
      </c>
      <c r="AD1247" s="46" t="s">
        <v>59</v>
      </c>
      <c r="AE1247" s="46" t="s">
        <v>37</v>
      </c>
      <c r="AF1247" s="46" t="s">
        <v>30</v>
      </c>
      <c r="AG1247" s="46" t="s">
        <v>30</v>
      </c>
      <c r="AH1247" s="46" t="s">
        <v>43</v>
      </c>
      <c r="AI1247" s="46" t="s">
        <v>30</v>
      </c>
      <c r="AJ1247" s="46">
        <f>=SUM(E1248:AI1248)</f>
      </c>
      <c r="AK1247" s="46">
        <f>=+AY1247</f>
      </c>
      <c r="AL1247" s="46"/>
      <c r="AM1247" s="1"/>
      <c r="AN1247" s="1">
        <f>=COUNTIF(E1247:AI1247,"A")+COUNTIF(E1247:AI1247,"B")+COUNTIF(E1247:AI1247,"C")+COUNTIF(E1247:AI1247,"D")+COUNTIF(E1247:AI1247,"E")+COUNTIF(E1247:AI1247,"F")+COUNTIF(E1247:AI1247,"M")+COUNTIF(E1247:AI1247,"AB")+COUNTIF(E1247:AI1247,"UZ")+COUNTIF(E1247:AI1247,"G")+(COUNTIF(E1247:AI1247,"RT.")/2)+(COUNTIF(E1247:AI1247,"ÇRT.")/2)</f>
      </c>
      <c r="AO1247" s="1">
        <f>=COUNTIF(E1247:AI1247,"O")</f>
      </c>
      <c r="AP1247" s="1">
        <f>=COUNTIF(E1247:AI1247,"RT")+(COUNTIF(E1247:AI1247,"RT.")/2)</f>
      </c>
      <c r="AQ1247" s="1">
        <f>=COUNTIF(E1247:AI1247,"ÇRT")+(COUNTIF(E1247:AI1247,"ÇRT.")/2)</f>
      </c>
      <c r="AR1247" s="1">
        <f>=COUNTIF(E1247:AI1247,"ÇHT")</f>
      </c>
      <c r="AS1247" s="1">
        <f>=COUNTIF(E1247:AI1247,"Ö")+COUNTIF(E1247:AI1247,"T")</f>
      </c>
      <c r="AT1247" s="1">
        <f>=COUNTIF(E1247:AI1247,"Y")</f>
      </c>
      <c r="AU1247" s="1">
        <f>=COUNTIF(E1247:AI1247,"R.")</f>
      </c>
      <c r="AV1247" s="1">
        <f>=COUNTIF(E1247:AI1247,"Ü")</f>
      </c>
      <c r="AW1247" s="1">
        <f>=COUNTIF(E1247:AI1247,"R")</f>
      </c>
      <c r="AX1247" s="1">
        <f>=COUNTIF(E1247:AI1247,"DV")</f>
      </c>
      <c r="AY1247" s="1">
        <f>=+AN1247+AO1247+AP1247+AQ1247+AR1247+AS1247+AT1247+AU1247</f>
      </c>
    </row>
    <row r="1248" ht="16" customHeight="1" spans="1:51" x14ac:dyDescent="0.25">
      <c r="A1248" s="45"/>
      <c r="B1248" s="46"/>
      <c r="C1248" s="46"/>
      <c r="D1248" s="46" t="s">
        <v>33</v>
      </c>
      <c r="E1248" s="46"/>
      <c r="F1248" s="46"/>
      <c r="G1248" s="46"/>
      <c r="H1248" s="46"/>
      <c r="I1248" s="46"/>
      <c r="J1248" s="46"/>
      <c r="K1248" s="46"/>
      <c r="L1248" s="46"/>
      <c r="M1248" s="46"/>
      <c r="N1248" s="46"/>
      <c r="O1248" s="46"/>
      <c r="P1248" s="46"/>
      <c r="Q1248" s="46"/>
      <c r="R1248" s="46"/>
      <c r="S1248" s="46"/>
      <c r="T1248" s="46"/>
      <c r="U1248" s="46"/>
      <c r="V1248" s="46"/>
      <c r="W1248" s="46"/>
      <c r="X1248" s="46"/>
      <c r="Y1248" s="46"/>
      <c r="Z1248" s="46"/>
      <c r="AA1248" s="46"/>
      <c r="AB1248" s="46"/>
      <c r="AC1248" s="46"/>
      <c r="AD1248" s="46"/>
      <c r="AE1248" s="46"/>
      <c r="AF1248" s="46">
        <v>0</v>
      </c>
      <c r="AG1248" s="46"/>
      <c r="AH1248" s="46"/>
      <c r="AI1248" s="46"/>
      <c r="AJ1248" s="46"/>
      <c r="AK1248" s="46"/>
      <c r="AL1248" s="46"/>
      <c r="AM1248" s="1"/>
      <c r="AN1248" s="1"/>
      <c r="AO1248" s="1"/>
      <c r="AP1248" s="1"/>
      <c r="AQ1248" s="1"/>
      <c r="AR1248" s="1"/>
      <c r="AS1248" s="1"/>
      <c r="AT1248" s="1"/>
      <c r="AU1248" s="1"/>
      <c r="AV1248" s="1"/>
      <c r="AW1248" s="1"/>
      <c r="AX1248" s="1"/>
      <c r="AY1248" s="1"/>
    </row>
    <row r="1249" ht="16" customHeight="1" spans="1:51" x14ac:dyDescent="0.25">
      <c r="A1249" s="45"/>
      <c r="B1249" s="46" t="s">
        <v>1299</v>
      </c>
      <c r="C1249" s="46" t="s">
        <v>1300</v>
      </c>
      <c r="D1249" s="46" t="s">
        <v>29</v>
      </c>
      <c r="E1249" s="46" t="s">
        <v>36</v>
      </c>
      <c r="F1249" s="46" t="s">
        <v>36</v>
      </c>
      <c r="G1249" s="46" t="s">
        <v>36</v>
      </c>
      <c r="H1249" s="46" t="s">
        <v>36</v>
      </c>
      <c r="I1249" s="46" t="s">
        <v>37</v>
      </c>
      <c r="J1249" s="46" t="s">
        <v>36</v>
      </c>
      <c r="K1249" s="46" t="s">
        <v>36</v>
      </c>
      <c r="L1249" s="46" t="s">
        <v>36</v>
      </c>
      <c r="M1249" s="46" t="s">
        <v>36</v>
      </c>
      <c r="N1249" s="46" t="s">
        <v>36</v>
      </c>
      <c r="O1249" s="46" t="s">
        <v>36</v>
      </c>
      <c r="P1249" s="46" t="s">
        <v>37</v>
      </c>
      <c r="Q1249" s="46" t="s">
        <v>36</v>
      </c>
      <c r="R1249" s="46" t="s">
        <v>36</v>
      </c>
      <c r="S1249" s="46" t="s">
        <v>36</v>
      </c>
      <c r="T1249" s="46" t="s">
        <v>36</v>
      </c>
      <c r="U1249" s="46" t="s">
        <v>36</v>
      </c>
      <c r="V1249" s="46" t="s">
        <v>36</v>
      </c>
      <c r="W1249" s="46" t="s">
        <v>37</v>
      </c>
      <c r="X1249" s="46" t="s">
        <v>36</v>
      </c>
      <c r="Y1249" s="46" t="s">
        <v>36</v>
      </c>
      <c r="Z1249" s="46" t="s">
        <v>36</v>
      </c>
      <c r="AA1249" s="46" t="s">
        <v>36</v>
      </c>
      <c r="AB1249" s="46" t="s">
        <v>36</v>
      </c>
      <c r="AC1249" s="46" t="s">
        <v>36</v>
      </c>
      <c r="AD1249" s="46" t="s">
        <v>36</v>
      </c>
      <c r="AE1249" s="46" t="s">
        <v>37</v>
      </c>
      <c r="AF1249" s="46" t="s">
        <v>153</v>
      </c>
      <c r="AG1249" s="46" t="s">
        <v>36</v>
      </c>
      <c r="AH1249" s="46" t="s">
        <v>43</v>
      </c>
      <c r="AI1249" s="46" t="s">
        <v>36</v>
      </c>
      <c r="AJ1249" s="46">
        <f>=SUM(E1250:AI1250)</f>
      </c>
      <c r="AK1249" s="46">
        <f>=+AY1249</f>
      </c>
      <c r="AL1249" s="46"/>
      <c r="AM1249" s="1"/>
      <c r="AN1249" s="1">
        <f>=COUNTIF(E1249:AI1249,"A")+COUNTIF(E1249:AI1249,"B")+COUNTIF(E1249:AI1249,"C")+COUNTIF(E1249:AI1249,"D")+COUNTIF(E1249:AI1249,"E")+COUNTIF(E1249:AI1249,"F")+COUNTIF(E1249:AI1249,"M")+COUNTIF(E1249:AI1249,"AB")+COUNTIF(E1249:AI1249,"UZ")+COUNTIF(E1249:AI1249,"G")+(COUNTIF(E1249:AI1249,"RT.")/2)+(COUNTIF(E1249:AI1249,"ÇRT.")/2)</f>
      </c>
      <c r="AO1249" s="1">
        <f>=COUNTIF(E1249:AI1249,"O")</f>
      </c>
      <c r="AP1249" s="1">
        <f>=COUNTIF(E1249:AI1249,"RT")+(COUNTIF(E1249:AI1249,"RT.")/2)</f>
      </c>
      <c r="AQ1249" s="1">
        <f>=COUNTIF(E1249:AI1249,"ÇRT")+(COUNTIF(E1249:AI1249,"ÇRT.")/2)</f>
      </c>
      <c r="AR1249" s="1">
        <f>=COUNTIF(E1249:AI1249,"ÇHT")</f>
      </c>
      <c r="AS1249" s="1">
        <f>=COUNTIF(E1249:AI1249,"Ö")+COUNTIF(E1249:AI1249,"T")</f>
      </c>
      <c r="AT1249" s="1">
        <f>=COUNTIF(E1249:AI1249,"Y")</f>
      </c>
      <c r="AU1249" s="1">
        <f>=COUNTIF(E1249:AI1249,"R.")</f>
      </c>
      <c r="AV1249" s="1">
        <f>=COUNTIF(E1249:AI1249,"Ü")</f>
      </c>
      <c r="AW1249" s="1">
        <f>=COUNTIF(E1249:AI1249,"R")</f>
      </c>
      <c r="AX1249" s="1">
        <f>=COUNTIF(E1249:AI1249,"DV")</f>
      </c>
      <c r="AY1249" s="1">
        <f>=+AN1249+AO1249+AP1249+AQ1249+AR1249+AS1249+AT1249+AU1249</f>
      </c>
    </row>
    <row r="1250" ht="16" customHeight="1" spans="1:51" x14ac:dyDescent="0.25">
      <c r="A1250" s="45"/>
      <c r="B1250" s="46"/>
      <c r="C1250" s="46"/>
      <c r="D1250" s="46" t="s">
        <v>33</v>
      </c>
      <c r="E1250" s="46"/>
      <c r="F1250" s="46"/>
      <c r="G1250" s="46"/>
      <c r="H1250" s="46"/>
      <c r="I1250" s="46"/>
      <c r="J1250" s="46"/>
      <c r="K1250" s="46"/>
      <c r="L1250" s="46"/>
      <c r="M1250" s="46"/>
      <c r="N1250" s="46"/>
      <c r="O1250" s="46"/>
      <c r="P1250" s="46"/>
      <c r="Q1250" s="46"/>
      <c r="R1250" s="46"/>
      <c r="S1250" s="46"/>
      <c r="T1250" s="46"/>
      <c r="U1250" s="46"/>
      <c r="V1250" s="46"/>
      <c r="W1250" s="46"/>
      <c r="X1250" s="46"/>
      <c r="Y1250" s="46"/>
      <c r="Z1250" s="46"/>
      <c r="AA1250" s="46"/>
      <c r="AB1250" s="46"/>
      <c r="AC1250" s="46"/>
      <c r="AD1250" s="46"/>
      <c r="AE1250" s="46"/>
      <c r="AF1250" s="46"/>
      <c r="AG1250" s="46"/>
      <c r="AH1250" s="46"/>
      <c r="AI1250" s="46"/>
      <c r="AJ1250" s="46"/>
      <c r="AK1250" s="46"/>
      <c r="AL1250" s="46"/>
      <c r="AM1250" s="1"/>
      <c r="AN1250" s="1"/>
      <c r="AO1250" s="1"/>
      <c r="AP1250" s="1"/>
      <c r="AQ1250" s="1"/>
      <c r="AR1250" s="1"/>
      <c r="AS1250" s="1"/>
      <c r="AT1250" s="1"/>
      <c r="AU1250" s="1"/>
      <c r="AV1250" s="1"/>
      <c r="AW1250" s="1"/>
      <c r="AX1250" s="1"/>
      <c r="AY1250" s="1"/>
    </row>
    <row r="1251" ht="16" customHeight="1" spans="1:51" x14ac:dyDescent="0.25">
      <c r="A1251" s="45"/>
      <c r="B1251" s="46" t="s">
        <v>1301</v>
      </c>
      <c r="C1251" s="46" t="s">
        <v>1302</v>
      </c>
      <c r="D1251" s="46" t="s">
        <v>29</v>
      </c>
      <c r="E1251" s="46" t="s">
        <v>36</v>
      </c>
      <c r="F1251" s="46" t="s">
        <v>37</v>
      </c>
      <c r="G1251" s="46" t="s">
        <v>36</v>
      </c>
      <c r="H1251" s="46" t="s">
        <v>36</v>
      </c>
      <c r="I1251" s="46" t="s">
        <v>36</v>
      </c>
      <c r="J1251" s="46" t="s">
        <v>36</v>
      </c>
      <c r="K1251" s="46" t="s">
        <v>36</v>
      </c>
      <c r="L1251" s="46" t="s">
        <v>36</v>
      </c>
      <c r="M1251" s="46" t="s">
        <v>37</v>
      </c>
      <c r="N1251" s="46" t="s">
        <v>36</v>
      </c>
      <c r="O1251" s="46" t="s">
        <v>36</v>
      </c>
      <c r="P1251" s="46" t="s">
        <v>36</v>
      </c>
      <c r="Q1251" s="46" t="s">
        <v>36</v>
      </c>
      <c r="R1251" s="46" t="s">
        <v>36</v>
      </c>
      <c r="S1251" s="46" t="s">
        <v>36</v>
      </c>
      <c r="T1251" s="46" t="s">
        <v>37</v>
      </c>
      <c r="U1251" s="46" t="s">
        <v>36</v>
      </c>
      <c r="V1251" s="46" t="s">
        <v>36</v>
      </c>
      <c r="W1251" s="46" t="s">
        <v>36</v>
      </c>
      <c r="X1251" s="46" t="s">
        <v>36</v>
      </c>
      <c r="Y1251" s="46" t="s">
        <v>36</v>
      </c>
      <c r="Z1251" s="46" t="s">
        <v>36</v>
      </c>
      <c r="AA1251" s="46" t="s">
        <v>37</v>
      </c>
      <c r="AB1251" s="46" t="s">
        <v>98</v>
      </c>
      <c r="AC1251" s="46" t="s">
        <v>98</v>
      </c>
      <c r="AD1251" s="46" t="s">
        <v>98</v>
      </c>
      <c r="AE1251" s="46" t="s">
        <v>98</v>
      </c>
      <c r="AF1251" s="46" t="s">
        <v>98</v>
      </c>
      <c r="AG1251" s="46" t="s">
        <v>98</v>
      </c>
      <c r="AH1251" s="46" t="s">
        <v>37</v>
      </c>
      <c r="AI1251" s="46" t="s">
        <v>98</v>
      </c>
      <c r="AJ1251" s="46">
        <f>=SUM(E1252:AI1252)</f>
      </c>
      <c r="AK1251" s="46">
        <f>=+AY1251</f>
      </c>
      <c r="AL1251" s="46"/>
      <c r="AM1251" s="1"/>
      <c r="AN1251" s="1">
        <f>=COUNTIF(E1251:AI1251,"A")+COUNTIF(E1251:AI1251,"B")+COUNTIF(E1251:AI1251,"C")+COUNTIF(E1251:AI1251,"D")+COUNTIF(E1251:AI1251,"E")+COUNTIF(E1251:AI1251,"F")+COUNTIF(E1251:AI1251,"M")+COUNTIF(E1251:AI1251,"AB")+COUNTIF(E1251:AI1251,"UZ")+COUNTIF(E1251:AI1251,"G")+(COUNTIF(E1251:AI1251,"RT.")/2)+(COUNTIF(E1251:AI1251,"ÇRT.")/2)</f>
      </c>
      <c r="AO1251" s="1">
        <f>=COUNTIF(E1251:AI1251,"O")</f>
      </c>
      <c r="AP1251" s="1">
        <f>=COUNTIF(E1251:AI1251,"RT")+(COUNTIF(E1251:AI1251,"RT.")/2)</f>
      </c>
      <c r="AQ1251" s="1">
        <f>=COUNTIF(E1251:AI1251,"ÇRT")+(COUNTIF(E1251:AI1251,"ÇRT.")/2)</f>
      </c>
      <c r="AR1251" s="1">
        <f>=COUNTIF(E1251:AI1251,"ÇHT")</f>
      </c>
      <c r="AS1251" s="1">
        <f>=COUNTIF(E1251:AI1251,"Ö")+COUNTIF(E1251:AI1251,"T")</f>
      </c>
      <c r="AT1251" s="1">
        <f>=COUNTIF(E1251:AI1251,"Y")</f>
      </c>
      <c r="AU1251" s="1">
        <f>=COUNTIF(E1251:AI1251,"R.")</f>
      </c>
      <c r="AV1251" s="1">
        <f>=COUNTIF(E1251:AI1251,"Ü")</f>
      </c>
      <c r="AW1251" s="1">
        <f>=COUNTIF(E1251:AI1251,"R")</f>
      </c>
      <c r="AX1251" s="1">
        <f>=COUNTIF(E1251:AI1251,"DV")</f>
      </c>
      <c r="AY1251" s="1">
        <f>=+AN1251+AO1251+AP1251+AQ1251+AR1251+AS1251+AT1251+AU1251</f>
      </c>
    </row>
    <row r="1252" ht="16" customHeight="1" spans="1:51" x14ac:dyDescent="0.25">
      <c r="A1252" s="45"/>
      <c r="B1252" s="46"/>
      <c r="C1252" s="46"/>
      <c r="D1252" s="46" t="s">
        <v>33</v>
      </c>
      <c r="E1252" s="46"/>
      <c r="F1252" s="46"/>
      <c r="G1252" s="46"/>
      <c r="H1252" s="46"/>
      <c r="I1252" s="46"/>
      <c r="J1252" s="46"/>
      <c r="K1252" s="46"/>
      <c r="L1252" s="46"/>
      <c r="M1252" s="46"/>
      <c r="N1252" s="46">
        <v>3</v>
      </c>
      <c r="O1252" s="46">
        <v>2</v>
      </c>
      <c r="P1252" s="46"/>
      <c r="Q1252" s="46"/>
      <c r="R1252" s="46"/>
      <c r="S1252" s="46"/>
      <c r="T1252" s="46"/>
      <c r="U1252" s="46"/>
      <c r="V1252" s="46"/>
      <c r="W1252" s="46"/>
      <c r="X1252" s="46"/>
      <c r="Y1252" s="46"/>
      <c r="Z1252" s="46"/>
      <c r="AA1252" s="46"/>
      <c r="AB1252" s="46"/>
      <c r="AC1252" s="46"/>
      <c r="AD1252" s="46"/>
      <c r="AE1252" s="46"/>
      <c r="AF1252" s="46"/>
      <c r="AG1252" s="46"/>
      <c r="AH1252" s="46"/>
      <c r="AI1252" s="46"/>
      <c r="AJ1252" s="46"/>
      <c r="AK1252" s="46"/>
      <c r="AL1252" s="46"/>
      <c r="AM1252" s="1"/>
      <c r="AN1252" s="1"/>
      <c r="AO1252" s="1"/>
      <c r="AP1252" s="1"/>
      <c r="AQ1252" s="1"/>
      <c r="AR1252" s="1"/>
      <c r="AS1252" s="1"/>
      <c r="AT1252" s="1"/>
      <c r="AU1252" s="1"/>
      <c r="AV1252" s="1"/>
      <c r="AW1252" s="1"/>
      <c r="AX1252" s="1"/>
      <c r="AY1252" s="1"/>
    </row>
    <row r="1253" ht="16" customHeight="1" spans="1:51" x14ac:dyDescent="0.25">
      <c r="A1253" s="45"/>
      <c r="B1253" s="46" t="s">
        <v>1303</v>
      </c>
      <c r="C1253" s="46" t="s">
        <v>1304</v>
      </c>
      <c r="D1253" s="46" t="s">
        <v>29</v>
      </c>
      <c r="E1253" s="46" t="s">
        <v>37</v>
      </c>
      <c r="F1253" s="46" t="s">
        <v>36</v>
      </c>
      <c r="G1253" s="46" t="s">
        <v>36</v>
      </c>
      <c r="H1253" s="46" t="s">
        <v>36</v>
      </c>
      <c r="I1253" s="46" t="s">
        <v>36</v>
      </c>
      <c r="J1253" s="46" t="s">
        <v>36</v>
      </c>
      <c r="K1253" s="46" t="s">
        <v>36</v>
      </c>
      <c r="L1253" s="46" t="s">
        <v>37</v>
      </c>
      <c r="M1253" s="46" t="s">
        <v>36</v>
      </c>
      <c r="N1253" s="46" t="s">
        <v>36</v>
      </c>
      <c r="O1253" s="46" t="s">
        <v>36</v>
      </c>
      <c r="P1253" s="46" t="s">
        <v>36</v>
      </c>
      <c r="Q1253" s="46" t="s">
        <v>36</v>
      </c>
      <c r="R1253" s="46" t="s">
        <v>36</v>
      </c>
      <c r="S1253" s="46" t="s">
        <v>37</v>
      </c>
      <c r="T1253" s="46" t="s">
        <v>36</v>
      </c>
      <c r="U1253" s="46" t="s">
        <v>36</v>
      </c>
      <c r="V1253" s="46" t="s">
        <v>36</v>
      </c>
      <c r="W1253" s="46" t="s">
        <v>36</v>
      </c>
      <c r="X1253" s="46" t="s">
        <v>98</v>
      </c>
      <c r="Y1253" s="46" t="s">
        <v>98</v>
      </c>
      <c r="Z1253" s="46" t="s">
        <v>37</v>
      </c>
      <c r="AA1253" s="46" t="s">
        <v>98</v>
      </c>
      <c r="AB1253" s="46" t="s">
        <v>98</v>
      </c>
      <c r="AC1253" s="46" t="s">
        <v>98</v>
      </c>
      <c r="AD1253" s="46" t="s">
        <v>98</v>
      </c>
      <c r="AE1253" s="46" t="s">
        <v>98</v>
      </c>
      <c r="AF1253" s="46" t="s">
        <v>98</v>
      </c>
      <c r="AG1253" s="46" t="s">
        <v>37</v>
      </c>
      <c r="AH1253" s="46" t="s">
        <v>154</v>
      </c>
      <c r="AI1253" s="46" t="s">
        <v>98</v>
      </c>
      <c r="AJ1253" s="46">
        <f>=SUM(E1254:AI1254)</f>
      </c>
      <c r="AK1253" s="46">
        <f>=+AY1253</f>
      </c>
      <c r="AL1253" s="46"/>
      <c r="AM1253" s="1"/>
      <c r="AN1253" s="1">
        <f>=COUNTIF(E1253:AI1253,"A")+COUNTIF(E1253:AI1253,"B")+COUNTIF(E1253:AI1253,"C")+COUNTIF(E1253:AI1253,"D")+COUNTIF(E1253:AI1253,"E")+COUNTIF(E1253:AI1253,"F")+COUNTIF(E1253:AI1253,"M")+COUNTIF(E1253:AI1253,"AB")+COUNTIF(E1253:AI1253,"UZ")+COUNTIF(E1253:AI1253,"G")+(COUNTIF(E1253:AI1253,"RT.")/2)+(COUNTIF(E1253:AI1253,"ÇRT.")/2)</f>
      </c>
      <c r="AO1253" s="1">
        <f>=COUNTIF(E1253:AI1253,"O")</f>
      </c>
      <c r="AP1253" s="1">
        <f>=COUNTIF(E1253:AI1253,"RT")+(COUNTIF(E1253:AI1253,"RT.")/2)</f>
      </c>
      <c r="AQ1253" s="1">
        <f>=COUNTIF(E1253:AI1253,"ÇRT")+(COUNTIF(E1253:AI1253,"ÇRT.")/2)</f>
      </c>
      <c r="AR1253" s="1">
        <f>=COUNTIF(E1253:AI1253,"ÇHT")</f>
      </c>
      <c r="AS1253" s="1">
        <f>=COUNTIF(E1253:AI1253,"Ö")+COUNTIF(E1253:AI1253,"T")</f>
      </c>
      <c r="AT1253" s="1">
        <f>=COUNTIF(E1253:AI1253,"Y")</f>
      </c>
      <c r="AU1253" s="1">
        <f>=COUNTIF(E1253:AI1253,"R.")</f>
      </c>
      <c r="AV1253" s="1">
        <f>=COUNTIF(E1253:AI1253,"Ü")</f>
      </c>
      <c r="AW1253" s="1">
        <f>=COUNTIF(E1253:AI1253,"R")</f>
      </c>
      <c r="AX1253" s="1">
        <f>=COUNTIF(E1253:AI1253,"DV")</f>
      </c>
      <c r="AY1253" s="1">
        <f>=+AN1253+AO1253+AP1253+AQ1253+AR1253+AS1253+AT1253+AU1253</f>
      </c>
    </row>
    <row r="1254" ht="16" customHeight="1" spans="1:51" x14ac:dyDescent="0.25">
      <c r="A1254" s="45"/>
      <c r="B1254" s="46"/>
      <c r="C1254" s="46"/>
      <c r="D1254" s="46" t="s">
        <v>33</v>
      </c>
      <c r="E1254" s="46"/>
      <c r="F1254" s="46"/>
      <c r="G1254" s="46"/>
      <c r="H1254" s="46"/>
      <c r="I1254" s="46"/>
      <c r="J1254" s="46"/>
      <c r="K1254" s="46"/>
      <c r="L1254" s="46"/>
      <c r="M1254" s="46"/>
      <c r="N1254" s="46"/>
      <c r="O1254" s="46"/>
      <c r="P1254" s="46"/>
      <c r="Q1254" s="46"/>
      <c r="R1254" s="46"/>
      <c r="S1254" s="46"/>
      <c r="T1254" s="46"/>
      <c r="U1254" s="46"/>
      <c r="V1254" s="46"/>
      <c r="W1254" s="46"/>
      <c r="X1254" s="46"/>
      <c r="Y1254" s="46"/>
      <c r="Z1254" s="46"/>
      <c r="AA1254" s="46"/>
      <c r="AB1254" s="46"/>
      <c r="AC1254" s="46"/>
      <c r="AD1254" s="46"/>
      <c r="AE1254" s="46"/>
      <c r="AF1254" s="46"/>
      <c r="AG1254" s="46"/>
      <c r="AH1254" s="46"/>
      <c r="AI1254" s="46"/>
      <c r="AJ1254" s="46"/>
      <c r="AK1254" s="46"/>
      <c r="AL1254" s="46"/>
      <c r="AM1254" s="1"/>
      <c r="AN1254" s="1"/>
      <c r="AO1254" s="1"/>
      <c r="AP1254" s="1"/>
      <c r="AQ1254" s="1"/>
      <c r="AR1254" s="1"/>
      <c r="AS1254" s="1"/>
      <c r="AT1254" s="1"/>
      <c r="AU1254" s="1"/>
      <c r="AV1254" s="1"/>
      <c r="AW1254" s="1"/>
      <c r="AX1254" s="1"/>
      <c r="AY1254" s="1"/>
    </row>
    <row r="1255" ht="16" customHeight="1" spans="1:51" x14ac:dyDescent="0.25">
      <c r="A1255" s="45"/>
      <c r="B1255" s="46" t="s">
        <v>1305</v>
      </c>
      <c r="C1255" s="46" t="s">
        <v>1306</v>
      </c>
      <c r="D1255" s="46" t="s">
        <v>29</v>
      </c>
      <c r="E1255" s="46"/>
      <c r="F1255" s="46"/>
      <c r="G1255" s="46"/>
      <c r="H1255" s="46"/>
      <c r="I1255" s="46"/>
      <c r="J1255" s="46"/>
      <c r="K1255" s="46"/>
      <c r="L1255" s="46"/>
      <c r="M1255" s="46"/>
      <c r="N1255" s="46"/>
      <c r="O1255" s="46"/>
      <c r="P1255" s="46"/>
      <c r="Q1255" s="46"/>
      <c r="R1255" s="46"/>
      <c r="S1255" s="46"/>
      <c r="T1255" s="46"/>
      <c r="U1255" s="46"/>
      <c r="V1255" s="46"/>
      <c r="W1255" s="46"/>
      <c r="X1255" s="46"/>
      <c r="Y1255" s="46"/>
      <c r="Z1255" s="46"/>
      <c r="AA1255" s="46"/>
      <c r="AB1255" s="46"/>
      <c r="AC1255" s="46"/>
      <c r="AD1255" s="46"/>
      <c r="AE1255" s="46"/>
      <c r="AF1255" s="46"/>
      <c r="AG1255" s="46"/>
      <c r="AH1255" s="46"/>
      <c r="AI1255" s="46"/>
      <c r="AJ1255" s="46">
        <f>=SUM(E1256:AI1256)</f>
      </c>
      <c r="AK1255" s="46">
        <f>=+AY1255</f>
      </c>
      <c r="AL1255" s="46"/>
      <c r="AM1255" s="1"/>
      <c r="AN1255" s="1">
        <f>=COUNTIF(E1255:AI1255,"A")+COUNTIF(E1255:AI1255,"B")+COUNTIF(E1255:AI1255,"C")+COUNTIF(E1255:AI1255,"D")+COUNTIF(E1255:AI1255,"E")+COUNTIF(E1255:AI1255,"F")+COUNTIF(E1255:AI1255,"M")+COUNTIF(E1255:AI1255,"AB")+COUNTIF(E1255:AI1255,"UZ")+COUNTIF(E1255:AI1255,"G")+(COUNTIF(E1255:AI1255,"RT.")/2)+(COUNTIF(E1255:AI1255,"ÇRT.")/2)</f>
      </c>
      <c r="AO1255" s="1">
        <f>=COUNTIF(E1255:AI1255,"O")</f>
      </c>
      <c r="AP1255" s="1">
        <f>=COUNTIF(E1255:AI1255,"RT")+(COUNTIF(E1255:AI1255,"RT.")/2)</f>
      </c>
      <c r="AQ1255" s="1">
        <f>=COUNTIF(E1255:AI1255,"ÇRT")+(COUNTIF(E1255:AI1255,"ÇRT.")/2)</f>
      </c>
      <c r="AR1255" s="1">
        <f>=COUNTIF(E1255:AI1255,"ÇHT")</f>
      </c>
      <c r="AS1255" s="1">
        <f>=COUNTIF(E1255:AI1255,"Ö")+COUNTIF(E1255:AI1255,"T")</f>
      </c>
      <c r="AT1255" s="1">
        <f>=COUNTIF(E1255:AI1255,"Y")</f>
      </c>
      <c r="AU1255" s="1">
        <f>=COUNTIF(E1255:AI1255,"R.")</f>
      </c>
      <c r="AV1255" s="1">
        <f>=COUNTIF(E1255:AI1255,"Ü")</f>
      </c>
      <c r="AW1255" s="1">
        <f>=COUNTIF(E1255:AI1255,"R")</f>
      </c>
      <c r="AX1255" s="1">
        <f>=COUNTIF(E1255:AI1255,"DV")</f>
      </c>
      <c r="AY1255" s="1">
        <f>=+AN1255+AO1255+AP1255+AQ1255+AR1255+AS1255+AT1255+AU1255</f>
      </c>
    </row>
    <row r="1256" ht="16" customHeight="1" spans="1:51" x14ac:dyDescent="0.25">
      <c r="A1256" s="45"/>
      <c r="B1256" s="46"/>
      <c r="C1256" s="46"/>
      <c r="D1256" s="46" t="s">
        <v>33</v>
      </c>
      <c r="E1256" s="46"/>
      <c r="F1256" s="46"/>
      <c r="G1256" s="46"/>
      <c r="H1256" s="46"/>
      <c r="I1256" s="46"/>
      <c r="J1256" s="46"/>
      <c r="K1256" s="46"/>
      <c r="L1256" s="46"/>
      <c r="M1256" s="46"/>
      <c r="N1256" s="46"/>
      <c r="O1256" s="46"/>
      <c r="P1256" s="46"/>
      <c r="Q1256" s="46"/>
      <c r="R1256" s="46"/>
      <c r="S1256" s="46"/>
      <c r="T1256" s="46"/>
      <c r="U1256" s="46"/>
      <c r="V1256" s="46"/>
      <c r="W1256" s="46"/>
      <c r="X1256" s="46"/>
      <c r="Y1256" s="46"/>
      <c r="Z1256" s="46"/>
      <c r="AA1256" s="46"/>
      <c r="AB1256" s="46"/>
      <c r="AC1256" s="46"/>
      <c r="AD1256" s="46"/>
      <c r="AE1256" s="46"/>
      <c r="AF1256" s="46"/>
      <c r="AG1256" s="46"/>
      <c r="AH1256" s="46"/>
      <c r="AI1256" s="46"/>
      <c r="AJ1256" s="46"/>
      <c r="AK1256" s="46"/>
      <c r="AL1256" s="46"/>
      <c r="AM1256" s="1"/>
      <c r="AN1256" s="1"/>
      <c r="AO1256" s="1"/>
      <c r="AP1256" s="1"/>
      <c r="AQ1256" s="1"/>
      <c r="AR1256" s="1"/>
      <c r="AS1256" s="1"/>
      <c r="AT1256" s="1"/>
      <c r="AU1256" s="1"/>
      <c r="AV1256" s="1"/>
      <c r="AW1256" s="1"/>
      <c r="AX1256" s="1"/>
      <c r="AY1256" s="1"/>
    </row>
    <row r="1257" ht="16" customHeight="1" spans="1:51" x14ac:dyDescent="0.25">
      <c r="A1257" s="45"/>
      <c r="B1257" s="46" t="s">
        <v>1307</v>
      </c>
      <c r="C1257" s="46" t="s">
        <v>1308</v>
      </c>
      <c r="D1257" s="46" t="s">
        <v>29</v>
      </c>
      <c r="E1257" s="46" t="s">
        <v>36</v>
      </c>
      <c r="F1257" s="46" t="s">
        <v>36</v>
      </c>
      <c r="G1257" s="46" t="s">
        <v>36</v>
      </c>
      <c r="H1257" s="46" t="s">
        <v>36</v>
      </c>
      <c r="I1257" s="46" t="s">
        <v>36</v>
      </c>
      <c r="J1257" s="46" t="s">
        <v>36</v>
      </c>
      <c r="K1257" s="46" t="s">
        <v>37</v>
      </c>
      <c r="L1257" s="46" t="s">
        <v>36</v>
      </c>
      <c r="M1257" s="46" t="s">
        <v>36</v>
      </c>
      <c r="N1257" s="46" t="s">
        <v>36</v>
      </c>
      <c r="O1257" s="46" t="s">
        <v>36</v>
      </c>
      <c r="P1257" s="46" t="s">
        <v>36</v>
      </c>
      <c r="Q1257" s="46" t="s">
        <v>36</v>
      </c>
      <c r="R1257" s="46" t="s">
        <v>37</v>
      </c>
      <c r="S1257" s="46" t="s">
        <v>36</v>
      </c>
      <c r="T1257" s="46" t="s">
        <v>36</v>
      </c>
      <c r="U1257" s="46" t="s">
        <v>36</v>
      </c>
      <c r="V1257" s="46" t="s">
        <v>36</v>
      </c>
      <c r="W1257" s="46" t="s">
        <v>36</v>
      </c>
      <c r="X1257" s="46" t="s">
        <v>36</v>
      </c>
      <c r="Y1257" s="46" t="s">
        <v>37</v>
      </c>
      <c r="Z1257" s="46" t="s">
        <v>36</v>
      </c>
      <c r="AA1257" s="46" t="s">
        <v>36</v>
      </c>
      <c r="AB1257" s="46" t="s">
        <v>36</v>
      </c>
      <c r="AC1257" s="46" t="s">
        <v>36</v>
      </c>
      <c r="AD1257" s="46" t="s">
        <v>98</v>
      </c>
      <c r="AE1257" s="46" t="s">
        <v>98</v>
      </c>
      <c r="AF1257" s="46" t="s">
        <v>37</v>
      </c>
      <c r="AG1257" s="46" t="s">
        <v>36</v>
      </c>
      <c r="AH1257" s="46" t="s">
        <v>43</v>
      </c>
      <c r="AI1257" s="46" t="s">
        <v>36</v>
      </c>
      <c r="AJ1257" s="46">
        <f>=SUM(E1258:AI1258)</f>
      </c>
      <c r="AK1257" s="46">
        <f>=+AY1257</f>
      </c>
      <c r="AL1257" s="46"/>
      <c r="AM1257" s="1"/>
      <c r="AN1257" s="1">
        <f>=COUNTIF(E1257:AI1257,"A")+COUNTIF(E1257:AI1257,"B")+COUNTIF(E1257:AI1257,"C")+COUNTIF(E1257:AI1257,"D")+COUNTIF(E1257:AI1257,"E")+COUNTIF(E1257:AI1257,"F")+COUNTIF(E1257:AI1257,"M")+COUNTIF(E1257:AI1257,"AB")+COUNTIF(E1257:AI1257,"UZ")+COUNTIF(E1257:AI1257,"G")+(COUNTIF(E1257:AI1257,"RT.")/2)+(COUNTIF(E1257:AI1257,"ÇRT.")/2)</f>
      </c>
      <c r="AO1257" s="1">
        <f>=COUNTIF(E1257:AI1257,"O")</f>
      </c>
      <c r="AP1257" s="1">
        <f>=COUNTIF(E1257:AI1257,"RT")+(COUNTIF(E1257:AI1257,"RT.")/2)</f>
      </c>
      <c r="AQ1257" s="1">
        <f>=COUNTIF(E1257:AI1257,"ÇRT")+(COUNTIF(E1257:AI1257,"ÇRT.")/2)</f>
      </c>
      <c r="AR1257" s="1">
        <f>=COUNTIF(E1257:AI1257,"ÇHT")</f>
      </c>
      <c r="AS1257" s="1">
        <f>=COUNTIF(E1257:AI1257,"Ö")+COUNTIF(E1257:AI1257,"T")</f>
      </c>
      <c r="AT1257" s="1">
        <f>=COUNTIF(E1257:AI1257,"Y")</f>
      </c>
      <c r="AU1257" s="1">
        <f>=COUNTIF(E1257:AI1257,"R.")</f>
      </c>
      <c r="AV1257" s="1">
        <f>=COUNTIF(E1257:AI1257,"Ü")</f>
      </c>
      <c r="AW1257" s="1">
        <f>=COUNTIF(E1257:AI1257,"R")</f>
      </c>
      <c r="AX1257" s="1">
        <f>=COUNTIF(E1257:AI1257,"DV")</f>
      </c>
      <c r="AY1257" s="1">
        <f>=+AN1257+AO1257+AP1257+AQ1257+AR1257+AS1257+AT1257+AU1257</f>
      </c>
    </row>
    <row r="1258" ht="16" customHeight="1" spans="1:51" x14ac:dyDescent="0.25">
      <c r="A1258" s="45"/>
      <c r="B1258" s="46"/>
      <c r="C1258" s="46"/>
      <c r="D1258" s="46" t="s">
        <v>33</v>
      </c>
      <c r="E1258" s="46"/>
      <c r="F1258" s="46"/>
      <c r="G1258" s="46"/>
      <c r="H1258" s="46"/>
      <c r="I1258" s="46"/>
      <c r="J1258" s="46"/>
      <c r="K1258" s="46"/>
      <c r="L1258" s="46"/>
      <c r="M1258" s="46"/>
      <c r="N1258" s="46"/>
      <c r="O1258" s="46"/>
      <c r="P1258" s="46"/>
      <c r="Q1258" s="46"/>
      <c r="R1258" s="46"/>
      <c r="S1258" s="46"/>
      <c r="T1258" s="46"/>
      <c r="U1258" s="46"/>
      <c r="V1258" s="46"/>
      <c r="W1258" s="46"/>
      <c r="X1258" s="46"/>
      <c r="Y1258" s="46"/>
      <c r="Z1258" s="46"/>
      <c r="AA1258" s="46"/>
      <c r="AB1258" s="46"/>
      <c r="AC1258" s="46"/>
      <c r="AD1258" s="46"/>
      <c r="AE1258" s="46"/>
      <c r="AF1258" s="46"/>
      <c r="AG1258" s="46"/>
      <c r="AH1258" s="46"/>
      <c r="AI1258" s="46"/>
      <c r="AJ1258" s="46"/>
      <c r="AK1258" s="46"/>
      <c r="AL1258" s="46"/>
      <c r="AM1258" s="1"/>
      <c r="AN1258" s="1"/>
      <c r="AO1258" s="1"/>
      <c r="AP1258" s="1"/>
      <c r="AQ1258" s="1"/>
      <c r="AR1258" s="1"/>
      <c r="AS1258" s="1"/>
      <c r="AT1258" s="1"/>
      <c r="AU1258" s="1"/>
      <c r="AV1258" s="1"/>
      <c r="AW1258" s="1"/>
      <c r="AX1258" s="1"/>
      <c r="AY1258" s="1"/>
    </row>
    <row r="1259" ht="16" customHeight="1" spans="1:51" x14ac:dyDescent="0.25">
      <c r="A1259" s="45"/>
      <c r="B1259" s="46" t="s">
        <v>1309</v>
      </c>
      <c r="C1259" s="46" t="s">
        <v>1310</v>
      </c>
      <c r="D1259" s="46" t="s">
        <v>29</v>
      </c>
      <c r="E1259" s="46" t="s">
        <v>36</v>
      </c>
      <c r="F1259" s="46" t="s">
        <v>36</v>
      </c>
      <c r="G1259" s="46" t="s">
        <v>36</v>
      </c>
      <c r="H1259" s="46" t="s">
        <v>36</v>
      </c>
      <c r="I1259" s="46" t="s">
        <v>36</v>
      </c>
      <c r="J1259" s="46" t="s">
        <v>37</v>
      </c>
      <c r="K1259" s="46" t="s">
        <v>36</v>
      </c>
      <c r="L1259" s="46" t="s">
        <v>36</v>
      </c>
      <c r="M1259" s="46" t="s">
        <v>36</v>
      </c>
      <c r="N1259" s="46" t="s">
        <v>36</v>
      </c>
      <c r="O1259" s="46" t="s">
        <v>36</v>
      </c>
      <c r="P1259" s="46" t="s">
        <v>36</v>
      </c>
      <c r="Q1259" s="46" t="s">
        <v>37</v>
      </c>
      <c r="R1259" s="46" t="s">
        <v>36</v>
      </c>
      <c r="S1259" s="46" t="s">
        <v>36</v>
      </c>
      <c r="T1259" s="46" t="s">
        <v>36</v>
      </c>
      <c r="U1259" s="46" t="s">
        <v>36</v>
      </c>
      <c r="V1259" s="46" t="s">
        <v>36</v>
      </c>
      <c r="W1259" s="46" t="s">
        <v>36</v>
      </c>
      <c r="X1259" s="46" t="s">
        <v>37</v>
      </c>
      <c r="Y1259" s="46" t="s">
        <v>36</v>
      </c>
      <c r="Z1259" s="46" t="s">
        <v>36</v>
      </c>
      <c r="AA1259" s="46" t="s">
        <v>36</v>
      </c>
      <c r="AB1259" s="46" t="s">
        <v>36</v>
      </c>
      <c r="AC1259" s="46" t="s">
        <v>36</v>
      </c>
      <c r="AD1259" s="46" t="s">
        <v>36</v>
      </c>
      <c r="AE1259" s="46" t="s">
        <v>37</v>
      </c>
      <c r="AF1259" s="46" t="s">
        <v>36</v>
      </c>
      <c r="AG1259" s="46" t="s">
        <v>36</v>
      </c>
      <c r="AH1259" s="46" t="s">
        <v>43</v>
      </c>
      <c r="AI1259" s="46" t="s">
        <v>36</v>
      </c>
      <c r="AJ1259" s="46">
        <f>=SUM(E1260:AI1260)</f>
      </c>
      <c r="AK1259" s="46">
        <f>=+AY1259</f>
      </c>
      <c r="AL1259" s="46"/>
      <c r="AM1259" s="1"/>
      <c r="AN1259" s="1">
        <f>=COUNTIF(E1259:AI1259,"A")+COUNTIF(E1259:AI1259,"B")+COUNTIF(E1259:AI1259,"C")+COUNTIF(E1259:AI1259,"D")+COUNTIF(E1259:AI1259,"E")+COUNTIF(E1259:AI1259,"F")+COUNTIF(E1259:AI1259,"M")+COUNTIF(E1259:AI1259,"AB")+COUNTIF(E1259:AI1259,"UZ")+COUNTIF(E1259:AI1259,"G")+(COUNTIF(E1259:AI1259,"RT.")/2)+(COUNTIF(E1259:AI1259,"ÇRT.")/2)</f>
      </c>
      <c r="AO1259" s="1">
        <f>=COUNTIF(E1259:AI1259,"O")</f>
      </c>
      <c r="AP1259" s="1">
        <f>=COUNTIF(E1259:AI1259,"RT")+(COUNTIF(E1259:AI1259,"RT.")/2)</f>
      </c>
      <c r="AQ1259" s="1">
        <f>=COUNTIF(E1259:AI1259,"ÇRT")+(COUNTIF(E1259:AI1259,"ÇRT.")/2)</f>
      </c>
      <c r="AR1259" s="1">
        <f>=COUNTIF(E1259:AI1259,"ÇHT")</f>
      </c>
      <c r="AS1259" s="1">
        <f>=COUNTIF(E1259:AI1259,"Ö")+COUNTIF(E1259:AI1259,"T")</f>
      </c>
      <c r="AT1259" s="1">
        <f>=COUNTIF(E1259:AI1259,"Y")</f>
      </c>
      <c r="AU1259" s="1">
        <f>=COUNTIF(E1259:AI1259,"R.")</f>
      </c>
      <c r="AV1259" s="1">
        <f>=COUNTIF(E1259:AI1259,"Ü")</f>
      </c>
      <c r="AW1259" s="1">
        <f>=COUNTIF(E1259:AI1259,"R")</f>
      </c>
      <c r="AX1259" s="1">
        <f>=COUNTIF(E1259:AI1259,"DV")</f>
      </c>
      <c r="AY1259" s="1">
        <f>=+AN1259+AO1259+AP1259+AQ1259+AR1259+AS1259+AT1259+AU1259</f>
      </c>
    </row>
    <row r="1260" ht="16" customHeight="1" spans="1:51" x14ac:dyDescent="0.25">
      <c r="A1260" s="45"/>
      <c r="B1260" s="46"/>
      <c r="C1260" s="46"/>
      <c r="D1260" s="46" t="s">
        <v>33</v>
      </c>
      <c r="E1260" s="46"/>
      <c r="F1260" s="46"/>
      <c r="G1260" s="46"/>
      <c r="H1260" s="46"/>
      <c r="I1260" s="46"/>
      <c r="J1260" s="46"/>
      <c r="K1260" s="46"/>
      <c r="L1260" s="46"/>
      <c r="M1260" s="46"/>
      <c r="N1260" s="46"/>
      <c r="O1260" s="46"/>
      <c r="P1260" s="46"/>
      <c r="Q1260" s="46"/>
      <c r="R1260" s="46"/>
      <c r="S1260" s="46"/>
      <c r="T1260" s="46"/>
      <c r="U1260" s="46"/>
      <c r="V1260" s="46"/>
      <c r="W1260" s="46"/>
      <c r="X1260" s="46"/>
      <c r="Y1260" s="46"/>
      <c r="Z1260" s="46"/>
      <c r="AA1260" s="46"/>
      <c r="AB1260" s="46"/>
      <c r="AC1260" s="46"/>
      <c r="AD1260" s="46"/>
      <c r="AE1260" s="46"/>
      <c r="AF1260" s="46"/>
      <c r="AG1260" s="46"/>
      <c r="AH1260" s="46"/>
      <c r="AI1260" s="46"/>
      <c r="AJ1260" s="46"/>
      <c r="AK1260" s="46"/>
      <c r="AL1260" s="46"/>
      <c r="AM1260" s="1"/>
      <c r="AN1260" s="1"/>
      <c r="AO1260" s="1"/>
      <c r="AP1260" s="1"/>
      <c r="AQ1260" s="1"/>
      <c r="AR1260" s="1"/>
      <c r="AS1260" s="1"/>
      <c r="AT1260" s="1"/>
      <c r="AU1260" s="1"/>
      <c r="AV1260" s="1"/>
      <c r="AW1260" s="1"/>
      <c r="AX1260" s="1"/>
      <c r="AY1260" s="1"/>
    </row>
    <row r="1261" ht="16" customHeight="1" spans="1:51" x14ac:dyDescent="0.25">
      <c r="A1261" s="45"/>
      <c r="B1261" s="46" t="s">
        <v>1311</v>
      </c>
      <c r="C1261" s="46" t="s">
        <v>1312</v>
      </c>
      <c r="D1261" s="46" t="s">
        <v>29</v>
      </c>
      <c r="E1261" s="46" t="s">
        <v>46</v>
      </c>
      <c r="F1261" s="46" t="s">
        <v>37</v>
      </c>
      <c r="G1261" s="46" t="s">
        <v>36</v>
      </c>
      <c r="H1261" s="46" t="s">
        <v>36</v>
      </c>
      <c r="I1261" s="46" t="s">
        <v>59</v>
      </c>
      <c r="J1261" s="46" t="s">
        <v>59</v>
      </c>
      <c r="K1261" s="46" t="s">
        <v>59</v>
      </c>
      <c r="L1261" s="46" t="s">
        <v>37</v>
      </c>
      <c r="M1261" s="46" t="s">
        <v>59</v>
      </c>
      <c r="N1261" s="46" t="s">
        <v>59</v>
      </c>
      <c r="O1261" s="46" t="s">
        <v>59</v>
      </c>
      <c r="P1261" s="46" t="s">
        <v>59</v>
      </c>
      <c r="Q1261" s="46" t="s">
        <v>59</v>
      </c>
      <c r="R1261" s="46" t="s">
        <v>59</v>
      </c>
      <c r="S1261" s="46" t="s">
        <v>59</v>
      </c>
      <c r="T1261" s="46" t="s">
        <v>37</v>
      </c>
      <c r="U1261" s="46" t="s">
        <v>36</v>
      </c>
      <c r="V1261" s="46" t="s">
        <v>36</v>
      </c>
      <c r="W1261" s="46" t="s">
        <v>59</v>
      </c>
      <c r="X1261" s="46" t="s">
        <v>59</v>
      </c>
      <c r="Y1261" s="46" t="s">
        <v>59</v>
      </c>
      <c r="Z1261" s="46" t="s">
        <v>59</v>
      </c>
      <c r="AA1261" s="46" t="s">
        <v>37</v>
      </c>
      <c r="AB1261" s="46" t="s">
        <v>36</v>
      </c>
      <c r="AC1261" s="46" t="s">
        <v>36</v>
      </c>
      <c r="AD1261" s="46" t="s">
        <v>36</v>
      </c>
      <c r="AE1261" s="46" t="s">
        <v>173</v>
      </c>
      <c r="AF1261" s="46" t="s">
        <v>173</v>
      </c>
      <c r="AG1261" s="46" t="s">
        <v>173</v>
      </c>
      <c r="AH1261" s="46" t="s">
        <v>173</v>
      </c>
      <c r="AI1261" s="46" t="s">
        <v>173</v>
      </c>
      <c r="AJ1261" s="46">
        <f>=SUM(E1262:AI1262)</f>
      </c>
      <c r="AK1261" s="46">
        <f>=+AY1261</f>
      </c>
      <c r="AL1261" s="46"/>
      <c r="AM1261" s="1"/>
      <c r="AN1261" s="1">
        <f>=COUNTIF(E1261:AI1261,"A")+COUNTIF(E1261:AI1261,"B")+COUNTIF(E1261:AI1261,"C")+COUNTIF(E1261:AI1261,"D")+COUNTIF(E1261:AI1261,"E")+COUNTIF(E1261:AI1261,"F")+COUNTIF(E1261:AI1261,"M")+COUNTIF(E1261:AI1261,"AB")+COUNTIF(E1261:AI1261,"UZ")+COUNTIF(E1261:AI1261,"G")+(COUNTIF(E1261:AI1261,"RT.")/2)+(COUNTIF(E1261:AI1261,"ÇRT.")/2)</f>
      </c>
      <c r="AO1261" s="1">
        <f>=COUNTIF(E1261:AI1261,"O")</f>
      </c>
      <c r="AP1261" s="1">
        <f>=COUNTIF(E1261:AI1261,"RT")+(COUNTIF(E1261:AI1261,"RT.")/2)</f>
      </c>
      <c r="AQ1261" s="1">
        <f>=COUNTIF(E1261:AI1261,"ÇRT")+(COUNTIF(E1261:AI1261,"ÇRT.")/2)</f>
      </c>
      <c r="AR1261" s="1">
        <f>=COUNTIF(E1261:AI1261,"ÇHT")</f>
      </c>
      <c r="AS1261" s="1">
        <f>=COUNTIF(E1261:AI1261,"Ö")+COUNTIF(E1261:AI1261,"T")</f>
      </c>
      <c r="AT1261" s="1">
        <f>=COUNTIF(E1261:AI1261,"Y")</f>
      </c>
      <c r="AU1261" s="1">
        <f>=COUNTIF(E1261:AI1261,"R.")</f>
      </c>
      <c r="AV1261" s="1">
        <f>=COUNTIF(E1261:AI1261,"Ü")</f>
      </c>
      <c r="AW1261" s="1">
        <f>=COUNTIF(E1261:AI1261,"R")</f>
      </c>
      <c r="AX1261" s="1">
        <f>=COUNTIF(E1261:AI1261,"DV")</f>
      </c>
      <c r="AY1261" s="1">
        <f>=+AN1261+AO1261+AP1261+AQ1261+AR1261+AS1261+AT1261+AU1261</f>
      </c>
    </row>
    <row r="1262" ht="16" customHeight="1" spans="1:51" x14ac:dyDescent="0.25">
      <c r="A1262" s="45"/>
      <c r="B1262" s="46"/>
      <c r="C1262" s="46"/>
      <c r="D1262" s="46" t="s">
        <v>33</v>
      </c>
      <c r="E1262" s="46"/>
      <c r="F1262" s="46"/>
      <c r="G1262" s="46"/>
      <c r="H1262" s="46"/>
      <c r="I1262" s="46"/>
      <c r="J1262" s="46"/>
      <c r="K1262" s="46"/>
      <c r="L1262" s="46"/>
      <c r="M1262" s="46"/>
      <c r="N1262" s="46"/>
      <c r="O1262" s="46"/>
      <c r="P1262" s="46"/>
      <c r="Q1262" s="46"/>
      <c r="R1262" s="46"/>
      <c r="S1262" s="46"/>
      <c r="T1262" s="46"/>
      <c r="U1262" s="46"/>
      <c r="V1262" s="46"/>
      <c r="W1262" s="46"/>
      <c r="X1262" s="46"/>
      <c r="Y1262" s="46"/>
      <c r="Z1262" s="46"/>
      <c r="AA1262" s="46"/>
      <c r="AB1262" s="46"/>
      <c r="AC1262" s="46"/>
      <c r="AD1262" s="46"/>
      <c r="AE1262" s="46"/>
      <c r="AF1262" s="46"/>
      <c r="AG1262" s="46"/>
      <c r="AH1262" s="46"/>
      <c r="AI1262" s="46"/>
      <c r="AJ1262" s="46"/>
      <c r="AK1262" s="46"/>
      <c r="AL1262" s="46"/>
      <c r="AM1262" s="1"/>
      <c r="AN1262" s="1"/>
      <c r="AO1262" s="1"/>
      <c r="AP1262" s="1"/>
      <c r="AQ1262" s="1"/>
      <c r="AR1262" s="1"/>
      <c r="AS1262" s="1"/>
      <c r="AT1262" s="1"/>
      <c r="AU1262" s="1"/>
      <c r="AV1262" s="1"/>
      <c r="AW1262" s="1"/>
      <c r="AX1262" s="1"/>
      <c r="AY1262" s="1"/>
    </row>
    <row r="1263" ht="16" customHeight="1" spans="1:51" x14ac:dyDescent="0.25">
      <c r="A1263" s="45"/>
      <c r="B1263" s="46" t="s">
        <v>1313</v>
      </c>
      <c r="C1263" s="46" t="s">
        <v>1314</v>
      </c>
      <c r="D1263" s="46" t="s">
        <v>29</v>
      </c>
      <c r="E1263" s="46" t="s">
        <v>37</v>
      </c>
      <c r="F1263" s="46" t="s">
        <v>36</v>
      </c>
      <c r="G1263" s="46" t="s">
        <v>36</v>
      </c>
      <c r="H1263" s="46" t="s">
        <v>36</v>
      </c>
      <c r="I1263" s="46" t="s">
        <v>36</v>
      </c>
      <c r="J1263" s="46" t="s">
        <v>36</v>
      </c>
      <c r="K1263" s="46" t="s">
        <v>36</v>
      </c>
      <c r="L1263" s="46" t="s">
        <v>37</v>
      </c>
      <c r="M1263" s="46" t="s">
        <v>36</v>
      </c>
      <c r="N1263" s="46" t="s">
        <v>36</v>
      </c>
      <c r="O1263" s="46" t="s">
        <v>36</v>
      </c>
      <c r="P1263" s="46" t="s">
        <v>36</v>
      </c>
      <c r="Q1263" s="46" t="s">
        <v>36</v>
      </c>
      <c r="R1263" s="46" t="s">
        <v>36</v>
      </c>
      <c r="S1263" s="46" t="s">
        <v>37</v>
      </c>
      <c r="T1263" s="46" t="s">
        <v>36</v>
      </c>
      <c r="U1263" s="46" t="s">
        <v>36</v>
      </c>
      <c r="V1263" s="46" t="s">
        <v>36</v>
      </c>
      <c r="W1263" s="46" t="s">
        <v>36</v>
      </c>
      <c r="X1263" s="46" t="s">
        <v>36</v>
      </c>
      <c r="Y1263" s="46" t="s">
        <v>36</v>
      </c>
      <c r="Z1263" s="46" t="s">
        <v>37</v>
      </c>
      <c r="AA1263" s="46" t="s">
        <v>36</v>
      </c>
      <c r="AB1263" s="46" t="s">
        <v>59</v>
      </c>
      <c r="AC1263" s="46" t="s">
        <v>59</v>
      </c>
      <c r="AD1263" s="46" t="s">
        <v>59</v>
      </c>
      <c r="AE1263" s="46" t="s">
        <v>59</v>
      </c>
      <c r="AF1263" s="46" t="s">
        <v>37</v>
      </c>
      <c r="AG1263" s="46" t="s">
        <v>36</v>
      </c>
      <c r="AH1263" s="46" t="s">
        <v>43</v>
      </c>
      <c r="AI1263" s="46" t="s">
        <v>36</v>
      </c>
      <c r="AJ1263" s="46">
        <f>=SUM(E1264:AI1264)</f>
      </c>
      <c r="AK1263" s="46">
        <f>=+AY1263</f>
      </c>
      <c r="AL1263" s="46"/>
      <c r="AM1263" s="1"/>
      <c r="AN1263" s="1">
        <f>=COUNTIF(E1263:AI1263,"A")+COUNTIF(E1263:AI1263,"B")+COUNTIF(E1263:AI1263,"C")+COUNTIF(E1263:AI1263,"D")+COUNTIF(E1263:AI1263,"E")+COUNTIF(E1263:AI1263,"F")+COUNTIF(E1263:AI1263,"M")+COUNTIF(E1263:AI1263,"AB")+COUNTIF(E1263:AI1263,"UZ")+COUNTIF(E1263:AI1263,"G")+(COUNTIF(E1263:AI1263,"RT.")/2)+(COUNTIF(E1263:AI1263,"ÇRT.")/2)</f>
      </c>
      <c r="AO1263" s="1">
        <f>=COUNTIF(E1263:AI1263,"O")</f>
      </c>
      <c r="AP1263" s="1">
        <f>=COUNTIF(E1263:AI1263,"RT")+(COUNTIF(E1263:AI1263,"RT.")/2)</f>
      </c>
      <c r="AQ1263" s="1">
        <f>=COUNTIF(E1263:AI1263,"ÇRT")+(COUNTIF(E1263:AI1263,"ÇRT.")/2)</f>
      </c>
      <c r="AR1263" s="1">
        <f>=COUNTIF(E1263:AI1263,"ÇHT")</f>
      </c>
      <c r="AS1263" s="1">
        <f>=COUNTIF(E1263:AI1263,"Ö")+COUNTIF(E1263:AI1263,"T")</f>
      </c>
      <c r="AT1263" s="1">
        <f>=COUNTIF(E1263:AI1263,"Y")</f>
      </c>
      <c r="AU1263" s="1">
        <f>=COUNTIF(E1263:AI1263,"R.")</f>
      </c>
      <c r="AV1263" s="1">
        <f>=COUNTIF(E1263:AI1263,"Ü")</f>
      </c>
      <c r="AW1263" s="1">
        <f>=COUNTIF(E1263:AI1263,"R")</f>
      </c>
      <c r="AX1263" s="1">
        <f>=COUNTIF(E1263:AI1263,"DV")</f>
      </c>
      <c r="AY1263" s="1">
        <f>=+AN1263+AO1263+AP1263+AQ1263+AR1263+AS1263+AT1263+AU1263</f>
      </c>
    </row>
    <row r="1264" ht="16" customHeight="1" spans="1:51" x14ac:dyDescent="0.25">
      <c r="A1264" s="45"/>
      <c r="B1264" s="46"/>
      <c r="C1264" s="46"/>
      <c r="D1264" s="46" t="s">
        <v>33</v>
      </c>
      <c r="E1264" s="46"/>
      <c r="F1264" s="46"/>
      <c r="G1264" s="46"/>
      <c r="H1264" s="46"/>
      <c r="I1264" s="46"/>
      <c r="J1264" s="46"/>
      <c r="K1264" s="46"/>
      <c r="L1264" s="46"/>
      <c r="M1264" s="46"/>
      <c r="N1264" s="46"/>
      <c r="O1264" s="46"/>
      <c r="P1264" s="46">
        <v>3</v>
      </c>
      <c r="Q1264" s="46">
        <v>3</v>
      </c>
      <c r="R1264" s="46"/>
      <c r="S1264" s="46"/>
      <c r="T1264" s="46"/>
      <c r="U1264" s="46"/>
      <c r="V1264" s="46"/>
      <c r="W1264" s="46"/>
      <c r="X1264" s="46"/>
      <c r="Y1264" s="46"/>
      <c r="Z1264" s="46"/>
      <c r="AA1264" s="46"/>
      <c r="AB1264" s="46"/>
      <c r="AC1264" s="46"/>
      <c r="AD1264" s="46"/>
      <c r="AE1264" s="46"/>
      <c r="AF1264" s="46"/>
      <c r="AG1264" s="46"/>
      <c r="AH1264" s="46"/>
      <c r="AI1264" s="46"/>
      <c r="AJ1264" s="46"/>
      <c r="AK1264" s="46"/>
      <c r="AL1264" s="46"/>
      <c r="AM1264" s="1"/>
      <c r="AN1264" s="1"/>
      <c r="AO1264" s="1"/>
      <c r="AP1264" s="1"/>
      <c r="AQ1264" s="1"/>
      <c r="AR1264" s="1"/>
      <c r="AS1264" s="1"/>
      <c r="AT1264" s="1"/>
      <c r="AU1264" s="1"/>
      <c r="AV1264" s="1"/>
      <c r="AW1264" s="1"/>
      <c r="AX1264" s="1"/>
      <c r="AY1264" s="1"/>
    </row>
    <row r="1265" ht="16" customHeight="1" spans="1:51" x14ac:dyDescent="0.25">
      <c r="A1265" s="45"/>
      <c r="B1265" s="46" t="s">
        <v>1315</v>
      </c>
      <c r="C1265" s="46" t="s">
        <v>1316</v>
      </c>
      <c r="D1265" s="46" t="s">
        <v>29</v>
      </c>
      <c r="E1265" s="46" t="s">
        <v>36</v>
      </c>
      <c r="F1265" s="46" t="s">
        <v>37</v>
      </c>
      <c r="G1265" s="46" t="s">
        <v>36</v>
      </c>
      <c r="H1265" s="46" t="s">
        <v>36</v>
      </c>
      <c r="I1265" s="46" t="s">
        <v>36</v>
      </c>
      <c r="J1265" s="46" t="s">
        <v>36</v>
      </c>
      <c r="K1265" s="46" t="s">
        <v>36</v>
      </c>
      <c r="L1265" s="46" t="s">
        <v>36</v>
      </c>
      <c r="M1265" s="46" t="s">
        <v>37</v>
      </c>
      <c r="N1265" s="46" t="s">
        <v>31</v>
      </c>
      <c r="O1265" s="46" t="s">
        <v>31</v>
      </c>
      <c r="P1265" s="46" t="s">
        <v>36</v>
      </c>
      <c r="Q1265" s="46" t="s">
        <v>36</v>
      </c>
      <c r="R1265" s="46" t="s">
        <v>36</v>
      </c>
      <c r="S1265" s="46" t="s">
        <v>36</v>
      </c>
      <c r="T1265" s="46" t="s">
        <v>37</v>
      </c>
      <c r="U1265" s="46" t="s">
        <v>36</v>
      </c>
      <c r="V1265" s="46" t="s">
        <v>36</v>
      </c>
      <c r="W1265" s="46" t="s">
        <v>36</v>
      </c>
      <c r="X1265" s="46" t="s">
        <v>36</v>
      </c>
      <c r="Y1265" s="46" t="s">
        <v>36</v>
      </c>
      <c r="Z1265" s="46" t="s">
        <v>36</v>
      </c>
      <c r="AA1265" s="46" t="s">
        <v>37</v>
      </c>
      <c r="AB1265" s="46" t="s">
        <v>36</v>
      </c>
      <c r="AC1265" s="46" t="s">
        <v>36</v>
      </c>
      <c r="AD1265" s="46" t="s">
        <v>36</v>
      </c>
      <c r="AE1265" s="46" t="s">
        <v>36</v>
      </c>
      <c r="AF1265" s="46" t="s">
        <v>36</v>
      </c>
      <c r="AG1265" s="46" t="s">
        <v>36</v>
      </c>
      <c r="AH1265" s="46" t="s">
        <v>37</v>
      </c>
      <c r="AI1265" s="46" t="s">
        <v>36</v>
      </c>
      <c r="AJ1265" s="46">
        <f>=SUM(E1266:AI1266)</f>
      </c>
      <c r="AK1265" s="46">
        <f>=+AY1265</f>
      </c>
      <c r="AL1265" s="46"/>
      <c r="AM1265" s="1"/>
      <c r="AN1265" s="1">
        <f>=COUNTIF(E1265:AI1265,"A")+COUNTIF(E1265:AI1265,"B")+COUNTIF(E1265:AI1265,"C")+COUNTIF(E1265:AI1265,"D")+COUNTIF(E1265:AI1265,"E")+COUNTIF(E1265:AI1265,"F")+COUNTIF(E1265:AI1265,"M")+COUNTIF(E1265:AI1265,"AB")+COUNTIF(E1265:AI1265,"UZ")+COUNTIF(E1265:AI1265,"G")+(COUNTIF(E1265:AI1265,"RT.")/2)+(COUNTIF(E1265:AI1265,"ÇRT.")/2)</f>
      </c>
      <c r="AO1265" s="1">
        <f>=COUNTIF(E1265:AI1265,"O")</f>
      </c>
      <c r="AP1265" s="1">
        <f>=COUNTIF(E1265:AI1265,"RT")+(COUNTIF(E1265:AI1265,"RT.")/2)</f>
      </c>
      <c r="AQ1265" s="1">
        <f>=COUNTIF(E1265:AI1265,"ÇRT")+(COUNTIF(E1265:AI1265,"ÇRT.")/2)</f>
      </c>
      <c r="AR1265" s="1">
        <f>=COUNTIF(E1265:AI1265,"ÇHT")</f>
      </c>
      <c r="AS1265" s="1">
        <f>=COUNTIF(E1265:AI1265,"Ö")+COUNTIF(E1265:AI1265,"T")</f>
      </c>
      <c r="AT1265" s="1">
        <f>=COUNTIF(E1265:AI1265,"Y")</f>
      </c>
      <c r="AU1265" s="1">
        <f>=COUNTIF(E1265:AI1265,"R.")</f>
      </c>
      <c r="AV1265" s="1">
        <f>=COUNTIF(E1265:AI1265,"Ü")</f>
      </c>
      <c r="AW1265" s="1">
        <f>=COUNTIF(E1265:AI1265,"R")</f>
      </c>
      <c r="AX1265" s="1">
        <f>=COUNTIF(E1265:AI1265,"DV")</f>
      </c>
      <c r="AY1265" s="1">
        <f>=+AN1265+AO1265+AP1265+AQ1265+AR1265+AS1265+AT1265+AU1265</f>
      </c>
    </row>
    <row r="1266" ht="16" customHeight="1" spans="1:51" x14ac:dyDescent="0.25">
      <c r="A1266" s="45"/>
      <c r="B1266" s="46"/>
      <c r="C1266" s="46"/>
      <c r="D1266" s="46" t="s">
        <v>33</v>
      </c>
      <c r="E1266" s="46"/>
      <c r="F1266" s="46"/>
      <c r="G1266" s="46"/>
      <c r="H1266" s="46"/>
      <c r="I1266" s="46"/>
      <c r="J1266" s="46"/>
      <c r="K1266" s="46"/>
      <c r="L1266" s="46"/>
      <c r="M1266" s="46"/>
      <c r="N1266" s="46"/>
      <c r="O1266" s="46"/>
      <c r="P1266" s="46"/>
      <c r="Q1266" s="46"/>
      <c r="R1266" s="46"/>
      <c r="S1266" s="46"/>
      <c r="T1266" s="46"/>
      <c r="U1266" s="46"/>
      <c r="V1266" s="46"/>
      <c r="W1266" s="46"/>
      <c r="X1266" s="46"/>
      <c r="Y1266" s="46"/>
      <c r="Z1266" s="46"/>
      <c r="AA1266" s="46"/>
      <c r="AB1266" s="46"/>
      <c r="AC1266" s="46"/>
      <c r="AD1266" s="46"/>
      <c r="AE1266" s="46"/>
      <c r="AF1266" s="46"/>
      <c r="AG1266" s="46"/>
      <c r="AH1266" s="46"/>
      <c r="AI1266" s="46"/>
      <c r="AJ1266" s="46"/>
      <c r="AK1266" s="46"/>
      <c r="AL1266" s="46"/>
      <c r="AM1266" s="1"/>
      <c r="AN1266" s="1"/>
      <c r="AO1266" s="1"/>
      <c r="AP1266" s="1"/>
      <c r="AQ1266" s="1"/>
      <c r="AR1266" s="1"/>
      <c r="AS1266" s="1"/>
      <c r="AT1266" s="1"/>
      <c r="AU1266" s="1"/>
      <c r="AV1266" s="1"/>
      <c r="AW1266" s="1"/>
      <c r="AX1266" s="1"/>
      <c r="AY1266" s="1"/>
    </row>
    <row r="1267" ht="16" customHeight="1" spans="1:51" x14ac:dyDescent="0.25">
      <c r="A1267" s="45"/>
      <c r="B1267" s="46" t="s">
        <v>1317</v>
      </c>
      <c r="C1267" s="46" t="s">
        <v>1318</v>
      </c>
      <c r="D1267" s="46" t="s">
        <v>29</v>
      </c>
      <c r="E1267" s="46" t="s">
        <v>36</v>
      </c>
      <c r="F1267" s="46" t="s">
        <v>37</v>
      </c>
      <c r="G1267" s="46" t="s">
        <v>36</v>
      </c>
      <c r="H1267" s="46" t="s">
        <v>36</v>
      </c>
      <c r="I1267" s="46" t="s">
        <v>36</v>
      </c>
      <c r="J1267" s="46" t="s">
        <v>36</v>
      </c>
      <c r="K1267" s="46" t="s">
        <v>36</v>
      </c>
      <c r="L1267" s="46" t="s">
        <v>36</v>
      </c>
      <c r="M1267" s="46" t="s">
        <v>37</v>
      </c>
      <c r="N1267" s="46" t="s">
        <v>36</v>
      </c>
      <c r="O1267" s="46" t="s">
        <v>36</v>
      </c>
      <c r="P1267" s="46" t="s">
        <v>36</v>
      </c>
      <c r="Q1267" s="46" t="s">
        <v>36</v>
      </c>
      <c r="R1267" s="46" t="s">
        <v>37</v>
      </c>
      <c r="S1267" s="46" t="s">
        <v>337</v>
      </c>
      <c r="T1267" s="46" t="s">
        <v>337</v>
      </c>
      <c r="U1267" s="46" t="s">
        <v>337</v>
      </c>
      <c r="V1267" s="46" t="s">
        <v>337</v>
      </c>
      <c r="W1267" s="46" t="s">
        <v>337</v>
      </c>
      <c r="X1267" s="46" t="s">
        <v>37</v>
      </c>
      <c r="Y1267" s="46" t="s">
        <v>36</v>
      </c>
      <c r="Z1267" s="46" t="s">
        <v>36</v>
      </c>
      <c r="AA1267" s="46" t="s">
        <v>36</v>
      </c>
      <c r="AB1267" s="46" t="s">
        <v>36</v>
      </c>
      <c r="AC1267" s="46" t="s">
        <v>36</v>
      </c>
      <c r="AD1267" s="46" t="s">
        <v>36</v>
      </c>
      <c r="AE1267" s="46" t="s">
        <v>36</v>
      </c>
      <c r="AF1267" s="46" t="s">
        <v>36</v>
      </c>
      <c r="AG1267" s="46" t="s">
        <v>36</v>
      </c>
      <c r="AH1267" s="46" t="s">
        <v>37</v>
      </c>
      <c r="AI1267" s="46" t="s">
        <v>36</v>
      </c>
      <c r="AJ1267" s="46">
        <f>=SUM(E1268:AI1268)</f>
      </c>
      <c r="AK1267" s="46">
        <f>=+AY1267</f>
      </c>
      <c r="AL1267" s="46"/>
      <c r="AM1267" s="1"/>
      <c r="AN1267" s="1">
        <f>=COUNTIF(E1267:AI1267,"A")+COUNTIF(E1267:AI1267,"B")+COUNTIF(E1267:AI1267,"C")+COUNTIF(E1267:AI1267,"D")+COUNTIF(E1267:AI1267,"E")+COUNTIF(E1267:AI1267,"F")+COUNTIF(E1267:AI1267,"M")+COUNTIF(E1267:AI1267,"AB")+COUNTIF(E1267:AI1267,"UZ")+COUNTIF(E1267:AI1267,"G")+(COUNTIF(E1267:AI1267,"RT.")/2)+(COUNTIF(E1267:AI1267,"ÇRT.")/2)</f>
      </c>
      <c r="AO1267" s="1">
        <f>=COUNTIF(E1267:AI1267,"O")</f>
      </c>
      <c r="AP1267" s="1">
        <f>=COUNTIF(E1267:AI1267,"RT")+(COUNTIF(E1267:AI1267,"RT.")/2)</f>
      </c>
      <c r="AQ1267" s="1">
        <f>=COUNTIF(E1267:AI1267,"ÇRT")+(COUNTIF(E1267:AI1267,"ÇRT.")/2)</f>
      </c>
      <c r="AR1267" s="1">
        <f>=COUNTIF(E1267:AI1267,"ÇHT")</f>
      </c>
      <c r="AS1267" s="1">
        <f>=COUNTIF(E1267:AI1267,"Ö")+COUNTIF(E1267:AI1267,"T")</f>
      </c>
      <c r="AT1267" s="1">
        <f>=COUNTIF(E1267:AI1267,"Y")</f>
      </c>
      <c r="AU1267" s="1">
        <f>=COUNTIF(E1267:AI1267,"R.")</f>
      </c>
      <c r="AV1267" s="1">
        <f>=COUNTIF(E1267:AI1267,"Ü")</f>
      </c>
      <c r="AW1267" s="1">
        <f>=COUNTIF(E1267:AI1267,"R")</f>
      </c>
      <c r="AX1267" s="1">
        <f>=COUNTIF(E1267:AI1267,"DV")</f>
      </c>
      <c r="AY1267" s="1">
        <f>=+AN1267+AO1267+AP1267+AQ1267+AR1267+AS1267+AT1267+AU1267</f>
      </c>
    </row>
    <row r="1268" ht="16" customHeight="1" spans="1:51" x14ac:dyDescent="0.25">
      <c r="A1268" s="45"/>
      <c r="B1268" s="46"/>
      <c r="C1268" s="46"/>
      <c r="D1268" s="46" t="s">
        <v>33</v>
      </c>
      <c r="E1268" s="46"/>
      <c r="F1268" s="46"/>
      <c r="G1268" s="46">
        <v>3</v>
      </c>
      <c r="H1268" s="46">
        <v>3</v>
      </c>
      <c r="I1268" s="46">
        <v>3</v>
      </c>
      <c r="J1268" s="46">
        <v>3</v>
      </c>
      <c r="K1268" s="46">
        <v>3</v>
      </c>
      <c r="L1268" s="46">
        <v>3</v>
      </c>
      <c r="M1268" s="46">
        <v>0</v>
      </c>
      <c r="N1268" s="46">
        <v>3</v>
      </c>
      <c r="O1268" s="46">
        <v>3</v>
      </c>
      <c r="P1268" s="46">
        <v>3</v>
      </c>
      <c r="Q1268" s="46"/>
      <c r="R1268" s="46"/>
      <c r="S1268" s="46"/>
      <c r="T1268" s="46"/>
      <c r="U1268" s="46"/>
      <c r="V1268" s="46"/>
      <c r="W1268" s="46"/>
      <c r="X1268" s="46"/>
      <c r="Y1268" s="46"/>
      <c r="Z1268" s="46"/>
      <c r="AA1268" s="46"/>
      <c r="AB1268" s="46"/>
      <c r="AC1268" s="46"/>
      <c r="AD1268" s="46"/>
      <c r="AE1268" s="46"/>
      <c r="AF1268" s="46"/>
      <c r="AG1268" s="46"/>
      <c r="AH1268" s="46"/>
      <c r="AI1268" s="46"/>
      <c r="AJ1268" s="46"/>
      <c r="AK1268" s="46"/>
      <c r="AL1268" s="46"/>
      <c r="AM1268" s="1"/>
      <c r="AN1268" s="1"/>
      <c r="AO1268" s="1"/>
      <c r="AP1268" s="1"/>
      <c r="AQ1268" s="1"/>
      <c r="AR1268" s="1"/>
      <c r="AS1268" s="1"/>
      <c r="AT1268" s="1"/>
      <c r="AU1268" s="1"/>
      <c r="AV1268" s="1"/>
      <c r="AW1268" s="1"/>
      <c r="AX1268" s="1"/>
      <c r="AY1268" s="1"/>
    </row>
    <row r="1269" ht="16" customHeight="1" spans="1:51" x14ac:dyDescent="0.25">
      <c r="A1269" s="45"/>
      <c r="B1269" s="46" t="s">
        <v>1319</v>
      </c>
      <c r="C1269" s="46" t="s">
        <v>1320</v>
      </c>
      <c r="D1269" s="46" t="s">
        <v>29</v>
      </c>
      <c r="E1269" s="46" t="s">
        <v>32</v>
      </c>
      <c r="F1269" s="46" t="s">
        <v>32</v>
      </c>
      <c r="G1269" s="46" t="s">
        <v>32</v>
      </c>
      <c r="H1269" s="46" t="s">
        <v>32</v>
      </c>
      <c r="I1269" s="46" t="s">
        <v>32</v>
      </c>
      <c r="J1269" s="46" t="s">
        <v>31</v>
      </c>
      <c r="K1269" s="46" t="s">
        <v>31</v>
      </c>
      <c r="L1269" s="46" t="s">
        <v>32</v>
      </c>
      <c r="M1269" s="46" t="s">
        <v>32</v>
      </c>
      <c r="N1269" s="46" t="s">
        <v>31</v>
      </c>
      <c r="O1269" s="46" t="s">
        <v>31</v>
      </c>
      <c r="P1269" s="46" t="s">
        <v>32</v>
      </c>
      <c r="Q1269" s="46" t="s">
        <v>32</v>
      </c>
      <c r="R1269" s="46" t="s">
        <v>32</v>
      </c>
      <c r="S1269" s="46" t="s">
        <v>32</v>
      </c>
      <c r="T1269" s="46" t="s">
        <v>32</v>
      </c>
      <c r="U1269" s="46" t="s">
        <v>32</v>
      </c>
      <c r="V1269" s="46" t="s">
        <v>32</v>
      </c>
      <c r="W1269" s="46" t="s">
        <v>32</v>
      </c>
      <c r="X1269" s="46" t="s">
        <v>32</v>
      </c>
      <c r="Y1269" s="46" t="s">
        <v>32</v>
      </c>
      <c r="Z1269" s="46" t="s">
        <v>32</v>
      </c>
      <c r="AA1269" s="46" t="s">
        <v>32</v>
      </c>
      <c r="AB1269" s="46" t="s">
        <v>32</v>
      </c>
      <c r="AC1269" s="46" t="s">
        <v>32</v>
      </c>
      <c r="AD1269" s="46" t="s">
        <v>32</v>
      </c>
      <c r="AE1269" s="46" t="s">
        <v>32</v>
      </c>
      <c r="AF1269" s="46" t="s">
        <v>32</v>
      </c>
      <c r="AG1269" s="46" t="s">
        <v>32</v>
      </c>
      <c r="AH1269" s="46" t="s">
        <v>32</v>
      </c>
      <c r="AI1269" s="46" t="s">
        <v>32</v>
      </c>
      <c r="AJ1269" s="46">
        <f>=SUM(E1270:AI1270)</f>
      </c>
      <c r="AK1269" s="46">
        <f>=+AY1269</f>
      </c>
      <c r="AL1269" s="46"/>
      <c r="AM1269" s="1"/>
      <c r="AN1269" s="1">
        <f>=COUNTIF(E1269:AI1269,"A")+COUNTIF(E1269:AI1269,"B")+COUNTIF(E1269:AI1269,"C")+COUNTIF(E1269:AI1269,"D")+COUNTIF(E1269:AI1269,"E")+COUNTIF(E1269:AI1269,"F")+COUNTIF(E1269:AI1269,"M")+COUNTIF(E1269:AI1269,"AB")+COUNTIF(E1269:AI1269,"UZ")+COUNTIF(E1269:AI1269,"G")+(COUNTIF(E1269:AI1269,"RT.")/2)+(COUNTIF(E1269:AI1269,"ÇRT.")/2)</f>
      </c>
      <c r="AO1269" s="1">
        <f>=COUNTIF(E1269:AI1269,"O")</f>
      </c>
      <c r="AP1269" s="1">
        <f>=COUNTIF(E1269:AI1269,"RT")+(COUNTIF(E1269:AI1269,"RT.")/2)</f>
      </c>
      <c r="AQ1269" s="1">
        <f>=COUNTIF(E1269:AI1269,"ÇRT")+(COUNTIF(E1269:AI1269,"ÇRT.")/2)</f>
      </c>
      <c r="AR1269" s="1">
        <f>=COUNTIF(E1269:AI1269,"ÇHT")</f>
      </c>
      <c r="AS1269" s="1">
        <f>=COUNTIF(E1269:AI1269,"Ö")+COUNTIF(E1269:AI1269,"T")</f>
      </c>
      <c r="AT1269" s="1">
        <f>=COUNTIF(E1269:AI1269,"Y")</f>
      </c>
      <c r="AU1269" s="1">
        <f>=COUNTIF(E1269:AI1269,"R.")</f>
      </c>
      <c r="AV1269" s="1">
        <f>=COUNTIF(E1269:AI1269,"Ü")</f>
      </c>
      <c r="AW1269" s="1">
        <f>=COUNTIF(E1269:AI1269,"R")</f>
      </c>
      <c r="AX1269" s="1">
        <f>=COUNTIF(E1269:AI1269,"DV")</f>
      </c>
      <c r="AY1269" s="1">
        <f>=+AN1269+AO1269+AP1269+AQ1269+AR1269+AS1269+AT1269+AU1269</f>
      </c>
    </row>
    <row r="1270" ht="16" customHeight="1" spans="1:51" x14ac:dyDescent="0.25">
      <c r="A1270" s="45"/>
      <c r="B1270" s="46"/>
      <c r="C1270" s="46"/>
      <c r="D1270" s="46" t="s">
        <v>33</v>
      </c>
      <c r="E1270" s="46"/>
      <c r="F1270" s="46"/>
      <c r="G1270" s="46"/>
      <c r="H1270" s="46"/>
      <c r="I1270" s="46"/>
      <c r="J1270" s="46"/>
      <c r="K1270" s="46"/>
      <c r="L1270" s="46"/>
      <c r="M1270" s="46"/>
      <c r="N1270" s="46"/>
      <c r="O1270" s="46"/>
      <c r="P1270" s="46"/>
      <c r="Q1270" s="46"/>
      <c r="R1270" s="46"/>
      <c r="S1270" s="46"/>
      <c r="T1270" s="46"/>
      <c r="U1270" s="46"/>
      <c r="V1270" s="46"/>
      <c r="W1270" s="46"/>
      <c r="X1270" s="46"/>
      <c r="Y1270" s="46"/>
      <c r="Z1270" s="46"/>
      <c r="AA1270" s="46"/>
      <c r="AB1270" s="46"/>
      <c r="AC1270" s="46"/>
      <c r="AD1270" s="46"/>
      <c r="AE1270" s="46"/>
      <c r="AF1270" s="46"/>
      <c r="AG1270" s="46"/>
      <c r="AH1270" s="46"/>
      <c r="AI1270" s="46"/>
      <c r="AJ1270" s="46"/>
      <c r="AK1270" s="46"/>
      <c r="AL1270" s="46"/>
      <c r="AM1270" s="1"/>
      <c r="AN1270" s="1"/>
      <c r="AO1270" s="1"/>
      <c r="AP1270" s="1"/>
      <c r="AQ1270" s="1"/>
      <c r="AR1270" s="1"/>
      <c r="AS1270" s="1"/>
      <c r="AT1270" s="1"/>
      <c r="AU1270" s="1"/>
      <c r="AV1270" s="1"/>
      <c r="AW1270" s="1"/>
      <c r="AX1270" s="1"/>
      <c r="AY1270" s="1"/>
    </row>
    <row r="1271" ht="16" customHeight="1" spans="1:51" x14ac:dyDescent="0.25">
      <c r="A1271" s="45"/>
      <c r="B1271" s="46" t="s">
        <v>1321</v>
      </c>
      <c r="C1271" s="46" t="s">
        <v>1322</v>
      </c>
      <c r="D1271" s="46" t="s">
        <v>29</v>
      </c>
      <c r="E1271" s="46" t="s">
        <v>31</v>
      </c>
      <c r="F1271" s="46" t="s">
        <v>32</v>
      </c>
      <c r="G1271" s="46" t="s">
        <v>37</v>
      </c>
      <c r="H1271" s="46" t="s">
        <v>30</v>
      </c>
      <c r="I1271" s="46" t="s">
        <v>30</v>
      </c>
      <c r="J1271" s="46" t="s">
        <v>30</v>
      </c>
      <c r="K1271" s="46" t="s">
        <v>30</v>
      </c>
      <c r="L1271" s="46" t="s">
        <v>30</v>
      </c>
      <c r="M1271" s="46" t="s">
        <v>30</v>
      </c>
      <c r="N1271" s="46" t="s">
        <v>30</v>
      </c>
      <c r="O1271" s="46" t="s">
        <v>30</v>
      </c>
      <c r="P1271" s="46" t="s">
        <v>37</v>
      </c>
      <c r="Q1271" s="46" t="s">
        <v>59</v>
      </c>
      <c r="R1271" s="46" t="s">
        <v>59</v>
      </c>
      <c r="S1271" s="46" t="s">
        <v>59</v>
      </c>
      <c r="T1271" s="46" t="s">
        <v>59</v>
      </c>
      <c r="U1271" s="46" t="s">
        <v>59</v>
      </c>
      <c r="V1271" s="46" t="s">
        <v>37</v>
      </c>
      <c r="W1271" s="46" t="s">
        <v>59</v>
      </c>
      <c r="X1271" s="46" t="s">
        <v>59</v>
      </c>
      <c r="Y1271" s="46" t="s">
        <v>59</v>
      </c>
      <c r="Z1271" s="46" t="s">
        <v>59</v>
      </c>
      <c r="AA1271" s="46" t="s">
        <v>59</v>
      </c>
      <c r="AB1271" s="46" t="s">
        <v>37</v>
      </c>
      <c r="AC1271" s="46" t="s">
        <v>30</v>
      </c>
      <c r="AD1271" s="46" t="s">
        <v>30</v>
      </c>
      <c r="AE1271" s="46" t="s">
        <v>30</v>
      </c>
      <c r="AF1271" s="46" t="s">
        <v>30</v>
      </c>
      <c r="AG1271" s="46" t="s">
        <v>30</v>
      </c>
      <c r="AH1271" s="46" t="s">
        <v>43</v>
      </c>
      <c r="AI1271" s="46" t="s">
        <v>30</v>
      </c>
      <c r="AJ1271" s="46">
        <f>=SUM(E1272:AI1272)</f>
      </c>
      <c r="AK1271" s="46">
        <f>=+AY1271</f>
      </c>
      <c r="AL1271" s="46"/>
      <c r="AM1271" s="1"/>
      <c r="AN1271" s="1">
        <f>=COUNTIF(E1271:AI1271,"A")+COUNTIF(E1271:AI1271,"B")+COUNTIF(E1271:AI1271,"C")+COUNTIF(E1271:AI1271,"D")+COUNTIF(E1271:AI1271,"E")+COUNTIF(E1271:AI1271,"F")+COUNTIF(E1271:AI1271,"M")+COUNTIF(E1271:AI1271,"AB")+COUNTIF(E1271:AI1271,"UZ")+COUNTIF(E1271:AI1271,"G")+(COUNTIF(E1271:AI1271,"RT.")/2)+(COUNTIF(E1271:AI1271,"ÇRT.")/2)</f>
      </c>
      <c r="AO1271" s="1">
        <f>=COUNTIF(E1271:AI1271,"O")</f>
      </c>
      <c r="AP1271" s="1">
        <f>=COUNTIF(E1271:AI1271,"RT")+(COUNTIF(E1271:AI1271,"RT.")/2)</f>
      </c>
      <c r="AQ1271" s="1">
        <f>=COUNTIF(E1271:AI1271,"ÇRT")+(COUNTIF(E1271:AI1271,"ÇRT.")/2)</f>
      </c>
      <c r="AR1271" s="1">
        <f>=COUNTIF(E1271:AI1271,"ÇHT")</f>
      </c>
      <c r="AS1271" s="1">
        <f>=COUNTIF(E1271:AI1271,"Ö")+COUNTIF(E1271:AI1271,"T")</f>
      </c>
      <c r="AT1271" s="1">
        <f>=COUNTIF(E1271:AI1271,"Y")</f>
      </c>
      <c r="AU1271" s="1">
        <f>=COUNTIF(E1271:AI1271,"R.")</f>
      </c>
      <c r="AV1271" s="1">
        <f>=COUNTIF(E1271:AI1271,"Ü")</f>
      </c>
      <c r="AW1271" s="1">
        <f>=COUNTIF(E1271:AI1271,"R")</f>
      </c>
      <c r="AX1271" s="1">
        <f>=COUNTIF(E1271:AI1271,"DV")</f>
      </c>
      <c r="AY1271" s="1">
        <f>=+AN1271+AO1271+AP1271+AQ1271+AR1271+AS1271+AT1271+AU1271</f>
      </c>
    </row>
    <row r="1272" ht="16" customHeight="1" spans="1:51" x14ac:dyDescent="0.25">
      <c r="A1272" s="45"/>
      <c r="B1272" s="46"/>
      <c r="C1272" s="46"/>
      <c r="D1272" s="46" t="s">
        <v>33</v>
      </c>
      <c r="E1272" s="46"/>
      <c r="F1272" s="46"/>
      <c r="G1272" s="46"/>
      <c r="H1272" s="46"/>
      <c r="I1272" s="46"/>
      <c r="J1272" s="46"/>
      <c r="K1272" s="46"/>
      <c r="L1272" s="46"/>
      <c r="M1272" s="46"/>
      <c r="N1272" s="46"/>
      <c r="O1272" s="46"/>
      <c r="P1272" s="46"/>
      <c r="Q1272" s="46"/>
      <c r="R1272" s="46"/>
      <c r="S1272" s="46"/>
      <c r="T1272" s="46"/>
      <c r="U1272" s="46"/>
      <c r="V1272" s="46"/>
      <c r="W1272" s="46"/>
      <c r="X1272" s="46"/>
      <c r="Y1272" s="46"/>
      <c r="Z1272" s="46"/>
      <c r="AA1272" s="46"/>
      <c r="AB1272" s="46"/>
      <c r="AC1272" s="46"/>
      <c r="AD1272" s="46"/>
      <c r="AE1272" s="46"/>
      <c r="AF1272" s="46"/>
      <c r="AG1272" s="46"/>
      <c r="AH1272" s="46"/>
      <c r="AI1272" s="46"/>
      <c r="AJ1272" s="46"/>
      <c r="AK1272" s="46"/>
      <c r="AL1272" s="46"/>
      <c r="AM1272" s="1"/>
      <c r="AN1272" s="1"/>
      <c r="AO1272" s="1"/>
      <c r="AP1272" s="1"/>
      <c r="AQ1272" s="1"/>
      <c r="AR1272" s="1"/>
      <c r="AS1272" s="1"/>
      <c r="AT1272" s="1"/>
      <c r="AU1272" s="1"/>
      <c r="AV1272" s="1"/>
      <c r="AW1272" s="1"/>
      <c r="AX1272" s="1"/>
      <c r="AY1272" s="1"/>
    </row>
    <row r="1273" ht="16" customHeight="1" spans="1:51" x14ac:dyDescent="0.25">
      <c r="A1273" s="45"/>
      <c r="B1273" s="46" t="s">
        <v>1323</v>
      </c>
      <c r="C1273" s="46" t="s">
        <v>1324</v>
      </c>
      <c r="D1273" s="46" t="s">
        <v>29</v>
      </c>
      <c r="E1273" s="46" t="s">
        <v>59</v>
      </c>
      <c r="F1273" s="46" t="s">
        <v>59</v>
      </c>
      <c r="G1273" s="46" t="s">
        <v>46</v>
      </c>
      <c r="H1273" s="46" t="s">
        <v>37</v>
      </c>
      <c r="I1273" s="46" t="s">
        <v>59</v>
      </c>
      <c r="J1273" s="46" t="s">
        <v>59</v>
      </c>
      <c r="K1273" s="46" t="s">
        <v>59</v>
      </c>
      <c r="L1273" s="46" t="s">
        <v>59</v>
      </c>
      <c r="M1273" s="46" t="s">
        <v>59</v>
      </c>
      <c r="N1273" s="46" t="s">
        <v>46</v>
      </c>
      <c r="O1273" s="46" t="s">
        <v>37</v>
      </c>
      <c r="P1273" s="46" t="s">
        <v>36</v>
      </c>
      <c r="Q1273" s="46" t="s">
        <v>36</v>
      </c>
      <c r="R1273" s="46" t="s">
        <v>59</v>
      </c>
      <c r="S1273" s="46" t="s">
        <v>46</v>
      </c>
      <c r="T1273" s="46" t="s">
        <v>36</v>
      </c>
      <c r="U1273" s="46" t="s">
        <v>36</v>
      </c>
      <c r="V1273" s="46" t="s">
        <v>37</v>
      </c>
      <c r="W1273" s="46" t="s">
        <v>36</v>
      </c>
      <c r="X1273" s="46" t="s">
        <v>36</v>
      </c>
      <c r="Y1273" s="46" t="s">
        <v>59</v>
      </c>
      <c r="Z1273" s="46" t="s">
        <v>59</v>
      </c>
      <c r="AA1273" s="46" t="s">
        <v>59</v>
      </c>
      <c r="AB1273" s="46" t="s">
        <v>46</v>
      </c>
      <c r="AC1273" s="46" t="s">
        <v>37</v>
      </c>
      <c r="AD1273" s="46" t="s">
        <v>59</v>
      </c>
      <c r="AE1273" s="46" t="s">
        <v>59</v>
      </c>
      <c r="AF1273" s="46" t="s">
        <v>59</v>
      </c>
      <c r="AG1273" s="46" t="s">
        <v>59</v>
      </c>
      <c r="AH1273" s="46" t="s">
        <v>43</v>
      </c>
      <c r="AI1273" s="46" t="s">
        <v>46</v>
      </c>
      <c r="AJ1273" s="46">
        <f>=SUM(E1274:AI1274)</f>
      </c>
      <c r="AK1273" s="46">
        <f>=+AY1273</f>
      </c>
      <c r="AL1273" s="46"/>
      <c r="AM1273" s="1"/>
      <c r="AN1273" s="1">
        <f>=COUNTIF(E1273:AI1273,"A")+COUNTIF(E1273:AI1273,"B")+COUNTIF(E1273:AI1273,"C")+COUNTIF(E1273:AI1273,"D")+COUNTIF(E1273:AI1273,"E")+COUNTIF(E1273:AI1273,"F")+COUNTIF(E1273:AI1273,"M")+COUNTIF(E1273:AI1273,"AB")+COUNTIF(E1273:AI1273,"UZ")+COUNTIF(E1273:AI1273,"G")+(COUNTIF(E1273:AI1273,"RT.")/2)+(COUNTIF(E1273:AI1273,"ÇRT.")/2)</f>
      </c>
      <c r="AO1273" s="1">
        <f>=COUNTIF(E1273:AI1273,"O")</f>
      </c>
      <c r="AP1273" s="1">
        <f>=COUNTIF(E1273:AI1273,"RT")+(COUNTIF(E1273:AI1273,"RT.")/2)</f>
      </c>
      <c r="AQ1273" s="1">
        <f>=COUNTIF(E1273:AI1273,"ÇRT")+(COUNTIF(E1273:AI1273,"ÇRT.")/2)</f>
      </c>
      <c r="AR1273" s="1">
        <f>=COUNTIF(E1273:AI1273,"ÇHT")</f>
      </c>
      <c r="AS1273" s="1">
        <f>=COUNTIF(E1273:AI1273,"Ö")+COUNTIF(E1273:AI1273,"T")</f>
      </c>
      <c r="AT1273" s="1">
        <f>=COUNTIF(E1273:AI1273,"Y")</f>
      </c>
      <c r="AU1273" s="1">
        <f>=COUNTIF(E1273:AI1273,"R.")</f>
      </c>
      <c r="AV1273" s="1">
        <f>=COUNTIF(E1273:AI1273,"Ü")</f>
      </c>
      <c r="AW1273" s="1">
        <f>=COUNTIF(E1273:AI1273,"R")</f>
      </c>
      <c r="AX1273" s="1">
        <f>=COUNTIF(E1273:AI1273,"DV")</f>
      </c>
      <c r="AY1273" s="1">
        <f>=+AN1273+AO1273+AP1273+AQ1273+AR1273+AS1273+AT1273+AU1273</f>
      </c>
    </row>
    <row r="1274" ht="16" customHeight="1" spans="1:51" x14ac:dyDescent="0.25">
      <c r="A1274" s="45"/>
      <c r="B1274" s="46"/>
      <c r="C1274" s="46"/>
      <c r="D1274" s="46" t="s">
        <v>33</v>
      </c>
      <c r="E1274" s="46"/>
      <c r="F1274" s="46"/>
      <c r="G1274" s="46"/>
      <c r="H1274" s="46"/>
      <c r="I1274" s="46"/>
      <c r="J1274" s="46"/>
      <c r="K1274" s="46"/>
      <c r="L1274" s="46"/>
      <c r="M1274" s="46"/>
      <c r="N1274" s="46"/>
      <c r="O1274" s="46"/>
      <c r="P1274" s="46"/>
      <c r="Q1274" s="46"/>
      <c r="R1274" s="46"/>
      <c r="S1274" s="46"/>
      <c r="T1274" s="46"/>
      <c r="U1274" s="46"/>
      <c r="V1274" s="46"/>
      <c r="W1274" s="46"/>
      <c r="X1274" s="46"/>
      <c r="Y1274" s="46"/>
      <c r="Z1274" s="46"/>
      <c r="AA1274" s="46"/>
      <c r="AB1274" s="46"/>
      <c r="AC1274" s="46"/>
      <c r="AD1274" s="46">
        <v>3</v>
      </c>
      <c r="AE1274" s="46">
        <v>3</v>
      </c>
      <c r="AF1274" s="46"/>
      <c r="AG1274" s="46"/>
      <c r="AH1274" s="46"/>
      <c r="AI1274" s="46"/>
      <c r="AJ1274" s="46"/>
      <c r="AK1274" s="46"/>
      <c r="AL1274" s="46"/>
      <c r="AM1274" s="1"/>
      <c r="AN1274" s="1"/>
      <c r="AO1274" s="1"/>
      <c r="AP1274" s="1"/>
      <c r="AQ1274" s="1"/>
      <c r="AR1274" s="1"/>
      <c r="AS1274" s="1"/>
      <c r="AT1274" s="1"/>
      <c r="AU1274" s="1"/>
      <c r="AV1274" s="1"/>
      <c r="AW1274" s="1"/>
      <c r="AX1274" s="1"/>
      <c r="AY1274" s="1"/>
    </row>
    <row r="1275" ht="16" customHeight="1" spans="1:51" x14ac:dyDescent="0.25">
      <c r="A1275" s="45" t="s">
        <v>1325</v>
      </c>
      <c r="B1275" s="46" t="s">
        <v>1326</v>
      </c>
      <c r="C1275" s="46" t="s">
        <v>1327</v>
      </c>
      <c r="D1275" s="46" t="s">
        <v>29</v>
      </c>
      <c r="E1275" s="46" t="s">
        <v>36</v>
      </c>
      <c r="F1275" s="46" t="s">
        <v>37</v>
      </c>
      <c r="G1275" s="46" t="s">
        <v>36</v>
      </c>
      <c r="H1275" s="46" t="s">
        <v>36</v>
      </c>
      <c r="I1275" s="46" t="s">
        <v>36</v>
      </c>
      <c r="J1275" s="46" t="s">
        <v>36</v>
      </c>
      <c r="K1275" s="46" t="s">
        <v>37</v>
      </c>
      <c r="L1275" s="46" t="s">
        <v>36</v>
      </c>
      <c r="M1275" s="46" t="s">
        <v>36</v>
      </c>
      <c r="N1275" s="46" t="s">
        <v>36</v>
      </c>
      <c r="O1275" s="46" t="s">
        <v>36</v>
      </c>
      <c r="P1275" s="46" t="s">
        <v>36</v>
      </c>
      <c r="Q1275" s="46" t="s">
        <v>36</v>
      </c>
      <c r="R1275" s="46" t="s">
        <v>37</v>
      </c>
      <c r="S1275" s="46" t="s">
        <v>36</v>
      </c>
      <c r="T1275" s="46" t="s">
        <v>36</v>
      </c>
      <c r="U1275" s="46" t="s">
        <v>36</v>
      </c>
      <c r="V1275" s="46" t="s">
        <v>41</v>
      </c>
      <c r="W1275" s="46" t="s">
        <v>59</v>
      </c>
      <c r="X1275" s="46" t="s">
        <v>41</v>
      </c>
      <c r="Y1275" s="46" t="s">
        <v>37</v>
      </c>
      <c r="Z1275" s="46" t="s">
        <v>59</v>
      </c>
      <c r="AA1275" s="46" t="s">
        <v>59</v>
      </c>
      <c r="AB1275" s="46" t="s">
        <v>59</v>
      </c>
      <c r="AC1275" s="46" t="s">
        <v>59</v>
      </c>
      <c r="AD1275" s="46" t="s">
        <v>59</v>
      </c>
      <c r="AE1275" s="46" t="s">
        <v>59</v>
      </c>
      <c r="AF1275" s="46" t="s">
        <v>37</v>
      </c>
      <c r="AG1275" s="46" t="s">
        <v>59</v>
      </c>
      <c r="AH1275" s="46" t="s">
        <v>43</v>
      </c>
      <c r="AI1275" s="46" t="s">
        <v>59</v>
      </c>
      <c r="AJ1275" s="46">
        <f>=SUM(E1276:AI1276)</f>
      </c>
      <c r="AK1275" s="46">
        <f>=+AY1275</f>
      </c>
      <c r="AL1275" s="46"/>
      <c r="AM1275" s="1"/>
      <c r="AN1275" s="1">
        <f>=COUNTIF(E1275:AI1275,"A")+COUNTIF(E1275:AI1275,"B")+COUNTIF(E1275:AI1275,"C")+COUNTIF(E1275:AI1275,"D")+COUNTIF(E1275:AI1275,"E")+COUNTIF(E1275:AI1275,"F")+COUNTIF(E1275:AI1275,"M")+COUNTIF(E1275:AI1275,"AB")+COUNTIF(E1275:AI1275,"UZ")+COUNTIF(E1275:AI1275,"G")+(COUNTIF(E1275:AI1275,"RT.")/2)+(COUNTIF(E1275:AI1275,"ÇRT.")/2)</f>
      </c>
      <c r="AO1275" s="1">
        <f>=COUNTIF(E1275:AI1275,"O")</f>
      </c>
      <c r="AP1275" s="1">
        <f>=COUNTIF(E1275:AI1275,"RT")+(COUNTIF(E1275:AI1275,"RT.")/2)</f>
      </c>
      <c r="AQ1275" s="1">
        <f>=COUNTIF(E1275:AI1275,"ÇRT")+(COUNTIF(E1275:AI1275,"ÇRT.")/2)</f>
      </c>
      <c r="AR1275" s="1">
        <f>=COUNTIF(E1275:AI1275,"ÇHT")</f>
      </c>
      <c r="AS1275" s="1">
        <f>=COUNTIF(E1275:AI1275,"Ö")+COUNTIF(E1275:AI1275,"T")</f>
      </c>
      <c r="AT1275" s="1">
        <f>=COUNTIF(E1275:AI1275,"Y")</f>
      </c>
      <c r="AU1275" s="1">
        <f>=COUNTIF(E1275:AI1275,"R.")</f>
      </c>
      <c r="AV1275" s="1">
        <f>=COUNTIF(E1275:AI1275,"Ü")</f>
      </c>
      <c r="AW1275" s="1">
        <f>=COUNTIF(E1275:AI1275,"R")</f>
      </c>
      <c r="AX1275" s="1">
        <f>=COUNTIF(E1275:AI1275,"DV")</f>
      </c>
      <c r="AY1275" s="1">
        <f>=+AN1275+AO1275+AP1275+AQ1275+AR1275+AS1275+AT1275+AU1275</f>
      </c>
    </row>
    <row r="1276" ht="16" customHeight="1" spans="1:51" x14ac:dyDescent="0.25">
      <c r="A1276" s="45"/>
      <c r="B1276" s="46"/>
      <c r="C1276" s="46"/>
      <c r="D1276" s="46" t="s">
        <v>33</v>
      </c>
      <c r="E1276" s="46"/>
      <c r="F1276" s="46"/>
      <c r="G1276" s="46">
        <v>2</v>
      </c>
      <c r="H1276" s="46">
        <v>2</v>
      </c>
      <c r="I1276" s="46">
        <v>2</v>
      </c>
      <c r="J1276" s="46">
        <v>2</v>
      </c>
      <c r="K1276" s="46"/>
      <c r="L1276" s="46">
        <v>2</v>
      </c>
      <c r="M1276" s="46"/>
      <c r="N1276" s="46">
        <v>2</v>
      </c>
      <c r="O1276" s="46">
        <v>2</v>
      </c>
      <c r="P1276" s="46">
        <v>2</v>
      </c>
      <c r="Q1276" s="46"/>
      <c r="R1276" s="46"/>
      <c r="S1276" s="46">
        <v>2</v>
      </c>
      <c r="T1276" s="46">
        <v>2</v>
      </c>
      <c r="U1276" s="46"/>
      <c r="V1276" s="46"/>
      <c r="W1276" s="46"/>
      <c r="X1276" s="46"/>
      <c r="Y1276" s="46"/>
      <c r="Z1276" s="46"/>
      <c r="AA1276" s="46">
        <v>2</v>
      </c>
      <c r="AB1276" s="46"/>
      <c r="AC1276" s="46"/>
      <c r="AD1276" s="46"/>
      <c r="AE1276" s="46"/>
      <c r="AF1276" s="46"/>
      <c r="AG1276" s="46"/>
      <c r="AH1276" s="46">
        <v>2</v>
      </c>
      <c r="AI1276" s="46"/>
      <c r="AJ1276" s="46"/>
      <c r="AK1276" s="46"/>
      <c r="AL1276" s="46"/>
      <c r="AM1276" s="1"/>
      <c r="AN1276" s="1"/>
      <c r="AO1276" s="1"/>
      <c r="AP1276" s="1"/>
      <c r="AQ1276" s="1"/>
      <c r="AR1276" s="1"/>
      <c r="AS1276" s="1"/>
      <c r="AT1276" s="1"/>
      <c r="AU1276" s="1"/>
      <c r="AV1276" s="1"/>
      <c r="AW1276" s="1"/>
      <c r="AX1276" s="1"/>
      <c r="AY1276" s="1"/>
    </row>
    <row r="1277" ht="16" customHeight="1" spans="1:51" x14ac:dyDescent="0.25">
      <c r="A1277" s="45"/>
      <c r="B1277" s="46" t="s">
        <v>1328</v>
      </c>
      <c r="C1277" s="46" t="s">
        <v>1329</v>
      </c>
      <c r="D1277" s="46" t="s">
        <v>29</v>
      </c>
      <c r="E1277" s="46" t="s">
        <v>36</v>
      </c>
      <c r="F1277" s="46" t="s">
        <v>36</v>
      </c>
      <c r="G1277" s="46" t="s">
        <v>36</v>
      </c>
      <c r="H1277" s="46" t="s">
        <v>36</v>
      </c>
      <c r="I1277" s="46" t="s">
        <v>37</v>
      </c>
      <c r="J1277" s="46" t="s">
        <v>36</v>
      </c>
      <c r="K1277" s="46" t="s">
        <v>36</v>
      </c>
      <c r="L1277" s="46" t="s">
        <v>36</v>
      </c>
      <c r="M1277" s="46" t="s">
        <v>36</v>
      </c>
      <c r="N1277" s="46" t="s">
        <v>36</v>
      </c>
      <c r="O1277" s="46" t="s">
        <v>36</v>
      </c>
      <c r="P1277" s="46" t="s">
        <v>37</v>
      </c>
      <c r="Q1277" s="46" t="s">
        <v>36</v>
      </c>
      <c r="R1277" s="46" t="s">
        <v>36</v>
      </c>
      <c r="S1277" s="46" t="s">
        <v>36</v>
      </c>
      <c r="T1277" s="46" t="s">
        <v>36</v>
      </c>
      <c r="U1277" s="46" t="s">
        <v>36</v>
      </c>
      <c r="V1277" s="46" t="s">
        <v>36</v>
      </c>
      <c r="W1277" s="46" t="s">
        <v>37</v>
      </c>
      <c r="X1277" s="46" t="s">
        <v>36</v>
      </c>
      <c r="Y1277" s="46" t="s">
        <v>36</v>
      </c>
      <c r="Z1277" s="46" t="s">
        <v>36</v>
      </c>
      <c r="AA1277" s="46" t="s">
        <v>36</v>
      </c>
      <c r="AB1277" s="46" t="s">
        <v>36</v>
      </c>
      <c r="AC1277" s="46" t="s">
        <v>36</v>
      </c>
      <c r="AD1277" s="46" t="s">
        <v>37</v>
      </c>
      <c r="AE1277" s="46" t="s">
        <v>36</v>
      </c>
      <c r="AF1277" s="46" t="s">
        <v>36</v>
      </c>
      <c r="AG1277" s="46" t="s">
        <v>36</v>
      </c>
      <c r="AH1277" s="46" t="s">
        <v>43</v>
      </c>
      <c r="AI1277" s="46" t="s">
        <v>36</v>
      </c>
      <c r="AJ1277" s="46">
        <f>=SUM(E1278:AI1278)</f>
      </c>
      <c r="AK1277" s="46">
        <f>=+AY1277</f>
      </c>
      <c r="AL1277" s="46"/>
      <c r="AM1277" s="1"/>
      <c r="AN1277" s="1">
        <f>=COUNTIF(E1277:AI1277,"A")+COUNTIF(E1277:AI1277,"B")+COUNTIF(E1277:AI1277,"C")+COUNTIF(E1277:AI1277,"D")+COUNTIF(E1277:AI1277,"E")+COUNTIF(E1277:AI1277,"F")+COUNTIF(E1277:AI1277,"M")+COUNTIF(E1277:AI1277,"AB")+COUNTIF(E1277:AI1277,"UZ")+COUNTIF(E1277:AI1277,"G")+(COUNTIF(E1277:AI1277,"RT.")/2)+(COUNTIF(E1277:AI1277,"ÇRT.")/2)</f>
      </c>
      <c r="AO1277" s="1">
        <f>=COUNTIF(E1277:AI1277,"O")</f>
      </c>
      <c r="AP1277" s="1">
        <f>=COUNTIF(E1277:AI1277,"RT")+(COUNTIF(E1277:AI1277,"RT.")/2)</f>
      </c>
      <c r="AQ1277" s="1">
        <f>=COUNTIF(E1277:AI1277,"ÇRT")+(COUNTIF(E1277:AI1277,"ÇRT.")/2)</f>
      </c>
      <c r="AR1277" s="1">
        <f>=COUNTIF(E1277:AI1277,"ÇHT")</f>
      </c>
      <c r="AS1277" s="1">
        <f>=COUNTIF(E1277:AI1277,"Ö")+COUNTIF(E1277:AI1277,"T")</f>
      </c>
      <c r="AT1277" s="1">
        <f>=COUNTIF(E1277:AI1277,"Y")</f>
      </c>
      <c r="AU1277" s="1">
        <f>=COUNTIF(E1277:AI1277,"R.")</f>
      </c>
      <c r="AV1277" s="1">
        <f>=COUNTIF(E1277:AI1277,"Ü")</f>
      </c>
      <c r="AW1277" s="1">
        <f>=COUNTIF(E1277:AI1277,"R")</f>
      </c>
      <c r="AX1277" s="1">
        <f>=COUNTIF(E1277:AI1277,"DV")</f>
      </c>
      <c r="AY1277" s="1">
        <f>=+AN1277+AO1277+AP1277+AQ1277+AR1277+AS1277+AT1277+AU1277</f>
      </c>
    </row>
    <row r="1278" ht="16" customHeight="1" spans="1:51" x14ac:dyDescent="0.25">
      <c r="A1278" s="45"/>
      <c r="B1278" s="46"/>
      <c r="C1278" s="46"/>
      <c r="D1278" s="46" t="s">
        <v>33</v>
      </c>
      <c r="E1278" s="46">
        <v>2</v>
      </c>
      <c r="F1278" s="46">
        <v>2</v>
      </c>
      <c r="G1278" s="46"/>
      <c r="H1278" s="46"/>
      <c r="I1278" s="46"/>
      <c r="J1278" s="46"/>
      <c r="K1278" s="46"/>
      <c r="L1278" s="46"/>
      <c r="M1278" s="46">
        <v>2</v>
      </c>
      <c r="N1278" s="46"/>
      <c r="O1278" s="46"/>
      <c r="P1278" s="46"/>
      <c r="Q1278" s="46"/>
      <c r="R1278" s="46"/>
      <c r="S1278" s="46"/>
      <c r="T1278" s="46"/>
      <c r="U1278" s="46"/>
      <c r="V1278" s="46"/>
      <c r="W1278" s="46"/>
      <c r="X1278" s="46"/>
      <c r="Y1278" s="46"/>
      <c r="Z1278" s="46"/>
      <c r="AA1278" s="46"/>
      <c r="AB1278" s="46"/>
      <c r="AC1278" s="46"/>
      <c r="AD1278" s="46"/>
      <c r="AE1278" s="46">
        <v>2</v>
      </c>
      <c r="AF1278" s="46">
        <v>2</v>
      </c>
      <c r="AG1278" s="46"/>
      <c r="AH1278" s="46"/>
      <c r="AI1278" s="46"/>
      <c r="AJ1278" s="46"/>
      <c r="AK1278" s="46"/>
      <c r="AL1278" s="46"/>
      <c r="AM1278" s="1"/>
      <c r="AN1278" s="1"/>
      <c r="AO1278" s="1"/>
      <c r="AP1278" s="1"/>
      <c r="AQ1278" s="1"/>
      <c r="AR1278" s="1"/>
      <c r="AS1278" s="1"/>
      <c r="AT1278" s="1"/>
      <c r="AU1278" s="1"/>
      <c r="AV1278" s="1"/>
      <c r="AW1278" s="1"/>
      <c r="AX1278" s="1"/>
      <c r="AY1278" s="1"/>
    </row>
    <row r="1279" ht="16" customHeight="1" spans="1:51" x14ac:dyDescent="0.25">
      <c r="A1279" s="45"/>
      <c r="B1279" s="46" t="s">
        <v>1330</v>
      </c>
      <c r="C1279" s="46" t="s">
        <v>1331</v>
      </c>
      <c r="D1279" s="46" t="s">
        <v>29</v>
      </c>
      <c r="E1279" s="46" t="s">
        <v>41</v>
      </c>
      <c r="F1279" s="46" t="s">
        <v>41</v>
      </c>
      <c r="G1279" s="46" t="s">
        <v>41</v>
      </c>
      <c r="H1279" s="46" t="s">
        <v>41</v>
      </c>
      <c r="I1279" s="46" t="s">
        <v>37</v>
      </c>
      <c r="J1279" s="46" t="s">
        <v>41</v>
      </c>
      <c r="K1279" s="46" t="s">
        <v>41</v>
      </c>
      <c r="L1279" s="46" t="s">
        <v>41</v>
      </c>
      <c r="M1279" s="46" t="s">
        <v>41</v>
      </c>
      <c r="N1279" s="46" t="s">
        <v>41</v>
      </c>
      <c r="O1279" s="46" t="s">
        <v>41</v>
      </c>
      <c r="P1279" s="46" t="s">
        <v>37</v>
      </c>
      <c r="Q1279" s="46" t="s">
        <v>41</v>
      </c>
      <c r="R1279" s="46" t="s">
        <v>41</v>
      </c>
      <c r="S1279" s="46" t="s">
        <v>41</v>
      </c>
      <c r="T1279" s="46" t="s">
        <v>41</v>
      </c>
      <c r="U1279" s="46" t="s">
        <v>41</v>
      </c>
      <c r="V1279" s="46" t="s">
        <v>41</v>
      </c>
      <c r="W1279" s="46" t="s">
        <v>37</v>
      </c>
      <c r="X1279" s="46" t="s">
        <v>41</v>
      </c>
      <c r="Y1279" s="46" t="s">
        <v>41</v>
      </c>
      <c r="Z1279" s="46" t="s">
        <v>41</v>
      </c>
      <c r="AA1279" s="46" t="s">
        <v>41</v>
      </c>
      <c r="AB1279" s="46" t="s">
        <v>41</v>
      </c>
      <c r="AC1279" s="46" t="s">
        <v>41</v>
      </c>
      <c r="AD1279" s="46" t="s">
        <v>37</v>
      </c>
      <c r="AE1279" s="46" t="s">
        <v>41</v>
      </c>
      <c r="AF1279" s="46" t="s">
        <v>41</v>
      </c>
      <c r="AG1279" s="46" t="s">
        <v>41</v>
      </c>
      <c r="AH1279" s="46" t="s">
        <v>43</v>
      </c>
      <c r="AI1279" s="46" t="s">
        <v>41</v>
      </c>
      <c r="AJ1279" s="46">
        <f>=SUM(E1280:AI1280)</f>
      </c>
      <c r="AK1279" s="46">
        <f>=+AY1279</f>
      </c>
      <c r="AL1279" s="46"/>
      <c r="AM1279" s="1"/>
      <c r="AN1279" s="1">
        <f>=COUNTIF(E1279:AI1279,"A")+COUNTIF(E1279:AI1279,"B")+COUNTIF(E1279:AI1279,"C")+COUNTIF(E1279:AI1279,"D")+COUNTIF(E1279:AI1279,"E")+COUNTIF(E1279:AI1279,"F")+COUNTIF(E1279:AI1279,"M")+COUNTIF(E1279:AI1279,"AB")+COUNTIF(E1279:AI1279,"UZ")+COUNTIF(E1279:AI1279,"G")+(COUNTIF(E1279:AI1279,"RT.")/2)+(COUNTIF(E1279:AI1279,"ÇRT.")/2)</f>
      </c>
      <c r="AO1279" s="1">
        <f>=COUNTIF(E1279:AI1279,"O")</f>
      </c>
      <c r="AP1279" s="1">
        <f>=COUNTIF(E1279:AI1279,"RT")+(COUNTIF(E1279:AI1279,"RT.")/2)</f>
      </c>
      <c r="AQ1279" s="1">
        <f>=COUNTIF(E1279:AI1279,"ÇRT")+(COUNTIF(E1279:AI1279,"ÇRT.")/2)</f>
      </c>
      <c r="AR1279" s="1">
        <f>=COUNTIF(E1279:AI1279,"ÇHT")</f>
      </c>
      <c r="AS1279" s="1">
        <f>=COUNTIF(E1279:AI1279,"Ö")+COUNTIF(E1279:AI1279,"T")</f>
      </c>
      <c r="AT1279" s="1">
        <f>=COUNTIF(E1279:AI1279,"Y")</f>
      </c>
      <c r="AU1279" s="1">
        <f>=COUNTIF(E1279:AI1279,"R.")</f>
      </c>
      <c r="AV1279" s="1">
        <f>=COUNTIF(E1279:AI1279,"Ü")</f>
      </c>
      <c r="AW1279" s="1">
        <f>=COUNTIF(E1279:AI1279,"R")</f>
      </c>
      <c r="AX1279" s="1">
        <f>=COUNTIF(E1279:AI1279,"DV")</f>
      </c>
      <c r="AY1279" s="1">
        <f>=+AN1279+AO1279+AP1279+AQ1279+AR1279+AS1279+AT1279+AU1279</f>
      </c>
    </row>
    <row r="1280" ht="16" customHeight="1" spans="1:51" x14ac:dyDescent="0.25">
      <c r="A1280" s="45"/>
      <c r="B1280" s="46"/>
      <c r="C1280" s="46"/>
      <c r="D1280" s="46" t="s">
        <v>33</v>
      </c>
      <c r="E1280" s="46"/>
      <c r="F1280" s="46"/>
      <c r="G1280" s="46"/>
      <c r="H1280" s="46"/>
      <c r="I1280" s="46"/>
      <c r="J1280" s="46"/>
      <c r="K1280" s="46"/>
      <c r="L1280" s="46"/>
      <c r="M1280" s="46"/>
      <c r="N1280" s="46"/>
      <c r="O1280" s="46"/>
      <c r="P1280" s="46"/>
      <c r="Q1280" s="46"/>
      <c r="R1280" s="46"/>
      <c r="S1280" s="46"/>
      <c r="T1280" s="46"/>
      <c r="U1280" s="46"/>
      <c r="V1280" s="46"/>
      <c r="W1280" s="46"/>
      <c r="X1280" s="46"/>
      <c r="Y1280" s="46"/>
      <c r="Z1280" s="46"/>
      <c r="AA1280" s="46"/>
      <c r="AB1280" s="46"/>
      <c r="AC1280" s="46"/>
      <c r="AD1280" s="46"/>
      <c r="AE1280" s="46"/>
      <c r="AF1280" s="46"/>
      <c r="AG1280" s="46"/>
      <c r="AH1280" s="46"/>
      <c r="AI1280" s="46"/>
      <c r="AJ1280" s="46"/>
      <c r="AK1280" s="46"/>
      <c r="AL1280" s="46"/>
      <c r="AM1280" s="1"/>
      <c r="AN1280" s="1"/>
      <c r="AO1280" s="1"/>
      <c r="AP1280" s="1"/>
      <c r="AQ1280" s="1"/>
      <c r="AR1280" s="1"/>
      <c r="AS1280" s="1"/>
      <c r="AT1280" s="1"/>
      <c r="AU1280" s="1"/>
      <c r="AV1280" s="1"/>
      <c r="AW1280" s="1"/>
      <c r="AX1280" s="1"/>
      <c r="AY1280" s="1"/>
    </row>
    <row r="1281" ht="16" customHeight="1" spans="1:51" x14ac:dyDescent="0.25">
      <c r="A1281" s="45"/>
      <c r="B1281" s="46" t="s">
        <v>1332</v>
      </c>
      <c r="C1281" s="46" t="s">
        <v>1333</v>
      </c>
      <c r="D1281" s="46" t="s">
        <v>29</v>
      </c>
      <c r="E1281" s="46" t="s">
        <v>36</v>
      </c>
      <c r="F1281" s="46" t="s">
        <v>299</v>
      </c>
      <c r="G1281" s="46" t="s">
        <v>299</v>
      </c>
      <c r="H1281" s="46" t="s">
        <v>36</v>
      </c>
      <c r="I1281" s="46" t="s">
        <v>37</v>
      </c>
      <c r="J1281" s="46" t="s">
        <v>299</v>
      </c>
      <c r="K1281" s="46" t="s">
        <v>299</v>
      </c>
      <c r="L1281" s="46" t="s">
        <v>36</v>
      </c>
      <c r="M1281" s="46" t="s">
        <v>299</v>
      </c>
      <c r="N1281" s="46" t="s">
        <v>299</v>
      </c>
      <c r="O1281" s="46" t="s">
        <v>36</v>
      </c>
      <c r="P1281" s="46" t="s">
        <v>37</v>
      </c>
      <c r="Q1281" s="46" t="s">
        <v>299</v>
      </c>
      <c r="R1281" s="46" t="s">
        <v>299</v>
      </c>
      <c r="S1281" s="46" t="s">
        <v>36</v>
      </c>
      <c r="T1281" s="46" t="s">
        <v>299</v>
      </c>
      <c r="U1281" s="46" t="s">
        <v>299</v>
      </c>
      <c r="V1281" s="46" t="s">
        <v>36</v>
      </c>
      <c r="W1281" s="46" t="s">
        <v>37</v>
      </c>
      <c r="X1281" s="46" t="s">
        <v>299</v>
      </c>
      <c r="Y1281" s="46" t="s">
        <v>299</v>
      </c>
      <c r="Z1281" s="46" t="s">
        <v>36</v>
      </c>
      <c r="AA1281" s="46" t="s">
        <v>299</v>
      </c>
      <c r="AB1281" s="46" t="s">
        <v>299</v>
      </c>
      <c r="AC1281" s="46" t="s">
        <v>36</v>
      </c>
      <c r="AD1281" s="46" t="s">
        <v>37</v>
      </c>
      <c r="AE1281" s="46" t="s">
        <v>299</v>
      </c>
      <c r="AF1281" s="46" t="s">
        <v>299</v>
      </c>
      <c r="AG1281" s="46" t="s">
        <v>36</v>
      </c>
      <c r="AH1281" s="46" t="s">
        <v>43</v>
      </c>
      <c r="AI1281" s="46" t="s">
        <v>299</v>
      </c>
      <c r="AJ1281" s="46">
        <f>=SUM(E1282:AI1282)</f>
      </c>
      <c r="AK1281" s="46">
        <f>=+AY1281</f>
      </c>
      <c r="AL1281" s="46"/>
      <c r="AM1281" s="1"/>
      <c r="AN1281" s="1">
        <f>=COUNTIF(E1281:AI1281,"A")+COUNTIF(E1281:AI1281,"B")+COUNTIF(E1281:AI1281,"C")+COUNTIF(E1281:AI1281,"D")+COUNTIF(E1281:AI1281,"E")+COUNTIF(E1281:AI1281,"F")+COUNTIF(E1281:AI1281,"M")+COUNTIF(E1281:AI1281,"AB")+COUNTIF(E1281:AI1281,"UZ")+COUNTIF(E1281:AI1281,"G")+(COUNTIF(E1281:AI1281,"RT.")/2)+(COUNTIF(E1281:AI1281,"ÇRT.")/2)</f>
      </c>
      <c r="AO1281" s="1">
        <f>=COUNTIF(E1281:AI1281,"O")</f>
      </c>
      <c r="AP1281" s="1">
        <f>=COUNTIF(E1281:AI1281,"RT")+(COUNTIF(E1281:AI1281,"RT.")/2)</f>
      </c>
      <c r="AQ1281" s="1">
        <f>=COUNTIF(E1281:AI1281,"ÇRT")+(COUNTIF(E1281:AI1281,"ÇRT.")/2)</f>
      </c>
      <c r="AR1281" s="1">
        <f>=COUNTIF(E1281:AI1281,"ÇHT")</f>
      </c>
      <c r="AS1281" s="1">
        <f>=COUNTIF(E1281:AI1281,"Ö")+COUNTIF(E1281:AI1281,"T")</f>
      </c>
      <c r="AT1281" s="1">
        <f>=COUNTIF(E1281:AI1281,"Y")</f>
      </c>
      <c r="AU1281" s="1">
        <f>=COUNTIF(E1281:AI1281,"R.")</f>
      </c>
      <c r="AV1281" s="1">
        <f>=COUNTIF(E1281:AI1281,"Ü")</f>
      </c>
      <c r="AW1281" s="1">
        <f>=COUNTIF(E1281:AI1281,"R")</f>
      </c>
      <c r="AX1281" s="1">
        <f>=COUNTIF(E1281:AI1281,"DV")</f>
      </c>
      <c r="AY1281" s="1">
        <f>=+AN1281+AO1281+AP1281+AQ1281+AR1281+AS1281+AT1281+AU1281</f>
      </c>
    </row>
    <row r="1282" ht="16" customHeight="1" spans="1:51" x14ac:dyDescent="0.25">
      <c r="A1282" s="45"/>
      <c r="B1282" s="46"/>
      <c r="C1282" s="46"/>
      <c r="D1282" s="46" t="s">
        <v>33</v>
      </c>
      <c r="E1282" s="46"/>
      <c r="F1282" s="46">
        <v>2</v>
      </c>
      <c r="G1282" s="46">
        <v>2</v>
      </c>
      <c r="H1282" s="46"/>
      <c r="I1282" s="46"/>
      <c r="J1282" s="46">
        <v>2</v>
      </c>
      <c r="K1282" s="46">
        <v>2</v>
      </c>
      <c r="L1282" s="46"/>
      <c r="M1282" s="46">
        <v>2</v>
      </c>
      <c r="N1282" s="46"/>
      <c r="O1282" s="46"/>
      <c r="P1282" s="46"/>
      <c r="Q1282" s="46">
        <v>2</v>
      </c>
      <c r="R1282" s="46">
        <v>2</v>
      </c>
      <c r="S1282" s="46"/>
      <c r="T1282" s="46">
        <v>2</v>
      </c>
      <c r="U1282" s="46">
        <v>2</v>
      </c>
      <c r="V1282" s="46"/>
      <c r="W1282" s="46"/>
      <c r="X1282" s="46">
        <v>2</v>
      </c>
      <c r="Y1282" s="46">
        <v>2</v>
      </c>
      <c r="Z1282" s="46"/>
      <c r="AA1282" s="46">
        <v>2</v>
      </c>
      <c r="AB1282" s="46">
        <v>2</v>
      </c>
      <c r="AC1282" s="46"/>
      <c r="AD1282" s="46"/>
      <c r="AE1282" s="46">
        <v>2</v>
      </c>
      <c r="AF1282" s="46">
        <v>2</v>
      </c>
      <c r="AG1282" s="46"/>
      <c r="AH1282" s="46">
        <v>2</v>
      </c>
      <c r="AI1282" s="46">
        <v>2</v>
      </c>
      <c r="AJ1282" s="46"/>
      <c r="AK1282" s="46"/>
      <c r="AL1282" s="46"/>
      <c r="AM1282" s="1"/>
      <c r="AN1282" s="1"/>
      <c r="AO1282" s="1"/>
      <c r="AP1282" s="1"/>
      <c r="AQ1282" s="1"/>
      <c r="AR1282" s="1"/>
      <c r="AS1282" s="1"/>
      <c r="AT1282" s="1"/>
      <c r="AU1282" s="1"/>
      <c r="AV1282" s="1"/>
      <c r="AW1282" s="1"/>
      <c r="AX1282" s="1"/>
      <c r="AY1282" s="1"/>
    </row>
    <row r="1283" ht="16" customHeight="1" spans="1:51" x14ac:dyDescent="0.25">
      <c r="A1283" s="45"/>
      <c r="B1283" s="46" t="s">
        <v>1334</v>
      </c>
      <c r="C1283" s="46" t="s">
        <v>1335</v>
      </c>
      <c r="D1283" s="46" t="s">
        <v>29</v>
      </c>
      <c r="E1283" s="46" t="s">
        <v>41</v>
      </c>
      <c r="F1283" s="46" t="s">
        <v>41</v>
      </c>
      <c r="G1283" s="46" t="s">
        <v>41</v>
      </c>
      <c r="H1283" s="46" t="s">
        <v>37</v>
      </c>
      <c r="I1283" s="46" t="s">
        <v>41</v>
      </c>
      <c r="J1283" s="46" t="s">
        <v>41</v>
      </c>
      <c r="K1283" s="46" t="s">
        <v>41</v>
      </c>
      <c r="L1283" s="46" t="s">
        <v>41</v>
      </c>
      <c r="M1283" s="46" t="s">
        <v>41</v>
      </c>
      <c r="N1283" s="46" t="s">
        <v>41</v>
      </c>
      <c r="O1283" s="46" t="s">
        <v>37</v>
      </c>
      <c r="P1283" s="46" t="s">
        <v>41</v>
      </c>
      <c r="Q1283" s="46" t="s">
        <v>41</v>
      </c>
      <c r="R1283" s="46" t="s">
        <v>41</v>
      </c>
      <c r="S1283" s="46" t="s">
        <v>41</v>
      </c>
      <c r="T1283" s="46" t="s">
        <v>41</v>
      </c>
      <c r="U1283" s="46" t="s">
        <v>41</v>
      </c>
      <c r="V1283" s="46" t="s">
        <v>37</v>
      </c>
      <c r="W1283" s="46" t="s">
        <v>41</v>
      </c>
      <c r="X1283" s="46" t="s">
        <v>41</v>
      </c>
      <c r="Y1283" s="46" t="s">
        <v>41</v>
      </c>
      <c r="Z1283" s="46" t="s">
        <v>41</v>
      </c>
      <c r="AA1283" s="46" t="s">
        <v>41</v>
      </c>
      <c r="AB1283" s="46" t="s">
        <v>41</v>
      </c>
      <c r="AC1283" s="46" t="s">
        <v>37</v>
      </c>
      <c r="AD1283" s="46" t="s">
        <v>41</v>
      </c>
      <c r="AE1283" s="46" t="s">
        <v>41</v>
      </c>
      <c r="AF1283" s="46" t="s">
        <v>41</v>
      </c>
      <c r="AG1283" s="46" t="s">
        <v>41</v>
      </c>
      <c r="AH1283" s="46" t="s">
        <v>43</v>
      </c>
      <c r="AI1283" s="46" t="s">
        <v>41</v>
      </c>
      <c r="AJ1283" s="46">
        <f>=SUM(E1284:AI1284)</f>
      </c>
      <c r="AK1283" s="46">
        <f>=+AY1283</f>
      </c>
      <c r="AL1283" s="46"/>
      <c r="AM1283" s="1"/>
      <c r="AN1283" s="1">
        <f>=COUNTIF(E1283:AI1283,"A")+COUNTIF(E1283:AI1283,"B")+COUNTIF(E1283:AI1283,"C")+COUNTIF(E1283:AI1283,"D")+COUNTIF(E1283:AI1283,"E")+COUNTIF(E1283:AI1283,"F")+COUNTIF(E1283:AI1283,"M")+COUNTIF(E1283:AI1283,"AB")+COUNTIF(E1283:AI1283,"UZ")+COUNTIF(E1283:AI1283,"G")+(COUNTIF(E1283:AI1283,"RT.")/2)+(COUNTIF(E1283:AI1283,"ÇRT.")/2)</f>
      </c>
      <c r="AO1283" s="1">
        <f>=COUNTIF(E1283:AI1283,"O")</f>
      </c>
      <c r="AP1283" s="1">
        <f>=COUNTIF(E1283:AI1283,"RT")+(COUNTIF(E1283:AI1283,"RT.")/2)</f>
      </c>
      <c r="AQ1283" s="1">
        <f>=COUNTIF(E1283:AI1283,"ÇRT")+(COUNTIF(E1283:AI1283,"ÇRT.")/2)</f>
      </c>
      <c r="AR1283" s="1">
        <f>=COUNTIF(E1283:AI1283,"ÇHT")</f>
      </c>
      <c r="AS1283" s="1">
        <f>=COUNTIF(E1283:AI1283,"Ö")+COUNTIF(E1283:AI1283,"T")</f>
      </c>
      <c r="AT1283" s="1">
        <f>=COUNTIF(E1283:AI1283,"Y")</f>
      </c>
      <c r="AU1283" s="1">
        <f>=COUNTIF(E1283:AI1283,"R.")</f>
      </c>
      <c r="AV1283" s="1">
        <f>=COUNTIF(E1283:AI1283,"Ü")</f>
      </c>
      <c r="AW1283" s="1">
        <f>=COUNTIF(E1283:AI1283,"R")</f>
      </c>
      <c r="AX1283" s="1">
        <f>=COUNTIF(E1283:AI1283,"DV")</f>
      </c>
      <c r="AY1283" s="1">
        <f>=+AN1283+AO1283+AP1283+AQ1283+AR1283+AS1283+AT1283+AU1283</f>
      </c>
    </row>
    <row r="1284" ht="16" customHeight="1" spans="1:51" x14ac:dyDescent="0.25">
      <c r="A1284" s="45"/>
      <c r="B1284" s="46"/>
      <c r="C1284" s="46"/>
      <c r="D1284" s="46" t="s">
        <v>33</v>
      </c>
      <c r="E1284" s="46">
        <v>2</v>
      </c>
      <c r="F1284" s="46">
        <v>2</v>
      </c>
      <c r="G1284" s="46">
        <v>2</v>
      </c>
      <c r="H1284" s="46"/>
      <c r="I1284" s="46">
        <v>2</v>
      </c>
      <c r="J1284" s="46">
        <v>2</v>
      </c>
      <c r="K1284" s="46">
        <v>2</v>
      </c>
      <c r="L1284" s="46">
        <v>2</v>
      </c>
      <c r="M1284" s="46">
        <v>2</v>
      </c>
      <c r="N1284" s="46">
        <v>2</v>
      </c>
      <c r="O1284" s="46"/>
      <c r="P1284" s="46">
        <v>2</v>
      </c>
      <c r="Q1284" s="46">
        <v>2</v>
      </c>
      <c r="R1284" s="46">
        <v>2</v>
      </c>
      <c r="S1284" s="46">
        <v>2</v>
      </c>
      <c r="T1284" s="46">
        <v>2</v>
      </c>
      <c r="U1284" s="46">
        <v>2</v>
      </c>
      <c r="V1284" s="46"/>
      <c r="W1284" s="46">
        <v>2</v>
      </c>
      <c r="X1284" s="46">
        <v>2</v>
      </c>
      <c r="Y1284" s="46">
        <v>2</v>
      </c>
      <c r="Z1284" s="46">
        <v>2</v>
      </c>
      <c r="AA1284" s="46">
        <v>2</v>
      </c>
      <c r="AB1284" s="46">
        <v>2</v>
      </c>
      <c r="AC1284" s="46"/>
      <c r="AD1284" s="46">
        <v>2</v>
      </c>
      <c r="AE1284" s="46">
        <v>2</v>
      </c>
      <c r="AF1284" s="46">
        <v>2</v>
      </c>
      <c r="AG1284" s="46">
        <v>2</v>
      </c>
      <c r="AH1284" s="46">
        <v>2</v>
      </c>
      <c r="AI1284" s="46">
        <v>2</v>
      </c>
      <c r="AJ1284" s="46"/>
      <c r="AK1284" s="46"/>
      <c r="AL1284" s="46"/>
      <c r="AM1284" s="1"/>
      <c r="AN1284" s="1"/>
      <c r="AO1284" s="1"/>
      <c r="AP1284" s="1"/>
      <c r="AQ1284" s="1"/>
      <c r="AR1284" s="1"/>
      <c r="AS1284" s="1"/>
      <c r="AT1284" s="1"/>
      <c r="AU1284" s="1"/>
      <c r="AV1284" s="1"/>
      <c r="AW1284" s="1"/>
      <c r="AX1284" s="1"/>
      <c r="AY1284" s="1"/>
    </row>
    <row r="1285" ht="16" customHeight="1" spans="1:51" x14ac:dyDescent="0.25">
      <c r="A1285" s="45"/>
      <c r="B1285" s="46" t="s">
        <v>1336</v>
      </c>
      <c r="C1285" s="46" t="s">
        <v>1337</v>
      </c>
      <c r="D1285" s="46" t="s">
        <v>29</v>
      </c>
      <c r="E1285" s="46"/>
      <c r="F1285" s="46"/>
      <c r="G1285" s="46"/>
      <c r="H1285" s="46"/>
      <c r="I1285" s="46"/>
      <c r="J1285" s="46"/>
      <c r="K1285" s="46"/>
      <c r="L1285" s="46"/>
      <c r="M1285" s="46"/>
      <c r="N1285" s="46"/>
      <c r="O1285" s="46"/>
      <c r="P1285" s="46"/>
      <c r="Q1285" s="46"/>
      <c r="R1285" s="46"/>
      <c r="S1285" s="46"/>
      <c r="T1285" s="46"/>
      <c r="U1285" s="46"/>
      <c r="V1285" s="46"/>
      <c r="W1285" s="46"/>
      <c r="X1285" s="46"/>
      <c r="Y1285" s="46"/>
      <c r="Z1285" s="46"/>
      <c r="AA1285" s="46"/>
      <c r="AB1285" s="46"/>
      <c r="AC1285" s="46" t="s">
        <v>36</v>
      </c>
      <c r="AD1285" s="46" t="s">
        <v>36</v>
      </c>
      <c r="AE1285" s="46" t="s">
        <v>36</v>
      </c>
      <c r="AF1285" s="46" t="s">
        <v>36</v>
      </c>
      <c r="AG1285" s="46" t="s">
        <v>36</v>
      </c>
      <c r="AH1285" s="46" t="s">
        <v>43</v>
      </c>
      <c r="AI1285" s="46" t="s">
        <v>36</v>
      </c>
      <c r="AJ1285" s="46">
        <f>=SUM(E1286:AI1286)</f>
      </c>
      <c r="AK1285" s="46">
        <f>=+AY1285</f>
      </c>
      <c r="AL1285" s="46"/>
      <c r="AM1285" s="1"/>
      <c r="AN1285" s="1">
        <f>=COUNTIF(E1285:AI1285,"A")+COUNTIF(E1285:AI1285,"B")+COUNTIF(E1285:AI1285,"C")+COUNTIF(E1285:AI1285,"D")+COUNTIF(E1285:AI1285,"E")+COUNTIF(E1285:AI1285,"F")+COUNTIF(E1285:AI1285,"M")+COUNTIF(E1285:AI1285,"AB")+COUNTIF(E1285:AI1285,"UZ")+COUNTIF(E1285:AI1285,"G")+(COUNTIF(E1285:AI1285,"RT.")/2)+(COUNTIF(E1285:AI1285,"ÇRT.")/2)</f>
      </c>
      <c r="AO1285" s="1">
        <f>=COUNTIF(E1285:AI1285,"O")</f>
      </c>
      <c r="AP1285" s="1">
        <f>=COUNTIF(E1285:AI1285,"RT")+(COUNTIF(E1285:AI1285,"RT.")/2)</f>
      </c>
      <c r="AQ1285" s="1">
        <f>=COUNTIF(E1285:AI1285,"ÇRT")+(COUNTIF(E1285:AI1285,"ÇRT.")/2)</f>
      </c>
      <c r="AR1285" s="1">
        <f>=COUNTIF(E1285:AI1285,"ÇHT")</f>
      </c>
      <c r="AS1285" s="1">
        <f>=COUNTIF(E1285:AI1285,"Ö")+COUNTIF(E1285:AI1285,"T")</f>
      </c>
      <c r="AT1285" s="1">
        <f>=COUNTIF(E1285:AI1285,"Y")</f>
      </c>
      <c r="AU1285" s="1">
        <f>=COUNTIF(E1285:AI1285,"R.")</f>
      </c>
      <c r="AV1285" s="1">
        <f>=COUNTIF(E1285:AI1285,"Ü")</f>
      </c>
      <c r="AW1285" s="1">
        <f>=COUNTIF(E1285:AI1285,"R")</f>
      </c>
      <c r="AX1285" s="1">
        <f>=COUNTIF(E1285:AI1285,"DV")</f>
      </c>
      <c r="AY1285" s="1">
        <f>=+AN1285+AO1285+AP1285+AQ1285+AR1285+AS1285+AT1285+AU1285</f>
      </c>
    </row>
    <row r="1286" ht="16" customHeight="1" spans="1:51" x14ac:dyDescent="0.25">
      <c r="A1286" s="45"/>
      <c r="B1286" s="46"/>
      <c r="C1286" s="46"/>
      <c r="D1286" s="46" t="s">
        <v>33</v>
      </c>
      <c r="E1286" s="46"/>
      <c r="F1286" s="46"/>
      <c r="G1286" s="46"/>
      <c r="H1286" s="46"/>
      <c r="I1286" s="46"/>
      <c r="J1286" s="46"/>
      <c r="K1286" s="46"/>
      <c r="L1286" s="46"/>
      <c r="M1286" s="46"/>
      <c r="N1286" s="46"/>
      <c r="O1286" s="46"/>
      <c r="P1286" s="46"/>
      <c r="Q1286" s="46"/>
      <c r="R1286" s="46"/>
      <c r="S1286" s="46"/>
      <c r="T1286" s="46"/>
      <c r="U1286" s="46"/>
      <c r="V1286" s="46"/>
      <c r="W1286" s="46"/>
      <c r="X1286" s="46"/>
      <c r="Y1286" s="46"/>
      <c r="Z1286" s="46"/>
      <c r="AA1286" s="46"/>
      <c r="AB1286" s="46"/>
      <c r="AC1286" s="46"/>
      <c r="AD1286" s="46"/>
      <c r="AE1286" s="46"/>
      <c r="AF1286" s="46"/>
      <c r="AG1286" s="46">
        <v>2</v>
      </c>
      <c r="AH1286" s="46">
        <v>3</v>
      </c>
      <c r="AI1286" s="46">
        <v>2</v>
      </c>
      <c r="AJ1286" s="46"/>
      <c r="AK1286" s="46"/>
      <c r="AL1286" s="46"/>
      <c r="AM1286" s="1"/>
      <c r="AN1286" s="1"/>
      <c r="AO1286" s="1"/>
      <c r="AP1286" s="1"/>
      <c r="AQ1286" s="1"/>
      <c r="AR1286" s="1"/>
      <c r="AS1286" s="1"/>
      <c r="AT1286" s="1"/>
      <c r="AU1286" s="1"/>
      <c r="AV1286" s="1"/>
      <c r="AW1286" s="1"/>
      <c r="AX1286" s="1"/>
      <c r="AY1286" s="1"/>
    </row>
    <row r="1287" ht="16" customHeight="1" spans="1:51" x14ac:dyDescent="0.25">
      <c r="A1287" s="45"/>
      <c r="B1287" s="46" t="s">
        <v>1338</v>
      </c>
      <c r="C1287" s="46" t="s">
        <v>1339</v>
      </c>
      <c r="D1287" s="46" t="s">
        <v>29</v>
      </c>
      <c r="E1287" s="46" t="s">
        <v>59</v>
      </c>
      <c r="F1287" s="46" t="s">
        <v>59</v>
      </c>
      <c r="G1287" s="46" t="s">
        <v>59</v>
      </c>
      <c r="H1287" s="46" t="s">
        <v>37</v>
      </c>
      <c r="I1287" s="46" t="s">
        <v>59</v>
      </c>
      <c r="J1287" s="46" t="s">
        <v>59</v>
      </c>
      <c r="K1287" s="46" t="s">
        <v>59</v>
      </c>
      <c r="L1287" s="46" t="s">
        <v>59</v>
      </c>
      <c r="M1287" s="46" t="s">
        <v>59</v>
      </c>
      <c r="N1287" s="46" t="s">
        <v>59</v>
      </c>
      <c r="O1287" s="46" t="s">
        <v>37</v>
      </c>
      <c r="P1287" s="46" t="s">
        <v>59</v>
      </c>
      <c r="Q1287" s="46" t="s">
        <v>59</v>
      </c>
      <c r="R1287" s="46" t="s">
        <v>59</v>
      </c>
      <c r="S1287" s="46" t="s">
        <v>59</v>
      </c>
      <c r="T1287" s="46" t="s">
        <v>59</v>
      </c>
      <c r="U1287" s="46" t="s">
        <v>59</v>
      </c>
      <c r="V1287" s="46" t="s">
        <v>37</v>
      </c>
      <c r="W1287" s="46" t="s">
        <v>59</v>
      </c>
      <c r="X1287" s="46" t="s">
        <v>59</v>
      </c>
      <c r="Y1287" s="46" t="s">
        <v>59</v>
      </c>
      <c r="Z1287" s="46" t="s">
        <v>59</v>
      </c>
      <c r="AA1287" s="46" t="s">
        <v>59</v>
      </c>
      <c r="AB1287" s="46" t="s">
        <v>59</v>
      </c>
      <c r="AC1287" s="46" t="s">
        <v>37</v>
      </c>
      <c r="AD1287" s="46" t="s">
        <v>59</v>
      </c>
      <c r="AE1287" s="46" t="s">
        <v>59</v>
      </c>
      <c r="AF1287" s="46" t="s">
        <v>59</v>
      </c>
      <c r="AG1287" s="46" t="s">
        <v>59</v>
      </c>
      <c r="AH1287" s="46" t="s">
        <v>43</v>
      </c>
      <c r="AI1287" s="46" t="s">
        <v>59</v>
      </c>
      <c r="AJ1287" s="46">
        <f>=SUM(E1288:AI1288)</f>
      </c>
      <c r="AK1287" s="46">
        <f>=+AY1287</f>
      </c>
      <c r="AL1287" s="46"/>
      <c r="AM1287" s="1"/>
      <c r="AN1287" s="1">
        <f>=COUNTIF(E1287:AI1287,"A")+COUNTIF(E1287:AI1287,"B")+COUNTIF(E1287:AI1287,"C")+COUNTIF(E1287:AI1287,"D")+COUNTIF(E1287:AI1287,"E")+COUNTIF(E1287:AI1287,"F")+COUNTIF(E1287:AI1287,"M")+COUNTIF(E1287:AI1287,"AB")+COUNTIF(E1287:AI1287,"UZ")+COUNTIF(E1287:AI1287,"G")+(COUNTIF(E1287:AI1287,"RT.")/2)+(COUNTIF(E1287:AI1287,"ÇRT.")/2)</f>
      </c>
      <c r="AO1287" s="1">
        <f>=COUNTIF(E1287:AI1287,"O")</f>
      </c>
      <c r="AP1287" s="1">
        <f>=COUNTIF(E1287:AI1287,"RT")+(COUNTIF(E1287:AI1287,"RT.")/2)</f>
      </c>
      <c r="AQ1287" s="1">
        <f>=COUNTIF(E1287:AI1287,"ÇRT")+(COUNTIF(E1287:AI1287,"ÇRT.")/2)</f>
      </c>
      <c r="AR1287" s="1">
        <f>=COUNTIF(E1287:AI1287,"ÇHT")</f>
      </c>
      <c r="AS1287" s="1">
        <f>=COUNTIF(E1287:AI1287,"Ö")+COUNTIF(E1287:AI1287,"T")</f>
      </c>
      <c r="AT1287" s="1">
        <f>=COUNTIF(E1287:AI1287,"Y")</f>
      </c>
      <c r="AU1287" s="1">
        <f>=COUNTIF(E1287:AI1287,"R.")</f>
      </c>
      <c r="AV1287" s="1">
        <f>=COUNTIF(E1287:AI1287,"Ü")</f>
      </c>
      <c r="AW1287" s="1">
        <f>=COUNTIF(E1287:AI1287,"R")</f>
      </c>
      <c r="AX1287" s="1">
        <f>=COUNTIF(E1287:AI1287,"DV")</f>
      </c>
      <c r="AY1287" s="1">
        <f>=+AN1287+AO1287+AP1287+AQ1287+AR1287+AS1287+AT1287+AU1287</f>
      </c>
    </row>
    <row r="1288" ht="16" customHeight="1" spans="1:51" x14ac:dyDescent="0.25">
      <c r="A1288" s="45"/>
      <c r="B1288" s="46"/>
      <c r="C1288" s="46"/>
      <c r="D1288" s="46" t="s">
        <v>33</v>
      </c>
      <c r="E1288" s="46"/>
      <c r="F1288" s="46"/>
      <c r="G1288" s="46"/>
      <c r="H1288" s="46"/>
      <c r="I1288" s="46"/>
      <c r="J1288" s="46"/>
      <c r="K1288" s="46"/>
      <c r="L1288" s="46"/>
      <c r="M1288" s="46"/>
      <c r="N1288" s="46"/>
      <c r="O1288" s="46"/>
      <c r="P1288" s="46"/>
      <c r="Q1288" s="46"/>
      <c r="R1288" s="46"/>
      <c r="S1288" s="46"/>
      <c r="T1288" s="46"/>
      <c r="U1288" s="46"/>
      <c r="V1288" s="46"/>
      <c r="W1288" s="46"/>
      <c r="X1288" s="46"/>
      <c r="Y1288" s="46"/>
      <c r="Z1288" s="46"/>
      <c r="AA1288" s="46"/>
      <c r="AB1288" s="46"/>
      <c r="AC1288" s="46"/>
      <c r="AD1288" s="46"/>
      <c r="AE1288" s="46"/>
      <c r="AF1288" s="46"/>
      <c r="AG1288" s="46"/>
      <c r="AH1288" s="46"/>
      <c r="AI1288" s="46"/>
      <c r="AJ1288" s="46"/>
      <c r="AK1288" s="46"/>
      <c r="AL1288" s="46"/>
      <c r="AM1288" s="1"/>
      <c r="AN1288" s="1"/>
      <c r="AO1288" s="1"/>
      <c r="AP1288" s="1"/>
      <c r="AQ1288" s="1"/>
      <c r="AR1288" s="1"/>
      <c r="AS1288" s="1"/>
      <c r="AT1288" s="1"/>
      <c r="AU1288" s="1"/>
      <c r="AV1288" s="1"/>
      <c r="AW1288" s="1"/>
      <c r="AX1288" s="1"/>
      <c r="AY1288" s="1"/>
    </row>
    <row r="1289" ht="16" customHeight="1" spans="1:51" x14ac:dyDescent="0.25">
      <c r="A1289" s="45"/>
      <c r="B1289" s="46" t="s">
        <v>1340</v>
      </c>
      <c r="C1289" s="46" t="s">
        <v>1341</v>
      </c>
      <c r="D1289" s="46" t="s">
        <v>29</v>
      </c>
      <c r="E1289" s="46" t="s">
        <v>36</v>
      </c>
      <c r="F1289" s="46" t="s">
        <v>36</v>
      </c>
      <c r="G1289" s="46" t="s">
        <v>36</v>
      </c>
      <c r="H1289" s="46" t="s">
        <v>36</v>
      </c>
      <c r="I1289" s="46" t="s">
        <v>36</v>
      </c>
      <c r="J1289" s="46" t="s">
        <v>36</v>
      </c>
      <c r="K1289" s="46" t="s">
        <v>36</v>
      </c>
      <c r="L1289" s="46" t="s">
        <v>36</v>
      </c>
      <c r="M1289" s="46" t="s">
        <v>37</v>
      </c>
      <c r="N1289" s="46" t="s">
        <v>36</v>
      </c>
      <c r="O1289" s="46" t="s">
        <v>36</v>
      </c>
      <c r="P1289" s="46" t="s">
        <v>36</v>
      </c>
      <c r="Q1289" s="46" t="s">
        <v>36</v>
      </c>
      <c r="R1289" s="46" t="s">
        <v>36</v>
      </c>
      <c r="S1289" s="46" t="s">
        <v>36</v>
      </c>
      <c r="T1289" s="46" t="s">
        <v>37</v>
      </c>
      <c r="U1289" s="46" t="s">
        <v>36</v>
      </c>
      <c r="V1289" s="46" t="s">
        <v>36</v>
      </c>
      <c r="W1289" s="46" t="s">
        <v>36</v>
      </c>
      <c r="X1289" s="46" t="s">
        <v>36</v>
      </c>
      <c r="Y1289" s="46" t="s">
        <v>36</v>
      </c>
      <c r="Z1289" s="46" t="s">
        <v>36</v>
      </c>
      <c r="AA1289" s="46" t="s">
        <v>37</v>
      </c>
      <c r="AB1289" s="46" t="s">
        <v>36</v>
      </c>
      <c r="AC1289" s="46" t="s">
        <v>36</v>
      </c>
      <c r="AD1289" s="46" t="s">
        <v>36</v>
      </c>
      <c r="AE1289" s="46" t="s">
        <v>36</v>
      </c>
      <c r="AF1289" s="46" t="s">
        <v>36</v>
      </c>
      <c r="AG1289" s="46" t="s">
        <v>36</v>
      </c>
      <c r="AH1289" s="46" t="s">
        <v>37</v>
      </c>
      <c r="AI1289" s="46" t="s">
        <v>36</v>
      </c>
      <c r="AJ1289" s="46">
        <f>=SUM(E1290:AI1290)</f>
      </c>
      <c r="AK1289" s="46">
        <f>=+AY1289</f>
      </c>
      <c r="AL1289" s="46"/>
      <c r="AM1289" s="1"/>
      <c r="AN1289" s="1">
        <f>=COUNTIF(E1289:AI1289,"A")+COUNTIF(E1289:AI1289,"B")+COUNTIF(E1289:AI1289,"C")+COUNTIF(E1289:AI1289,"D")+COUNTIF(E1289:AI1289,"E")+COUNTIF(E1289:AI1289,"F")+COUNTIF(E1289:AI1289,"M")+COUNTIF(E1289:AI1289,"AB")+COUNTIF(E1289:AI1289,"UZ")+COUNTIF(E1289:AI1289,"G")+(COUNTIF(E1289:AI1289,"RT.")/2)+(COUNTIF(E1289:AI1289,"ÇRT.")/2)</f>
      </c>
      <c r="AO1289" s="1">
        <f>=COUNTIF(E1289:AI1289,"O")</f>
      </c>
      <c r="AP1289" s="1">
        <f>=COUNTIF(E1289:AI1289,"RT")+(COUNTIF(E1289:AI1289,"RT.")/2)</f>
      </c>
      <c r="AQ1289" s="1">
        <f>=COUNTIF(E1289:AI1289,"ÇRT")+(COUNTIF(E1289:AI1289,"ÇRT.")/2)</f>
      </c>
      <c r="AR1289" s="1">
        <f>=COUNTIF(E1289:AI1289,"ÇHT")</f>
      </c>
      <c r="AS1289" s="1">
        <f>=COUNTIF(E1289:AI1289,"Ö")+COUNTIF(E1289:AI1289,"T")</f>
      </c>
      <c r="AT1289" s="1">
        <f>=COUNTIF(E1289:AI1289,"Y")</f>
      </c>
      <c r="AU1289" s="1">
        <f>=COUNTIF(E1289:AI1289,"R.")</f>
      </c>
      <c r="AV1289" s="1">
        <f>=COUNTIF(E1289:AI1289,"Ü")</f>
      </c>
      <c r="AW1289" s="1">
        <f>=COUNTIF(E1289:AI1289,"R")</f>
      </c>
      <c r="AX1289" s="1">
        <f>=COUNTIF(E1289:AI1289,"DV")</f>
      </c>
      <c r="AY1289" s="1">
        <f>=+AN1289+AO1289+AP1289+AQ1289+AR1289+AS1289+AT1289+AU1289</f>
      </c>
    </row>
    <row r="1290" ht="16" customHeight="1" spans="1:51" x14ac:dyDescent="0.25">
      <c r="A1290" s="45"/>
      <c r="B1290" s="46"/>
      <c r="C1290" s="46"/>
      <c r="D1290" s="46" t="s">
        <v>33</v>
      </c>
      <c r="E1290" s="46"/>
      <c r="F1290" s="46"/>
      <c r="G1290" s="46"/>
      <c r="H1290" s="46"/>
      <c r="I1290" s="46"/>
      <c r="J1290" s="46"/>
      <c r="K1290" s="46"/>
      <c r="L1290" s="46">
        <v>2</v>
      </c>
      <c r="M1290" s="46"/>
      <c r="N1290" s="46"/>
      <c r="O1290" s="46"/>
      <c r="P1290" s="46"/>
      <c r="Q1290" s="46"/>
      <c r="R1290" s="46"/>
      <c r="S1290" s="46"/>
      <c r="T1290" s="46"/>
      <c r="U1290" s="46"/>
      <c r="V1290" s="46"/>
      <c r="W1290" s="46"/>
      <c r="X1290" s="46"/>
      <c r="Y1290" s="46"/>
      <c r="Z1290" s="46"/>
      <c r="AA1290" s="46"/>
      <c r="AB1290" s="46"/>
      <c r="AC1290" s="46"/>
      <c r="AD1290" s="46"/>
      <c r="AE1290" s="46"/>
      <c r="AF1290" s="46"/>
      <c r="AG1290" s="46"/>
      <c r="AH1290" s="46"/>
      <c r="AI1290" s="46"/>
      <c r="AJ1290" s="46"/>
      <c r="AK1290" s="46"/>
      <c r="AL1290" s="46"/>
      <c r="AM1290" s="1"/>
      <c r="AN1290" s="1"/>
      <c r="AO1290" s="1"/>
      <c r="AP1290" s="1"/>
      <c r="AQ1290" s="1"/>
      <c r="AR1290" s="1"/>
      <c r="AS1290" s="1"/>
      <c r="AT1290" s="1"/>
      <c r="AU1290" s="1"/>
      <c r="AV1290" s="1"/>
      <c r="AW1290" s="1"/>
      <c r="AX1290" s="1"/>
      <c r="AY1290" s="1"/>
    </row>
    <row r="1291" ht="16" customHeight="1" spans="1:51" x14ac:dyDescent="0.25">
      <c r="A1291" s="45"/>
      <c r="B1291" s="46" t="s">
        <v>1342</v>
      </c>
      <c r="C1291" s="46" t="s">
        <v>1343</v>
      </c>
      <c r="D1291" s="46" t="s">
        <v>29</v>
      </c>
      <c r="E1291" s="46" t="s">
        <v>299</v>
      </c>
      <c r="F1291" s="46" t="s">
        <v>36</v>
      </c>
      <c r="G1291" s="46" t="s">
        <v>299</v>
      </c>
      <c r="H1291" s="46" t="s">
        <v>36</v>
      </c>
      <c r="I1291" s="46" t="s">
        <v>37</v>
      </c>
      <c r="J1291" s="46" t="s">
        <v>299</v>
      </c>
      <c r="K1291" s="46" t="s">
        <v>36</v>
      </c>
      <c r="L1291" s="46" t="s">
        <v>299</v>
      </c>
      <c r="M1291" s="46" t="s">
        <v>36</v>
      </c>
      <c r="N1291" s="46" t="s">
        <v>36</v>
      </c>
      <c r="O1291" s="46" t="s">
        <v>37</v>
      </c>
      <c r="P1291" s="46" t="s">
        <v>299</v>
      </c>
      <c r="Q1291" s="46" t="s">
        <v>299</v>
      </c>
      <c r="R1291" s="46" t="s">
        <v>36</v>
      </c>
      <c r="S1291" s="46" t="s">
        <v>36</v>
      </c>
      <c r="T1291" s="46" t="s">
        <v>299</v>
      </c>
      <c r="U1291" s="46" t="s">
        <v>36</v>
      </c>
      <c r="V1291" s="46" t="s">
        <v>37</v>
      </c>
      <c r="W1291" s="46" t="s">
        <v>299</v>
      </c>
      <c r="X1291" s="46" t="s">
        <v>299</v>
      </c>
      <c r="Y1291" s="46" t="s">
        <v>31</v>
      </c>
      <c r="Z1291" s="46" t="s">
        <v>299</v>
      </c>
      <c r="AA1291" s="46" t="s">
        <v>299</v>
      </c>
      <c r="AB1291" s="46" t="s">
        <v>36</v>
      </c>
      <c r="AC1291" s="46" t="s">
        <v>37</v>
      </c>
      <c r="AD1291" s="46" t="s">
        <v>299</v>
      </c>
      <c r="AE1291" s="46" t="s">
        <v>299</v>
      </c>
      <c r="AF1291" s="46" t="s">
        <v>36</v>
      </c>
      <c r="AG1291" s="46" t="s">
        <v>299</v>
      </c>
      <c r="AH1291" s="46" t="s">
        <v>43</v>
      </c>
      <c r="AI1291" s="46" t="s">
        <v>36</v>
      </c>
      <c r="AJ1291" s="46">
        <f>=SUM(E1292:AI1292)</f>
      </c>
      <c r="AK1291" s="46">
        <f>=+AY1291</f>
      </c>
      <c r="AL1291" s="46"/>
      <c r="AM1291" s="1"/>
      <c r="AN1291" s="1">
        <f>=COUNTIF(E1291:AI1291,"A")+COUNTIF(E1291:AI1291,"B")+COUNTIF(E1291:AI1291,"C")+COUNTIF(E1291:AI1291,"D")+COUNTIF(E1291:AI1291,"E")+COUNTIF(E1291:AI1291,"F")+COUNTIF(E1291:AI1291,"M")+COUNTIF(E1291:AI1291,"AB")+COUNTIF(E1291:AI1291,"UZ")+COUNTIF(E1291:AI1291,"G")+(COUNTIF(E1291:AI1291,"RT.")/2)+(COUNTIF(E1291:AI1291,"ÇRT.")/2)</f>
      </c>
      <c r="AO1291" s="1">
        <f>=COUNTIF(E1291:AI1291,"O")</f>
      </c>
      <c r="AP1291" s="1">
        <f>=COUNTIF(E1291:AI1291,"RT")+(COUNTIF(E1291:AI1291,"RT.")/2)</f>
      </c>
      <c r="AQ1291" s="1">
        <f>=COUNTIF(E1291:AI1291,"ÇRT")+(COUNTIF(E1291:AI1291,"ÇRT.")/2)</f>
      </c>
      <c r="AR1291" s="1">
        <f>=COUNTIF(E1291:AI1291,"ÇHT")</f>
      </c>
      <c r="AS1291" s="1">
        <f>=COUNTIF(E1291:AI1291,"Ö")+COUNTIF(E1291:AI1291,"T")</f>
      </c>
      <c r="AT1291" s="1">
        <f>=COUNTIF(E1291:AI1291,"Y")</f>
      </c>
      <c r="AU1291" s="1">
        <f>=COUNTIF(E1291:AI1291,"R.")</f>
      </c>
      <c r="AV1291" s="1">
        <f>=COUNTIF(E1291:AI1291,"Ü")</f>
      </c>
      <c r="AW1291" s="1">
        <f>=COUNTIF(E1291:AI1291,"R")</f>
      </c>
      <c r="AX1291" s="1">
        <f>=COUNTIF(E1291:AI1291,"DV")</f>
      </c>
      <c r="AY1291" s="1">
        <f>=+AN1291+AO1291+AP1291+AQ1291+AR1291+AS1291+AT1291+AU1291</f>
      </c>
    </row>
    <row r="1292" ht="16" customHeight="1" spans="1:51" x14ac:dyDescent="0.25">
      <c r="A1292" s="45"/>
      <c r="B1292" s="46"/>
      <c r="C1292" s="46"/>
      <c r="D1292" s="46" t="s">
        <v>33</v>
      </c>
      <c r="E1292" s="46">
        <v>2</v>
      </c>
      <c r="F1292" s="46"/>
      <c r="G1292" s="46">
        <v>2</v>
      </c>
      <c r="H1292" s="46"/>
      <c r="I1292" s="46"/>
      <c r="J1292" s="46">
        <v>2</v>
      </c>
      <c r="K1292" s="46"/>
      <c r="L1292" s="46">
        <v>2</v>
      </c>
      <c r="M1292" s="46"/>
      <c r="N1292" s="46"/>
      <c r="O1292" s="46"/>
      <c r="P1292" s="46">
        <v>2</v>
      </c>
      <c r="Q1292" s="46">
        <v>2</v>
      </c>
      <c r="R1292" s="46"/>
      <c r="S1292" s="46">
        <v>2</v>
      </c>
      <c r="T1292" s="46">
        <v>2</v>
      </c>
      <c r="U1292" s="46"/>
      <c r="V1292" s="46"/>
      <c r="W1292" s="46">
        <v>2</v>
      </c>
      <c r="X1292" s="46">
        <v>2</v>
      </c>
      <c r="Y1292" s="46"/>
      <c r="Z1292" s="46">
        <v>2</v>
      </c>
      <c r="AA1292" s="46">
        <v>2</v>
      </c>
      <c r="AB1292" s="46"/>
      <c r="AC1292" s="46"/>
      <c r="AD1292" s="46">
        <v>2</v>
      </c>
      <c r="AE1292" s="46">
        <v>2</v>
      </c>
      <c r="AF1292" s="46"/>
      <c r="AG1292" s="46">
        <v>2</v>
      </c>
      <c r="AH1292" s="46">
        <v>2</v>
      </c>
      <c r="AI1292" s="46"/>
      <c r="AJ1292" s="46"/>
      <c r="AK1292" s="46"/>
      <c r="AL1292" s="46"/>
      <c r="AM1292" s="1"/>
      <c r="AN1292" s="1"/>
      <c r="AO1292" s="1"/>
      <c r="AP1292" s="1"/>
      <c r="AQ1292" s="1"/>
      <c r="AR1292" s="1"/>
      <c r="AS1292" s="1"/>
      <c r="AT1292" s="1"/>
      <c r="AU1292" s="1"/>
      <c r="AV1292" s="1"/>
      <c r="AW1292" s="1"/>
      <c r="AX1292" s="1"/>
      <c r="AY1292" s="1"/>
    </row>
    <row r="1293" ht="16" customHeight="1" spans="1:51" x14ac:dyDescent="0.25">
      <c r="A1293" s="45"/>
      <c r="B1293" s="46" t="s">
        <v>1344</v>
      </c>
      <c r="C1293" s="46" t="s">
        <v>1345</v>
      </c>
      <c r="D1293" s="46" t="s">
        <v>29</v>
      </c>
      <c r="E1293" s="46" t="s">
        <v>299</v>
      </c>
      <c r="F1293" s="46" t="s">
        <v>299</v>
      </c>
      <c r="G1293" s="46" t="s">
        <v>299</v>
      </c>
      <c r="H1293" s="46" t="s">
        <v>299</v>
      </c>
      <c r="I1293" s="46" t="s">
        <v>299</v>
      </c>
      <c r="J1293" s="46" t="s">
        <v>299</v>
      </c>
      <c r="K1293" s="46" t="s">
        <v>299</v>
      </c>
      <c r="L1293" s="46" t="s">
        <v>37</v>
      </c>
      <c r="M1293" s="46" t="s">
        <v>299</v>
      </c>
      <c r="N1293" s="46" t="s">
        <v>299</v>
      </c>
      <c r="O1293" s="46" t="s">
        <v>299</v>
      </c>
      <c r="P1293" s="46" t="s">
        <v>299</v>
      </c>
      <c r="Q1293" s="46" t="s">
        <v>299</v>
      </c>
      <c r="R1293" s="46" t="s">
        <v>299</v>
      </c>
      <c r="S1293" s="46" t="s">
        <v>37</v>
      </c>
      <c r="T1293" s="46" t="s">
        <v>299</v>
      </c>
      <c r="U1293" s="46" t="s">
        <v>299</v>
      </c>
      <c r="V1293" s="46" t="s">
        <v>299</v>
      </c>
      <c r="W1293" s="46" t="s">
        <v>299</v>
      </c>
      <c r="X1293" s="46" t="s">
        <v>299</v>
      </c>
      <c r="Y1293" s="46" t="s">
        <v>299</v>
      </c>
      <c r="Z1293" s="46" t="s">
        <v>37</v>
      </c>
      <c r="AA1293" s="46" t="s">
        <v>299</v>
      </c>
      <c r="AB1293" s="46" t="s">
        <v>299</v>
      </c>
      <c r="AC1293" s="46" t="s">
        <v>299</v>
      </c>
      <c r="AD1293" s="46" t="s">
        <v>299</v>
      </c>
      <c r="AE1293" s="46" t="s">
        <v>299</v>
      </c>
      <c r="AF1293" s="46" t="s">
        <v>299</v>
      </c>
      <c r="AG1293" s="46" t="s">
        <v>37</v>
      </c>
      <c r="AH1293" s="46" t="s">
        <v>31</v>
      </c>
      <c r="AI1293" s="46" t="s">
        <v>299</v>
      </c>
      <c r="AJ1293" s="46">
        <f>=SUM(E1294:AI1294)</f>
      </c>
      <c r="AK1293" s="46">
        <f>=+AY1293</f>
      </c>
      <c r="AL1293" s="46"/>
      <c r="AM1293" s="1"/>
      <c r="AN1293" s="1">
        <f>=COUNTIF(E1293:AI1293,"A")+COUNTIF(E1293:AI1293,"B")+COUNTIF(E1293:AI1293,"C")+COUNTIF(E1293:AI1293,"D")+COUNTIF(E1293:AI1293,"E")+COUNTIF(E1293:AI1293,"F")+COUNTIF(E1293:AI1293,"M")+COUNTIF(E1293:AI1293,"AB")+COUNTIF(E1293:AI1293,"UZ")+COUNTIF(E1293:AI1293,"G")+(COUNTIF(E1293:AI1293,"RT.")/2)+(COUNTIF(E1293:AI1293,"ÇRT.")/2)</f>
      </c>
      <c r="AO1293" s="1">
        <f>=COUNTIF(E1293:AI1293,"O")</f>
      </c>
      <c r="AP1293" s="1">
        <f>=COUNTIF(E1293:AI1293,"RT")+(COUNTIF(E1293:AI1293,"RT.")/2)</f>
      </c>
      <c r="AQ1293" s="1">
        <f>=COUNTIF(E1293:AI1293,"ÇRT")+(COUNTIF(E1293:AI1293,"ÇRT.")/2)</f>
      </c>
      <c r="AR1293" s="1">
        <f>=COUNTIF(E1293:AI1293,"ÇHT")</f>
      </c>
      <c r="AS1293" s="1">
        <f>=COUNTIF(E1293:AI1293,"Ö")+COUNTIF(E1293:AI1293,"T")</f>
      </c>
      <c r="AT1293" s="1">
        <f>=COUNTIF(E1293:AI1293,"Y")</f>
      </c>
      <c r="AU1293" s="1">
        <f>=COUNTIF(E1293:AI1293,"R.")</f>
      </c>
      <c r="AV1293" s="1">
        <f>=COUNTIF(E1293:AI1293,"Ü")</f>
      </c>
      <c r="AW1293" s="1">
        <f>=COUNTIF(E1293:AI1293,"R")</f>
      </c>
      <c r="AX1293" s="1">
        <f>=COUNTIF(E1293:AI1293,"DV")</f>
      </c>
      <c r="AY1293" s="1">
        <f>=+AN1293+AO1293+AP1293+AQ1293+AR1293+AS1293+AT1293+AU1293</f>
      </c>
    </row>
    <row r="1294" ht="16" customHeight="1" spans="1:51" x14ac:dyDescent="0.25">
      <c r="A1294" s="45"/>
      <c r="B1294" s="46"/>
      <c r="C1294" s="46"/>
      <c r="D1294" s="46" t="s">
        <v>33</v>
      </c>
      <c r="E1294" s="46">
        <v>2</v>
      </c>
      <c r="F1294" s="46">
        <v>2</v>
      </c>
      <c r="G1294" s="46">
        <v>2</v>
      </c>
      <c r="H1294" s="46">
        <v>2</v>
      </c>
      <c r="I1294" s="46">
        <v>2</v>
      </c>
      <c r="J1294" s="46">
        <v>2</v>
      </c>
      <c r="K1294" s="46">
        <v>2</v>
      </c>
      <c r="L1294" s="46"/>
      <c r="M1294" s="46">
        <v>2</v>
      </c>
      <c r="N1294" s="46">
        <v>2</v>
      </c>
      <c r="O1294" s="46">
        <v>2</v>
      </c>
      <c r="P1294" s="46">
        <v>2</v>
      </c>
      <c r="Q1294" s="46">
        <v>2</v>
      </c>
      <c r="R1294" s="46">
        <v>2</v>
      </c>
      <c r="S1294" s="46"/>
      <c r="T1294" s="46">
        <v>2</v>
      </c>
      <c r="U1294" s="46">
        <v>2</v>
      </c>
      <c r="V1294" s="46">
        <v>2</v>
      </c>
      <c r="W1294" s="46">
        <v>2</v>
      </c>
      <c r="X1294" s="46">
        <v>2</v>
      </c>
      <c r="Y1294" s="46">
        <v>2</v>
      </c>
      <c r="Z1294" s="46"/>
      <c r="AA1294" s="46">
        <v>2</v>
      </c>
      <c r="AB1294" s="46">
        <v>2</v>
      </c>
      <c r="AC1294" s="46">
        <v>2</v>
      </c>
      <c r="AD1294" s="46">
        <v>2</v>
      </c>
      <c r="AE1294" s="46">
        <v>2</v>
      </c>
      <c r="AF1294" s="46">
        <v>2</v>
      </c>
      <c r="AG1294" s="46"/>
      <c r="AH1294" s="46"/>
      <c r="AI1294" s="46">
        <v>2</v>
      </c>
      <c r="AJ1294" s="46"/>
      <c r="AK1294" s="46"/>
      <c r="AL1294" s="46"/>
      <c r="AM1294" s="1"/>
      <c r="AN1294" s="1"/>
      <c r="AO1294" s="1"/>
      <c r="AP1294" s="1"/>
      <c r="AQ1294" s="1"/>
      <c r="AR1294" s="1"/>
      <c r="AS1294" s="1"/>
      <c r="AT1294" s="1"/>
      <c r="AU1294" s="1"/>
      <c r="AV1294" s="1"/>
      <c r="AW1294" s="1"/>
      <c r="AX1294" s="1"/>
      <c r="AY1294" s="1"/>
    </row>
    <row r="1295" ht="16" customHeight="1" spans="1:51" x14ac:dyDescent="0.25">
      <c r="A1295" s="45"/>
      <c r="B1295" s="46" t="s">
        <v>1346</v>
      </c>
      <c r="C1295" s="46" t="s">
        <v>1347</v>
      </c>
      <c r="D1295" s="46" t="s">
        <v>29</v>
      </c>
      <c r="E1295" s="46" t="s">
        <v>1348</v>
      </c>
      <c r="F1295" s="46" t="s">
        <v>1348</v>
      </c>
      <c r="G1295" s="46" t="s">
        <v>37</v>
      </c>
      <c r="H1295" s="46" t="s">
        <v>1348</v>
      </c>
      <c r="I1295" s="46" t="s">
        <v>1348</v>
      </c>
      <c r="J1295" s="46" t="s">
        <v>1348</v>
      </c>
      <c r="K1295" s="46" t="s">
        <v>1348</v>
      </c>
      <c r="L1295" s="46" t="s">
        <v>1348</v>
      </c>
      <c r="M1295" s="46" t="s">
        <v>1348</v>
      </c>
      <c r="N1295" s="46" t="s">
        <v>1348</v>
      </c>
      <c r="O1295" s="46" t="s">
        <v>1348</v>
      </c>
      <c r="P1295" s="46" t="s">
        <v>1348</v>
      </c>
      <c r="Q1295" s="46" t="s">
        <v>1348</v>
      </c>
      <c r="R1295" s="46" t="s">
        <v>37</v>
      </c>
      <c r="S1295" s="46" t="s">
        <v>1348</v>
      </c>
      <c r="T1295" s="46" t="s">
        <v>1348</v>
      </c>
      <c r="U1295" s="46" t="s">
        <v>1348</v>
      </c>
      <c r="V1295" s="46" t="s">
        <v>1348</v>
      </c>
      <c r="W1295" s="46" t="s">
        <v>1348</v>
      </c>
      <c r="X1295" s="46" t="s">
        <v>1348</v>
      </c>
      <c r="Y1295" s="46" t="s">
        <v>37</v>
      </c>
      <c r="Z1295" s="46" t="s">
        <v>1348</v>
      </c>
      <c r="AA1295" s="46" t="s">
        <v>1348</v>
      </c>
      <c r="AB1295" s="46" t="s">
        <v>1348</v>
      </c>
      <c r="AC1295" s="46" t="s">
        <v>1348</v>
      </c>
      <c r="AD1295" s="46" t="s">
        <v>1348</v>
      </c>
      <c r="AE1295" s="46" t="s">
        <v>1348</v>
      </c>
      <c r="AF1295" s="46" t="s">
        <v>37</v>
      </c>
      <c r="AG1295" s="46" t="s">
        <v>1348</v>
      </c>
      <c r="AH1295" s="46" t="s">
        <v>43</v>
      </c>
      <c r="AI1295" s="46" t="s">
        <v>1348</v>
      </c>
      <c r="AJ1295" s="46">
        <f>=SUM(E1296:AI1296)</f>
      </c>
      <c r="AK1295" s="46">
        <f>=+AY1295</f>
      </c>
      <c r="AL1295" s="46"/>
      <c r="AM1295" s="1"/>
      <c r="AN1295" s="1">
        <f>=COUNTIF(E1295:AI1295,"A")+COUNTIF(E1295:AI1295,"B")+COUNTIF(E1295:AI1295,"C")+COUNTIF(E1295:AI1295,"D")+COUNTIF(E1295:AI1295,"E")+COUNTIF(E1295:AI1295,"F")+COUNTIF(E1295:AI1295,"M")+COUNTIF(E1295:AI1295,"AB")+COUNTIF(E1295:AI1295,"UZ")+COUNTIF(E1295:AI1295,"G")+(COUNTIF(E1295:AI1295,"RT.")/2)+(COUNTIF(E1295:AI1295,"ÇRT.")/2)</f>
      </c>
      <c r="AO1295" s="1">
        <f>=COUNTIF(E1295:AI1295,"O")</f>
      </c>
      <c r="AP1295" s="1">
        <f>=COUNTIF(E1295:AI1295,"RT")+(COUNTIF(E1295:AI1295,"RT.")/2)</f>
      </c>
      <c r="AQ1295" s="1">
        <f>=COUNTIF(E1295:AI1295,"ÇRT")+(COUNTIF(E1295:AI1295,"ÇRT.")/2)</f>
      </c>
      <c r="AR1295" s="1">
        <f>=COUNTIF(E1295:AI1295,"ÇHT")</f>
      </c>
      <c r="AS1295" s="1">
        <f>=COUNTIF(E1295:AI1295,"Ö")+COUNTIF(E1295:AI1295,"T")</f>
      </c>
      <c r="AT1295" s="1">
        <f>=COUNTIF(E1295:AI1295,"Y")</f>
      </c>
      <c r="AU1295" s="1">
        <f>=COUNTIF(E1295:AI1295,"R.")</f>
      </c>
      <c r="AV1295" s="1">
        <f>=COUNTIF(E1295:AI1295,"Ü")</f>
      </c>
      <c r="AW1295" s="1">
        <f>=COUNTIF(E1295:AI1295,"R")</f>
      </c>
      <c r="AX1295" s="1">
        <f>=COUNTIF(E1295:AI1295,"DV")</f>
      </c>
      <c r="AY1295" s="1">
        <f>=+AN1295+AO1295+AP1295+AQ1295+AR1295+AS1295+AT1295+AU1295</f>
      </c>
    </row>
    <row r="1296" ht="16" customHeight="1" spans="1:51" x14ac:dyDescent="0.25">
      <c r="A1296" s="45"/>
      <c r="B1296" s="46"/>
      <c r="C1296" s="46"/>
      <c r="D1296" s="46" t="s">
        <v>33</v>
      </c>
      <c r="E1296" s="46"/>
      <c r="F1296" s="46"/>
      <c r="G1296" s="46"/>
      <c r="H1296" s="46"/>
      <c r="I1296" s="46">
        <v>2</v>
      </c>
      <c r="J1296" s="46"/>
      <c r="K1296" s="46">
        <v>2</v>
      </c>
      <c r="L1296" s="46">
        <v>2</v>
      </c>
      <c r="M1296" s="46"/>
      <c r="N1296" s="46"/>
      <c r="O1296" s="46"/>
      <c r="P1296" s="46"/>
      <c r="Q1296" s="46"/>
      <c r="R1296" s="46"/>
      <c r="S1296" s="46">
        <v>2</v>
      </c>
      <c r="T1296" s="46"/>
      <c r="U1296" s="46"/>
      <c r="V1296" s="46">
        <v>2</v>
      </c>
      <c r="W1296" s="46"/>
      <c r="X1296" s="46"/>
      <c r="Y1296" s="46"/>
      <c r="Z1296" s="46"/>
      <c r="AA1296" s="46"/>
      <c r="AB1296" s="46"/>
      <c r="AC1296" s="46"/>
      <c r="AD1296" s="46">
        <v>2</v>
      </c>
      <c r="AE1296" s="46"/>
      <c r="AF1296" s="46"/>
      <c r="AG1296" s="46"/>
      <c r="AH1296" s="46"/>
      <c r="AI1296" s="46"/>
      <c r="AJ1296" s="46"/>
      <c r="AK1296" s="46"/>
      <c r="AL1296" s="46"/>
      <c r="AM1296" s="1"/>
      <c r="AN1296" s="1"/>
      <c r="AO1296" s="1"/>
      <c r="AP1296" s="1"/>
      <c r="AQ1296" s="1"/>
      <c r="AR1296" s="1"/>
      <c r="AS1296" s="1"/>
      <c r="AT1296" s="1"/>
      <c r="AU1296" s="1"/>
      <c r="AV1296" s="1"/>
      <c r="AW1296" s="1"/>
      <c r="AX1296" s="1"/>
      <c r="AY1296" s="1"/>
    </row>
    <row r="1297" ht="16" customHeight="1" spans="1:51" x14ac:dyDescent="0.25">
      <c r="A1297" s="45"/>
      <c r="B1297" s="46" t="s">
        <v>1349</v>
      </c>
      <c r="C1297" s="46" t="s">
        <v>1350</v>
      </c>
      <c r="D1297" s="46" t="s">
        <v>29</v>
      </c>
      <c r="E1297" s="46" t="s">
        <v>37</v>
      </c>
      <c r="F1297" s="46" t="s">
        <v>59</v>
      </c>
      <c r="G1297" s="46" t="s">
        <v>59</v>
      </c>
      <c r="H1297" s="46" t="s">
        <v>59</v>
      </c>
      <c r="I1297" s="46" t="s">
        <v>31</v>
      </c>
      <c r="J1297" s="46" t="s">
        <v>59</v>
      </c>
      <c r="K1297" s="46" t="s">
        <v>59</v>
      </c>
      <c r="L1297" s="46" t="s">
        <v>37</v>
      </c>
      <c r="M1297" s="46" t="s">
        <v>59</v>
      </c>
      <c r="N1297" s="46" t="s">
        <v>59</v>
      </c>
      <c r="O1297" s="46" t="s">
        <v>59</v>
      </c>
      <c r="P1297" s="46" t="s">
        <v>59</v>
      </c>
      <c r="Q1297" s="46" t="s">
        <v>59</v>
      </c>
      <c r="R1297" s="46" t="s">
        <v>59</v>
      </c>
      <c r="S1297" s="46" t="s">
        <v>37</v>
      </c>
      <c r="T1297" s="46" t="s">
        <v>59</v>
      </c>
      <c r="U1297" s="46" t="s">
        <v>59</v>
      </c>
      <c r="V1297" s="46" t="s">
        <v>59</v>
      </c>
      <c r="W1297" s="46" t="s">
        <v>59</v>
      </c>
      <c r="X1297" s="46" t="s">
        <v>59</v>
      </c>
      <c r="Y1297" s="46" t="s">
        <v>59</v>
      </c>
      <c r="Z1297" s="46" t="s">
        <v>37</v>
      </c>
      <c r="AA1297" s="46" t="s">
        <v>59</v>
      </c>
      <c r="AB1297" s="46" t="s">
        <v>59</v>
      </c>
      <c r="AC1297" s="46" t="s">
        <v>59</v>
      </c>
      <c r="AD1297" s="46" t="s">
        <v>59</v>
      </c>
      <c r="AE1297" s="46" t="s">
        <v>37</v>
      </c>
      <c r="AF1297" s="46" t="s">
        <v>59</v>
      </c>
      <c r="AG1297" s="46" t="s">
        <v>59</v>
      </c>
      <c r="AH1297" s="46" t="s">
        <v>43</v>
      </c>
      <c r="AI1297" s="46" t="s">
        <v>59</v>
      </c>
      <c r="AJ1297" s="46">
        <f>=SUM(E1298:AI1298)</f>
      </c>
      <c r="AK1297" s="46">
        <f>=+AY1297</f>
      </c>
      <c r="AL1297" s="46"/>
      <c r="AM1297" s="1"/>
      <c r="AN1297" s="1">
        <f>=COUNTIF(E1297:AI1297,"A")+COUNTIF(E1297:AI1297,"B")+COUNTIF(E1297:AI1297,"C")+COUNTIF(E1297:AI1297,"D")+COUNTIF(E1297:AI1297,"E")+COUNTIF(E1297:AI1297,"F")+COUNTIF(E1297:AI1297,"M")+COUNTIF(E1297:AI1297,"AB")+COUNTIF(E1297:AI1297,"UZ")+COUNTIF(E1297:AI1297,"G")+(COUNTIF(E1297:AI1297,"RT.")/2)+(COUNTIF(E1297:AI1297,"ÇRT.")/2)</f>
      </c>
      <c r="AO1297" s="1">
        <f>=COUNTIF(E1297:AI1297,"O")</f>
      </c>
      <c r="AP1297" s="1">
        <f>=COUNTIF(E1297:AI1297,"RT")+(COUNTIF(E1297:AI1297,"RT.")/2)</f>
      </c>
      <c r="AQ1297" s="1">
        <f>=COUNTIF(E1297:AI1297,"ÇRT")+(COUNTIF(E1297:AI1297,"ÇRT.")/2)</f>
      </c>
      <c r="AR1297" s="1">
        <f>=COUNTIF(E1297:AI1297,"ÇHT")</f>
      </c>
      <c r="AS1297" s="1">
        <f>=COUNTIF(E1297:AI1297,"Ö")+COUNTIF(E1297:AI1297,"T")</f>
      </c>
      <c r="AT1297" s="1">
        <f>=COUNTIF(E1297:AI1297,"Y")</f>
      </c>
      <c r="AU1297" s="1">
        <f>=COUNTIF(E1297:AI1297,"R.")</f>
      </c>
      <c r="AV1297" s="1">
        <f>=COUNTIF(E1297:AI1297,"Ü")</f>
      </c>
      <c r="AW1297" s="1">
        <f>=COUNTIF(E1297:AI1297,"R")</f>
      </c>
      <c r="AX1297" s="1">
        <f>=COUNTIF(E1297:AI1297,"DV")</f>
      </c>
      <c r="AY1297" s="1">
        <f>=+AN1297+AO1297+AP1297+AQ1297+AR1297+AS1297+AT1297+AU1297</f>
      </c>
    </row>
    <row r="1298" ht="16" customHeight="1" spans="1:51" x14ac:dyDescent="0.25">
      <c r="A1298" s="45"/>
      <c r="B1298" s="46"/>
      <c r="C1298" s="46"/>
      <c r="D1298" s="46" t="s">
        <v>33</v>
      </c>
      <c r="E1298" s="46"/>
      <c r="F1298" s="46"/>
      <c r="G1298" s="46"/>
      <c r="H1298" s="46"/>
      <c r="I1298" s="46"/>
      <c r="J1298" s="46"/>
      <c r="K1298" s="46"/>
      <c r="L1298" s="46"/>
      <c r="M1298" s="46"/>
      <c r="N1298" s="46"/>
      <c r="O1298" s="46"/>
      <c r="P1298" s="46"/>
      <c r="Q1298" s="46"/>
      <c r="R1298" s="46"/>
      <c r="S1298" s="46"/>
      <c r="T1298" s="46"/>
      <c r="U1298" s="46"/>
      <c r="V1298" s="46"/>
      <c r="W1298" s="46"/>
      <c r="X1298" s="46"/>
      <c r="Y1298" s="46"/>
      <c r="Z1298" s="46"/>
      <c r="AA1298" s="46"/>
      <c r="AB1298" s="46"/>
      <c r="AC1298" s="46"/>
      <c r="AD1298" s="46"/>
      <c r="AE1298" s="46"/>
      <c r="AF1298" s="46"/>
      <c r="AG1298" s="46"/>
      <c r="AH1298" s="46">
        <v>2</v>
      </c>
      <c r="AI1298" s="46"/>
      <c r="AJ1298" s="46"/>
      <c r="AK1298" s="46"/>
      <c r="AL1298" s="46"/>
      <c r="AM1298" s="1"/>
      <c r="AN1298" s="1"/>
      <c r="AO1298" s="1"/>
      <c r="AP1298" s="1"/>
      <c r="AQ1298" s="1"/>
      <c r="AR1298" s="1"/>
      <c r="AS1298" s="1"/>
      <c r="AT1298" s="1"/>
      <c r="AU1298" s="1"/>
      <c r="AV1298" s="1"/>
      <c r="AW1298" s="1"/>
      <c r="AX1298" s="1"/>
      <c r="AY1298" s="1"/>
    </row>
    <row r="1299" ht="16" customHeight="1" spans="1:51" x14ac:dyDescent="0.25">
      <c r="A1299" s="45"/>
      <c r="B1299" s="46" t="s">
        <v>1351</v>
      </c>
      <c r="C1299" s="46" t="s">
        <v>1352</v>
      </c>
      <c r="D1299" s="46" t="s">
        <v>29</v>
      </c>
      <c r="E1299" s="46" t="s">
        <v>59</v>
      </c>
      <c r="F1299" s="46" t="s">
        <v>46</v>
      </c>
      <c r="G1299" s="46" t="s">
        <v>59</v>
      </c>
      <c r="H1299" s="46" t="s">
        <v>59</v>
      </c>
      <c r="I1299" s="46" t="s">
        <v>59</v>
      </c>
      <c r="J1299" s="46" t="s">
        <v>59</v>
      </c>
      <c r="K1299" s="46" t="s">
        <v>37</v>
      </c>
      <c r="L1299" s="46" t="s">
        <v>59</v>
      </c>
      <c r="M1299" s="46" t="s">
        <v>46</v>
      </c>
      <c r="N1299" s="46" t="s">
        <v>59</v>
      </c>
      <c r="O1299" s="46" t="s">
        <v>59</v>
      </c>
      <c r="P1299" s="46" t="s">
        <v>59</v>
      </c>
      <c r="Q1299" s="46" t="s">
        <v>59</v>
      </c>
      <c r="R1299" s="46" t="s">
        <v>37</v>
      </c>
      <c r="S1299" s="46" t="s">
        <v>59</v>
      </c>
      <c r="T1299" s="46" t="s">
        <v>46</v>
      </c>
      <c r="U1299" s="46" t="s">
        <v>59</v>
      </c>
      <c r="V1299" s="46" t="s">
        <v>59</v>
      </c>
      <c r="W1299" s="46" t="s">
        <v>59</v>
      </c>
      <c r="X1299" s="46" t="s">
        <v>59</v>
      </c>
      <c r="Y1299" s="46" t="s">
        <v>37</v>
      </c>
      <c r="Z1299" s="46"/>
      <c r="AA1299" s="46"/>
      <c r="AB1299" s="46"/>
      <c r="AC1299" s="46"/>
      <c r="AD1299" s="46"/>
      <c r="AE1299" s="46"/>
      <c r="AF1299" s="46"/>
      <c r="AG1299" s="46"/>
      <c r="AH1299" s="46"/>
      <c r="AI1299" s="46"/>
      <c r="AJ1299" s="46">
        <f>=SUM(E1300:AI1300)</f>
      </c>
      <c r="AK1299" s="46">
        <f>=+AY1299</f>
      </c>
      <c r="AL1299" s="46"/>
      <c r="AM1299" s="1"/>
      <c r="AN1299" s="1">
        <f>=COUNTIF(E1299:AI1299,"A")+COUNTIF(E1299:AI1299,"B")+COUNTIF(E1299:AI1299,"C")+COUNTIF(E1299:AI1299,"D")+COUNTIF(E1299:AI1299,"E")+COUNTIF(E1299:AI1299,"F")+COUNTIF(E1299:AI1299,"M")+COUNTIF(E1299:AI1299,"AB")+COUNTIF(E1299:AI1299,"UZ")+COUNTIF(E1299:AI1299,"G")+(COUNTIF(E1299:AI1299,"RT.")/2)+(COUNTIF(E1299:AI1299,"ÇRT.")/2)</f>
      </c>
      <c r="AO1299" s="1">
        <f>=COUNTIF(E1299:AI1299,"O")</f>
      </c>
      <c r="AP1299" s="1">
        <f>=COUNTIF(E1299:AI1299,"RT")+(COUNTIF(E1299:AI1299,"RT.")/2)</f>
      </c>
      <c r="AQ1299" s="1">
        <f>=COUNTIF(E1299:AI1299,"ÇRT")+(COUNTIF(E1299:AI1299,"ÇRT.")/2)</f>
      </c>
      <c r="AR1299" s="1">
        <f>=COUNTIF(E1299:AI1299,"ÇHT")</f>
      </c>
      <c r="AS1299" s="1">
        <f>=COUNTIF(E1299:AI1299,"Ö")+COUNTIF(E1299:AI1299,"T")</f>
      </c>
      <c r="AT1299" s="1">
        <f>=COUNTIF(E1299:AI1299,"Y")</f>
      </c>
      <c r="AU1299" s="1">
        <f>=COUNTIF(E1299:AI1299,"R.")</f>
      </c>
      <c r="AV1299" s="1">
        <f>=COUNTIF(E1299:AI1299,"Ü")</f>
      </c>
      <c r="AW1299" s="1">
        <f>=COUNTIF(E1299:AI1299,"R")</f>
      </c>
      <c r="AX1299" s="1">
        <f>=COUNTIF(E1299:AI1299,"DV")</f>
      </c>
      <c r="AY1299" s="1">
        <f>=+AN1299+AO1299+AP1299+AQ1299+AR1299+AS1299+AT1299+AU1299</f>
      </c>
    </row>
    <row r="1300" ht="16" customHeight="1" spans="1:51" x14ac:dyDescent="0.25">
      <c r="A1300" s="45"/>
      <c r="B1300" s="46"/>
      <c r="C1300" s="46"/>
      <c r="D1300" s="46" t="s">
        <v>33</v>
      </c>
      <c r="E1300" s="46"/>
      <c r="F1300" s="46">
        <v>2</v>
      </c>
      <c r="G1300" s="46"/>
      <c r="H1300" s="46"/>
      <c r="I1300" s="46"/>
      <c r="J1300" s="46"/>
      <c r="K1300" s="46"/>
      <c r="L1300" s="46"/>
      <c r="M1300" s="46">
        <v>2</v>
      </c>
      <c r="N1300" s="46"/>
      <c r="O1300" s="46"/>
      <c r="P1300" s="46"/>
      <c r="Q1300" s="46"/>
      <c r="R1300" s="46"/>
      <c r="S1300" s="46"/>
      <c r="T1300" s="46">
        <v>2</v>
      </c>
      <c r="U1300" s="46"/>
      <c r="V1300" s="46"/>
      <c r="W1300" s="46"/>
      <c r="X1300" s="46"/>
      <c r="Y1300" s="46"/>
      <c r="Z1300" s="46"/>
      <c r="AA1300" s="46"/>
      <c r="AB1300" s="46"/>
      <c r="AC1300" s="46"/>
      <c r="AD1300" s="46"/>
      <c r="AE1300" s="46"/>
      <c r="AF1300" s="46"/>
      <c r="AG1300" s="46"/>
      <c r="AH1300" s="46"/>
      <c r="AI1300" s="46"/>
      <c r="AJ1300" s="46"/>
      <c r="AK1300" s="46"/>
      <c r="AL1300" s="46"/>
      <c r="AM1300" s="1"/>
      <c r="AN1300" s="1"/>
      <c r="AO1300" s="1"/>
      <c r="AP1300" s="1"/>
      <c r="AQ1300" s="1"/>
      <c r="AR1300" s="1"/>
      <c r="AS1300" s="1"/>
      <c r="AT1300" s="1"/>
      <c r="AU1300" s="1"/>
      <c r="AV1300" s="1"/>
      <c r="AW1300" s="1"/>
      <c r="AX1300" s="1"/>
      <c r="AY1300" s="1"/>
    </row>
    <row r="1301" ht="16" customHeight="1" spans="1:51" x14ac:dyDescent="0.25">
      <c r="A1301" s="45"/>
      <c r="B1301" s="46" t="s">
        <v>1353</v>
      </c>
      <c r="C1301" s="46" t="s">
        <v>1354</v>
      </c>
      <c r="D1301" s="46" t="s">
        <v>29</v>
      </c>
      <c r="E1301" s="46"/>
      <c r="F1301" s="46"/>
      <c r="G1301" s="46"/>
      <c r="H1301" s="46"/>
      <c r="I1301" s="46"/>
      <c r="J1301" s="46"/>
      <c r="K1301" s="46"/>
      <c r="L1301" s="46"/>
      <c r="M1301" s="46"/>
      <c r="N1301" s="46"/>
      <c r="O1301" s="46"/>
      <c r="P1301" s="46"/>
      <c r="Q1301" s="46"/>
      <c r="R1301" s="46"/>
      <c r="S1301" s="46"/>
      <c r="T1301" s="46"/>
      <c r="U1301" s="46"/>
      <c r="V1301" s="46"/>
      <c r="W1301" s="46"/>
      <c r="X1301" s="46"/>
      <c r="Y1301" s="46"/>
      <c r="Z1301" s="46"/>
      <c r="AA1301" s="46"/>
      <c r="AB1301" s="46"/>
      <c r="AC1301" s="46"/>
      <c r="AD1301" s="46"/>
      <c r="AE1301" s="46"/>
      <c r="AF1301" s="46"/>
      <c r="AG1301" s="46"/>
      <c r="AH1301" s="46"/>
      <c r="AI1301" s="46"/>
      <c r="AJ1301" s="46">
        <f>=SUM(E1302:AI1302)</f>
      </c>
      <c r="AK1301" s="46">
        <f>=+AY1301</f>
      </c>
      <c r="AL1301" s="46"/>
      <c r="AM1301" s="1"/>
      <c r="AN1301" s="1">
        <f>=COUNTIF(E1301:AI1301,"A")+COUNTIF(E1301:AI1301,"B")+COUNTIF(E1301:AI1301,"C")+COUNTIF(E1301:AI1301,"D")+COUNTIF(E1301:AI1301,"E")+COUNTIF(E1301:AI1301,"F")+COUNTIF(E1301:AI1301,"M")+COUNTIF(E1301:AI1301,"AB")+COUNTIF(E1301:AI1301,"UZ")+COUNTIF(E1301:AI1301,"G")+(COUNTIF(E1301:AI1301,"RT.")/2)+(COUNTIF(E1301:AI1301,"ÇRT.")/2)</f>
      </c>
      <c r="AO1301" s="1">
        <f>=COUNTIF(E1301:AI1301,"O")</f>
      </c>
      <c r="AP1301" s="1">
        <f>=COUNTIF(E1301:AI1301,"RT")+(COUNTIF(E1301:AI1301,"RT.")/2)</f>
      </c>
      <c r="AQ1301" s="1">
        <f>=COUNTIF(E1301:AI1301,"ÇRT")+(COUNTIF(E1301:AI1301,"ÇRT.")/2)</f>
      </c>
      <c r="AR1301" s="1">
        <f>=COUNTIF(E1301:AI1301,"ÇHT")</f>
      </c>
      <c r="AS1301" s="1">
        <f>=COUNTIF(E1301:AI1301,"Ö")+COUNTIF(E1301:AI1301,"T")</f>
      </c>
      <c r="AT1301" s="1">
        <f>=COUNTIF(E1301:AI1301,"Y")</f>
      </c>
      <c r="AU1301" s="1">
        <f>=COUNTIF(E1301:AI1301,"R.")</f>
      </c>
      <c r="AV1301" s="1">
        <f>=COUNTIF(E1301:AI1301,"Ü")</f>
      </c>
      <c r="AW1301" s="1">
        <f>=COUNTIF(E1301:AI1301,"R")</f>
      </c>
      <c r="AX1301" s="1">
        <f>=COUNTIF(E1301:AI1301,"DV")</f>
      </c>
      <c r="AY1301" s="1">
        <f>=+AN1301+AO1301+AP1301+AQ1301+AR1301+AS1301+AT1301+AU1301</f>
      </c>
    </row>
    <row r="1302" ht="16" customHeight="1" spans="1:51" x14ac:dyDescent="0.25">
      <c r="A1302" s="45"/>
      <c r="B1302" s="46"/>
      <c r="C1302" s="46"/>
      <c r="D1302" s="46" t="s">
        <v>33</v>
      </c>
      <c r="E1302" s="46"/>
      <c r="F1302" s="46"/>
      <c r="G1302" s="46"/>
      <c r="H1302" s="46"/>
      <c r="I1302" s="46"/>
      <c r="J1302" s="46"/>
      <c r="K1302" s="46"/>
      <c r="L1302" s="46"/>
      <c r="M1302" s="46"/>
      <c r="N1302" s="46"/>
      <c r="O1302" s="46"/>
      <c r="P1302" s="46"/>
      <c r="Q1302" s="46"/>
      <c r="R1302" s="46"/>
      <c r="S1302" s="46"/>
      <c r="T1302" s="46"/>
      <c r="U1302" s="46"/>
      <c r="V1302" s="46"/>
      <c r="W1302" s="46"/>
      <c r="X1302" s="46"/>
      <c r="Y1302" s="46"/>
      <c r="Z1302" s="46"/>
      <c r="AA1302" s="46"/>
      <c r="AB1302" s="46"/>
      <c r="AC1302" s="46"/>
      <c r="AD1302" s="46"/>
      <c r="AE1302" s="46"/>
      <c r="AF1302" s="46"/>
      <c r="AG1302" s="46"/>
      <c r="AH1302" s="46"/>
      <c r="AI1302" s="46"/>
      <c r="AJ1302" s="46"/>
      <c r="AK1302" s="46"/>
      <c r="AL1302" s="46"/>
      <c r="AM1302" s="1"/>
      <c r="AN1302" s="1"/>
      <c r="AO1302" s="1"/>
      <c r="AP1302" s="1"/>
      <c r="AQ1302" s="1"/>
      <c r="AR1302" s="1"/>
      <c r="AS1302" s="1"/>
      <c r="AT1302" s="1"/>
      <c r="AU1302" s="1"/>
      <c r="AV1302" s="1"/>
      <c r="AW1302" s="1"/>
      <c r="AX1302" s="1"/>
      <c r="AY1302" s="1"/>
    </row>
    <row r="1303" ht="16" customHeight="1" spans="1:51" x14ac:dyDescent="0.25">
      <c r="A1303" s="45"/>
      <c r="B1303" s="46" t="s">
        <v>1355</v>
      </c>
      <c r="C1303" s="46" t="s">
        <v>1356</v>
      </c>
      <c r="D1303" s="46" t="s">
        <v>29</v>
      </c>
      <c r="E1303" s="46" t="s">
        <v>42</v>
      </c>
      <c r="F1303" s="46" t="s">
        <v>46</v>
      </c>
      <c r="G1303" s="46" t="s">
        <v>59</v>
      </c>
      <c r="H1303" s="46" t="s">
        <v>37</v>
      </c>
      <c r="I1303" s="46" t="s">
        <v>59</v>
      </c>
      <c r="J1303" s="46" t="s">
        <v>59</v>
      </c>
      <c r="K1303" s="46" t="s">
        <v>59</v>
      </c>
      <c r="L1303" s="46" t="s">
        <v>59</v>
      </c>
      <c r="M1303" s="46" t="s">
        <v>59</v>
      </c>
      <c r="N1303" s="46" t="s">
        <v>59</v>
      </c>
      <c r="O1303" s="46" t="s">
        <v>37</v>
      </c>
      <c r="P1303" s="46" t="s">
        <v>59</v>
      </c>
      <c r="Q1303" s="46" t="s">
        <v>59</v>
      </c>
      <c r="R1303" s="46" t="s">
        <v>59</v>
      </c>
      <c r="S1303" s="46" t="s">
        <v>59</v>
      </c>
      <c r="T1303" s="46" t="s">
        <v>59</v>
      </c>
      <c r="U1303" s="46" t="s">
        <v>59</v>
      </c>
      <c r="V1303" s="46" t="s">
        <v>37</v>
      </c>
      <c r="W1303" s="46" t="s">
        <v>59</v>
      </c>
      <c r="X1303" s="46" t="s">
        <v>59</v>
      </c>
      <c r="Y1303" s="46" t="s">
        <v>59</v>
      </c>
      <c r="Z1303" s="46" t="s">
        <v>59</v>
      </c>
      <c r="AA1303" s="46" t="s">
        <v>59</v>
      </c>
      <c r="AB1303" s="46" t="s">
        <v>37</v>
      </c>
      <c r="AC1303" s="46" t="s">
        <v>337</v>
      </c>
      <c r="AD1303" s="46" t="s">
        <v>337</v>
      </c>
      <c r="AE1303" s="46" t="s">
        <v>337</v>
      </c>
      <c r="AF1303" s="46" t="s">
        <v>337</v>
      </c>
      <c r="AG1303" s="46" t="s">
        <v>337</v>
      </c>
      <c r="AH1303" s="46" t="s">
        <v>154</v>
      </c>
      <c r="AI1303" s="46"/>
      <c r="AJ1303" s="46">
        <f>=SUM(E1304:AI1304)</f>
      </c>
      <c r="AK1303" s="46">
        <f>=+AY1303</f>
      </c>
      <c r="AL1303" s="46"/>
      <c r="AM1303" s="1"/>
      <c r="AN1303" s="1">
        <f>=COUNTIF(E1303:AI1303,"A")+COUNTIF(E1303:AI1303,"B")+COUNTIF(E1303:AI1303,"C")+COUNTIF(E1303:AI1303,"D")+COUNTIF(E1303:AI1303,"E")+COUNTIF(E1303:AI1303,"F")+COUNTIF(E1303:AI1303,"M")+COUNTIF(E1303:AI1303,"AB")+COUNTIF(E1303:AI1303,"UZ")+COUNTIF(E1303:AI1303,"G")+(COUNTIF(E1303:AI1303,"RT.")/2)+(COUNTIF(E1303:AI1303,"ÇRT.")/2)</f>
      </c>
      <c r="AO1303" s="1">
        <f>=COUNTIF(E1303:AI1303,"O")</f>
      </c>
      <c r="AP1303" s="1">
        <f>=COUNTIF(E1303:AI1303,"RT")+(COUNTIF(E1303:AI1303,"RT.")/2)</f>
      </c>
      <c r="AQ1303" s="1">
        <f>=COUNTIF(E1303:AI1303,"ÇRT")+(COUNTIF(E1303:AI1303,"ÇRT.")/2)</f>
      </c>
      <c r="AR1303" s="1">
        <f>=COUNTIF(E1303:AI1303,"ÇHT")</f>
      </c>
      <c r="AS1303" s="1">
        <f>=COUNTIF(E1303:AI1303,"Ö")+COUNTIF(E1303:AI1303,"T")</f>
      </c>
      <c r="AT1303" s="1">
        <f>=COUNTIF(E1303:AI1303,"Y")</f>
      </c>
      <c r="AU1303" s="1">
        <f>=COUNTIF(E1303:AI1303,"R.")</f>
      </c>
      <c r="AV1303" s="1">
        <f>=COUNTIF(E1303:AI1303,"Ü")</f>
      </c>
      <c r="AW1303" s="1">
        <f>=COUNTIF(E1303:AI1303,"R")</f>
      </c>
      <c r="AX1303" s="1">
        <f>=COUNTIF(E1303:AI1303,"DV")</f>
      </c>
      <c r="AY1303" s="1">
        <f>=+AN1303+AO1303+AP1303+AQ1303+AR1303+AS1303+AT1303+AU1303</f>
      </c>
    </row>
    <row r="1304" ht="16" customHeight="1" spans="1:51" x14ac:dyDescent="0.25">
      <c r="A1304" s="45"/>
      <c r="B1304" s="46"/>
      <c r="C1304" s="46"/>
      <c r="D1304" s="46" t="s">
        <v>33</v>
      </c>
      <c r="E1304" s="46">
        <v>2</v>
      </c>
      <c r="F1304" s="46"/>
      <c r="G1304" s="46">
        <v>2</v>
      </c>
      <c r="H1304" s="46"/>
      <c r="I1304" s="46"/>
      <c r="J1304" s="46"/>
      <c r="K1304" s="46"/>
      <c r="L1304" s="46"/>
      <c r="M1304" s="46"/>
      <c r="N1304" s="46"/>
      <c r="O1304" s="46"/>
      <c r="P1304" s="46"/>
      <c r="Q1304" s="46"/>
      <c r="R1304" s="46"/>
      <c r="S1304" s="46"/>
      <c r="T1304" s="46"/>
      <c r="U1304" s="46">
        <v>2</v>
      </c>
      <c r="V1304" s="46"/>
      <c r="W1304" s="46"/>
      <c r="X1304" s="46"/>
      <c r="Y1304" s="46"/>
      <c r="Z1304" s="46"/>
      <c r="AA1304" s="46"/>
      <c r="AB1304" s="46"/>
      <c r="AC1304" s="46"/>
      <c r="AD1304" s="46"/>
      <c r="AE1304" s="46"/>
      <c r="AF1304" s="46"/>
      <c r="AG1304" s="46"/>
      <c r="AH1304" s="46"/>
      <c r="AI1304" s="46"/>
      <c r="AJ1304" s="46"/>
      <c r="AK1304" s="46"/>
      <c r="AL1304" s="46"/>
      <c r="AM1304" s="1"/>
      <c r="AN1304" s="1"/>
      <c r="AO1304" s="1"/>
      <c r="AP1304" s="1"/>
      <c r="AQ1304" s="1"/>
      <c r="AR1304" s="1"/>
      <c r="AS1304" s="1"/>
      <c r="AT1304" s="1"/>
      <c r="AU1304" s="1"/>
      <c r="AV1304" s="1"/>
      <c r="AW1304" s="1"/>
      <c r="AX1304" s="1"/>
      <c r="AY1304" s="1"/>
    </row>
    <row r="1305" ht="16" customHeight="1" spans="1:51" x14ac:dyDescent="0.25">
      <c r="A1305" s="45"/>
      <c r="B1305" s="46" t="s">
        <v>1357</v>
      </c>
      <c r="C1305" s="46" t="s">
        <v>1358</v>
      </c>
      <c r="D1305" s="46" t="s">
        <v>29</v>
      </c>
      <c r="E1305" s="46" t="s">
        <v>36</v>
      </c>
      <c r="F1305" s="46" t="s">
        <v>37</v>
      </c>
      <c r="G1305" s="46" t="s">
        <v>36</v>
      </c>
      <c r="H1305" s="46" t="s">
        <v>36</v>
      </c>
      <c r="I1305" s="46" t="s">
        <v>36</v>
      </c>
      <c r="J1305" s="46" t="s">
        <v>36</v>
      </c>
      <c r="K1305" s="46" t="s">
        <v>36</v>
      </c>
      <c r="L1305" s="46" t="s">
        <v>36</v>
      </c>
      <c r="M1305" s="46" t="s">
        <v>37</v>
      </c>
      <c r="N1305" s="46" t="s">
        <v>31</v>
      </c>
      <c r="O1305" s="46" t="s">
        <v>32</v>
      </c>
      <c r="P1305" s="46" t="s">
        <v>32</v>
      </c>
      <c r="Q1305" s="46" t="s">
        <v>32</v>
      </c>
      <c r="R1305" s="46" t="s">
        <v>31</v>
      </c>
      <c r="S1305" s="46" t="s">
        <v>31</v>
      </c>
      <c r="T1305" s="46" t="s">
        <v>32</v>
      </c>
      <c r="U1305" s="46" t="s">
        <v>32</v>
      </c>
      <c r="V1305" s="46" t="s">
        <v>32</v>
      </c>
      <c r="W1305" s="46" t="s">
        <v>32</v>
      </c>
      <c r="X1305" s="46" t="s">
        <v>32</v>
      </c>
      <c r="Y1305" s="46" t="s">
        <v>32</v>
      </c>
      <c r="Z1305" s="46" t="s">
        <v>32</v>
      </c>
      <c r="AA1305" s="46" t="s">
        <v>32</v>
      </c>
      <c r="AB1305" s="46" t="s">
        <v>32</v>
      </c>
      <c r="AC1305" s="46" t="s">
        <v>32</v>
      </c>
      <c r="AD1305" s="46" t="s">
        <v>32</v>
      </c>
      <c r="AE1305" s="46" t="s">
        <v>37</v>
      </c>
      <c r="AF1305" s="46" t="s">
        <v>36</v>
      </c>
      <c r="AG1305" s="46" t="s">
        <v>36</v>
      </c>
      <c r="AH1305" s="46" t="s">
        <v>43</v>
      </c>
      <c r="AI1305" s="46" t="s">
        <v>36</v>
      </c>
      <c r="AJ1305" s="46">
        <f>=SUM(E1306:AI1306)</f>
      </c>
      <c r="AK1305" s="46">
        <f>=+AY1305</f>
      </c>
      <c r="AL1305" s="46"/>
      <c r="AM1305" s="1"/>
      <c r="AN1305" s="1">
        <f>=COUNTIF(E1305:AI1305,"A")+COUNTIF(E1305:AI1305,"B")+COUNTIF(E1305:AI1305,"C")+COUNTIF(E1305:AI1305,"D")+COUNTIF(E1305:AI1305,"E")+COUNTIF(E1305:AI1305,"F")+COUNTIF(E1305:AI1305,"M")+COUNTIF(E1305:AI1305,"AB")+COUNTIF(E1305:AI1305,"UZ")+COUNTIF(E1305:AI1305,"G")+(COUNTIF(E1305:AI1305,"RT.")/2)+(COUNTIF(E1305:AI1305,"ÇRT.")/2)</f>
      </c>
      <c r="AO1305" s="1">
        <f>=COUNTIF(E1305:AI1305,"O")</f>
      </c>
      <c r="AP1305" s="1">
        <f>=COUNTIF(E1305:AI1305,"RT")+(COUNTIF(E1305:AI1305,"RT.")/2)</f>
      </c>
      <c r="AQ1305" s="1">
        <f>=COUNTIF(E1305:AI1305,"ÇRT")+(COUNTIF(E1305:AI1305,"ÇRT.")/2)</f>
      </c>
      <c r="AR1305" s="1">
        <f>=COUNTIF(E1305:AI1305,"ÇHT")</f>
      </c>
      <c r="AS1305" s="1">
        <f>=COUNTIF(E1305:AI1305,"Ö")+COUNTIF(E1305:AI1305,"T")</f>
      </c>
      <c r="AT1305" s="1">
        <f>=COUNTIF(E1305:AI1305,"Y")</f>
      </c>
      <c r="AU1305" s="1">
        <f>=COUNTIF(E1305:AI1305,"R.")</f>
      </c>
      <c r="AV1305" s="1">
        <f>=COUNTIF(E1305:AI1305,"Ü")</f>
      </c>
      <c r="AW1305" s="1">
        <f>=COUNTIF(E1305:AI1305,"R")</f>
      </c>
      <c r="AX1305" s="1">
        <f>=COUNTIF(E1305:AI1305,"DV")</f>
      </c>
      <c r="AY1305" s="1">
        <f>=+AN1305+AO1305+AP1305+AQ1305+AR1305+AS1305+AT1305+AU1305</f>
      </c>
    </row>
    <row r="1306" ht="16" customHeight="1" spans="1:51" x14ac:dyDescent="0.25">
      <c r="A1306" s="45"/>
      <c r="B1306" s="46"/>
      <c r="C1306" s="46"/>
      <c r="D1306" s="46" t="s">
        <v>33</v>
      </c>
      <c r="E1306" s="46"/>
      <c r="F1306" s="46"/>
      <c r="G1306" s="46"/>
      <c r="H1306" s="46"/>
      <c r="I1306" s="46"/>
      <c r="J1306" s="46"/>
      <c r="K1306" s="46"/>
      <c r="L1306" s="46"/>
      <c r="M1306" s="46"/>
      <c r="N1306" s="46"/>
      <c r="O1306" s="46"/>
      <c r="P1306" s="46"/>
      <c r="Q1306" s="46"/>
      <c r="R1306" s="46"/>
      <c r="S1306" s="46"/>
      <c r="T1306" s="46"/>
      <c r="U1306" s="46"/>
      <c r="V1306" s="46"/>
      <c r="W1306" s="46"/>
      <c r="X1306" s="46"/>
      <c r="Y1306" s="46"/>
      <c r="Z1306" s="46"/>
      <c r="AA1306" s="46"/>
      <c r="AB1306" s="46"/>
      <c r="AC1306" s="46"/>
      <c r="AD1306" s="46"/>
      <c r="AE1306" s="46"/>
      <c r="AF1306" s="46"/>
      <c r="AG1306" s="46"/>
      <c r="AH1306" s="46"/>
      <c r="AI1306" s="46"/>
      <c r="AJ1306" s="46"/>
      <c r="AK1306" s="46"/>
      <c r="AL1306" s="46"/>
      <c r="AM1306" s="1"/>
      <c r="AN1306" s="1"/>
      <c r="AO1306" s="1"/>
      <c r="AP1306" s="1"/>
      <c r="AQ1306" s="1"/>
      <c r="AR1306" s="1"/>
      <c r="AS1306" s="1"/>
      <c r="AT1306" s="1"/>
      <c r="AU1306" s="1"/>
      <c r="AV1306" s="1"/>
      <c r="AW1306" s="1"/>
      <c r="AX1306" s="1"/>
      <c r="AY1306" s="1"/>
    </row>
    <row r="1307" ht="16" customHeight="1" spans="1:51" x14ac:dyDescent="0.25">
      <c r="A1307" s="45"/>
      <c r="B1307" s="46" t="s">
        <v>1359</v>
      </c>
      <c r="C1307" s="46" t="s">
        <v>1360</v>
      </c>
      <c r="D1307" s="46" t="s">
        <v>29</v>
      </c>
      <c r="E1307" s="46" t="s">
        <v>37</v>
      </c>
      <c r="F1307" s="46" t="s">
        <v>36</v>
      </c>
      <c r="G1307" s="46" t="s">
        <v>36</v>
      </c>
      <c r="H1307" s="46" t="s">
        <v>36</v>
      </c>
      <c r="I1307" s="46" t="s">
        <v>36</v>
      </c>
      <c r="J1307" s="46" t="s">
        <v>36</v>
      </c>
      <c r="K1307" s="46" t="s">
        <v>36</v>
      </c>
      <c r="L1307" s="46" t="s">
        <v>37</v>
      </c>
      <c r="M1307" s="46" t="s">
        <v>36</v>
      </c>
      <c r="N1307" s="46" t="s">
        <v>36</v>
      </c>
      <c r="O1307" s="46" t="s">
        <v>36</v>
      </c>
      <c r="P1307" s="46" t="s">
        <v>36</v>
      </c>
      <c r="Q1307" s="46" t="s">
        <v>36</v>
      </c>
      <c r="R1307" s="46" t="s">
        <v>36</v>
      </c>
      <c r="S1307" s="46" t="s">
        <v>37</v>
      </c>
      <c r="T1307" s="46" t="s">
        <v>36</v>
      </c>
      <c r="U1307" s="46" t="s">
        <v>36</v>
      </c>
      <c r="V1307" s="46" t="s">
        <v>36</v>
      </c>
      <c r="W1307" s="46" t="s">
        <v>36</v>
      </c>
      <c r="X1307" s="46" t="s">
        <v>36</v>
      </c>
      <c r="Y1307" s="46" t="s">
        <v>36</v>
      </c>
      <c r="Z1307" s="46" t="s">
        <v>37</v>
      </c>
      <c r="AA1307" s="46" t="s">
        <v>36</v>
      </c>
      <c r="AB1307" s="46" t="s">
        <v>36</v>
      </c>
      <c r="AC1307" s="46" t="s">
        <v>36</v>
      </c>
      <c r="AD1307" s="46" t="s">
        <v>36</v>
      </c>
      <c r="AE1307" s="46" t="s">
        <v>36</v>
      </c>
      <c r="AF1307" s="46" t="s">
        <v>36</v>
      </c>
      <c r="AG1307" s="46" t="s">
        <v>37</v>
      </c>
      <c r="AH1307" s="46" t="s">
        <v>43</v>
      </c>
      <c r="AI1307" s="46" t="s">
        <v>37</v>
      </c>
      <c r="AJ1307" s="46">
        <f>=SUM(E1308:AI1308)</f>
      </c>
      <c r="AK1307" s="46">
        <f>=+AY1307</f>
      </c>
      <c r="AL1307" s="46"/>
      <c r="AM1307" s="1"/>
      <c r="AN1307" s="1">
        <f>=COUNTIF(E1307:AI1307,"A")+COUNTIF(E1307:AI1307,"B")+COUNTIF(E1307:AI1307,"C")+COUNTIF(E1307:AI1307,"D")+COUNTIF(E1307:AI1307,"E")+COUNTIF(E1307:AI1307,"F")+COUNTIF(E1307:AI1307,"M")+COUNTIF(E1307:AI1307,"AB")+COUNTIF(E1307:AI1307,"UZ")+COUNTIF(E1307:AI1307,"G")+(COUNTIF(E1307:AI1307,"RT.")/2)+(COUNTIF(E1307:AI1307,"ÇRT.")/2)</f>
      </c>
      <c r="AO1307" s="1">
        <f>=COUNTIF(E1307:AI1307,"O")</f>
      </c>
      <c r="AP1307" s="1">
        <f>=COUNTIF(E1307:AI1307,"RT")+(COUNTIF(E1307:AI1307,"RT.")/2)</f>
      </c>
      <c r="AQ1307" s="1">
        <f>=COUNTIF(E1307:AI1307,"ÇRT")+(COUNTIF(E1307:AI1307,"ÇRT.")/2)</f>
      </c>
      <c r="AR1307" s="1">
        <f>=COUNTIF(E1307:AI1307,"ÇHT")</f>
      </c>
      <c r="AS1307" s="1">
        <f>=COUNTIF(E1307:AI1307,"Ö")+COUNTIF(E1307:AI1307,"T")</f>
      </c>
      <c r="AT1307" s="1">
        <f>=COUNTIF(E1307:AI1307,"Y")</f>
      </c>
      <c r="AU1307" s="1">
        <f>=COUNTIF(E1307:AI1307,"R.")</f>
      </c>
      <c r="AV1307" s="1">
        <f>=COUNTIF(E1307:AI1307,"Ü")</f>
      </c>
      <c r="AW1307" s="1">
        <f>=COUNTIF(E1307:AI1307,"R")</f>
      </c>
      <c r="AX1307" s="1">
        <f>=COUNTIF(E1307:AI1307,"DV")</f>
      </c>
      <c r="AY1307" s="1">
        <f>=+AN1307+AO1307+AP1307+AQ1307+AR1307+AS1307+AT1307+AU1307</f>
      </c>
    </row>
    <row r="1308" ht="16" customHeight="1" spans="1:51" x14ac:dyDescent="0.25">
      <c r="A1308" s="45"/>
      <c r="B1308" s="46"/>
      <c r="C1308" s="46"/>
      <c r="D1308" s="46" t="s">
        <v>33</v>
      </c>
      <c r="E1308" s="46"/>
      <c r="F1308" s="46"/>
      <c r="G1308" s="46">
        <v>2</v>
      </c>
      <c r="H1308" s="46">
        <v>2</v>
      </c>
      <c r="I1308" s="46"/>
      <c r="J1308" s="46"/>
      <c r="K1308" s="46"/>
      <c r="L1308" s="46"/>
      <c r="M1308" s="46"/>
      <c r="N1308" s="46"/>
      <c r="O1308" s="46"/>
      <c r="P1308" s="46"/>
      <c r="Q1308" s="46"/>
      <c r="R1308" s="46"/>
      <c r="S1308" s="46"/>
      <c r="T1308" s="46"/>
      <c r="U1308" s="46"/>
      <c r="V1308" s="46"/>
      <c r="W1308" s="46"/>
      <c r="X1308" s="46"/>
      <c r="Y1308" s="46">
        <v>2</v>
      </c>
      <c r="Z1308" s="46"/>
      <c r="AA1308" s="46">
        <v>2</v>
      </c>
      <c r="AB1308" s="46"/>
      <c r="AC1308" s="46">
        <v>2</v>
      </c>
      <c r="AD1308" s="46">
        <v>2</v>
      </c>
      <c r="AE1308" s="46">
        <v>2</v>
      </c>
      <c r="AF1308" s="46"/>
      <c r="AG1308" s="46"/>
      <c r="AH1308" s="46"/>
      <c r="AI1308" s="46"/>
      <c r="AJ1308" s="46"/>
      <c r="AK1308" s="46"/>
      <c r="AL1308" s="46"/>
      <c r="AM1308" s="1"/>
      <c r="AN1308" s="1"/>
      <c r="AO1308" s="1"/>
      <c r="AP1308" s="1"/>
      <c r="AQ1308" s="1"/>
      <c r="AR1308" s="1"/>
      <c r="AS1308" s="1"/>
      <c r="AT1308" s="1"/>
      <c r="AU1308" s="1"/>
      <c r="AV1308" s="1"/>
      <c r="AW1308" s="1"/>
      <c r="AX1308" s="1"/>
      <c r="AY1308" s="1"/>
    </row>
    <row r="1309" ht="16" customHeight="1" spans="1:51" x14ac:dyDescent="0.25">
      <c r="A1309" s="45"/>
      <c r="B1309" s="46" t="s">
        <v>1361</v>
      </c>
      <c r="C1309" s="46" t="s">
        <v>1362</v>
      </c>
      <c r="D1309" s="46" t="s">
        <v>29</v>
      </c>
      <c r="E1309" s="46" t="s">
        <v>37</v>
      </c>
      <c r="F1309" s="46" t="s">
        <v>41</v>
      </c>
      <c r="G1309" s="46" t="s">
        <v>41</v>
      </c>
      <c r="H1309" s="46" t="s">
        <v>41</v>
      </c>
      <c r="I1309" s="46" t="s">
        <v>41</v>
      </c>
      <c r="J1309" s="46" t="s">
        <v>41</v>
      </c>
      <c r="K1309" s="46" t="s">
        <v>41</v>
      </c>
      <c r="L1309" s="46" t="s">
        <v>37</v>
      </c>
      <c r="M1309" s="46" t="s">
        <v>41</v>
      </c>
      <c r="N1309" s="46" t="s">
        <v>41</v>
      </c>
      <c r="O1309" s="46" t="s">
        <v>41</v>
      </c>
      <c r="P1309" s="46" t="s">
        <v>41</v>
      </c>
      <c r="Q1309" s="46" t="s">
        <v>41</v>
      </c>
      <c r="R1309" s="46" t="s">
        <v>41</v>
      </c>
      <c r="S1309" s="46" t="s">
        <v>37</v>
      </c>
      <c r="T1309" s="46" t="s">
        <v>41</v>
      </c>
      <c r="U1309" s="46" t="s">
        <v>41</v>
      </c>
      <c r="V1309" s="46" t="s">
        <v>41</v>
      </c>
      <c r="W1309" s="46" t="s">
        <v>41</v>
      </c>
      <c r="X1309" s="46" t="s">
        <v>41</v>
      </c>
      <c r="Y1309" s="46" t="s">
        <v>41</v>
      </c>
      <c r="Z1309" s="46" t="s">
        <v>37</v>
      </c>
      <c r="AA1309" s="46" t="s">
        <v>41</v>
      </c>
      <c r="AB1309" s="46" t="s">
        <v>41</v>
      </c>
      <c r="AC1309" s="46" t="s">
        <v>41</v>
      </c>
      <c r="AD1309" s="46" t="s">
        <v>41</v>
      </c>
      <c r="AE1309" s="46" t="s">
        <v>41</v>
      </c>
      <c r="AF1309" s="46" t="s">
        <v>41</v>
      </c>
      <c r="AG1309" s="46" t="s">
        <v>37</v>
      </c>
      <c r="AH1309" s="46" t="s">
        <v>43</v>
      </c>
      <c r="AI1309" s="46" t="s">
        <v>41</v>
      </c>
      <c r="AJ1309" s="46">
        <f>=SUM(E1310:AI1310)</f>
      </c>
      <c r="AK1309" s="46">
        <f>=+AY1309</f>
      </c>
      <c r="AL1309" s="46"/>
      <c r="AM1309" s="1"/>
      <c r="AN1309" s="1">
        <f>=COUNTIF(E1309:AI1309,"A")+COUNTIF(E1309:AI1309,"B")+COUNTIF(E1309:AI1309,"C")+COUNTIF(E1309:AI1309,"D")+COUNTIF(E1309:AI1309,"E")+COUNTIF(E1309:AI1309,"F")+COUNTIF(E1309:AI1309,"M")+COUNTIF(E1309:AI1309,"AB")+COUNTIF(E1309:AI1309,"UZ")+COUNTIF(E1309:AI1309,"G")+(COUNTIF(E1309:AI1309,"RT.")/2)+(COUNTIF(E1309:AI1309,"ÇRT.")/2)</f>
      </c>
      <c r="AO1309" s="1">
        <f>=COUNTIF(E1309:AI1309,"O")</f>
      </c>
      <c r="AP1309" s="1">
        <f>=COUNTIF(E1309:AI1309,"RT")+(COUNTIF(E1309:AI1309,"RT.")/2)</f>
      </c>
      <c r="AQ1309" s="1">
        <f>=COUNTIF(E1309:AI1309,"ÇRT")+(COUNTIF(E1309:AI1309,"ÇRT.")/2)</f>
      </c>
      <c r="AR1309" s="1">
        <f>=COUNTIF(E1309:AI1309,"ÇHT")</f>
      </c>
      <c r="AS1309" s="1">
        <f>=COUNTIF(E1309:AI1309,"Ö")+COUNTIF(E1309:AI1309,"T")</f>
      </c>
      <c r="AT1309" s="1">
        <f>=COUNTIF(E1309:AI1309,"Y")</f>
      </c>
      <c r="AU1309" s="1">
        <f>=COUNTIF(E1309:AI1309,"R.")</f>
      </c>
      <c r="AV1309" s="1">
        <f>=COUNTIF(E1309:AI1309,"Ü")</f>
      </c>
      <c r="AW1309" s="1">
        <f>=COUNTIF(E1309:AI1309,"R")</f>
      </c>
      <c r="AX1309" s="1">
        <f>=COUNTIF(E1309:AI1309,"DV")</f>
      </c>
      <c r="AY1309" s="1">
        <f>=+AN1309+AO1309+AP1309+AQ1309+AR1309+AS1309+AT1309+AU1309</f>
      </c>
    </row>
    <row r="1310" ht="16" customHeight="1" spans="1:51" x14ac:dyDescent="0.25">
      <c r="A1310" s="45"/>
      <c r="B1310" s="46"/>
      <c r="C1310" s="46"/>
      <c r="D1310" s="46" t="s">
        <v>33</v>
      </c>
      <c r="E1310" s="46"/>
      <c r="F1310" s="46">
        <v>2</v>
      </c>
      <c r="G1310" s="46">
        <v>2</v>
      </c>
      <c r="H1310" s="46">
        <v>2</v>
      </c>
      <c r="I1310" s="46">
        <v>2</v>
      </c>
      <c r="J1310" s="46">
        <v>2</v>
      </c>
      <c r="K1310" s="46">
        <v>2</v>
      </c>
      <c r="L1310" s="46"/>
      <c r="M1310" s="46">
        <v>2</v>
      </c>
      <c r="N1310" s="46">
        <v>2</v>
      </c>
      <c r="O1310" s="46">
        <v>2</v>
      </c>
      <c r="P1310" s="46">
        <v>2</v>
      </c>
      <c r="Q1310" s="46">
        <v>2</v>
      </c>
      <c r="R1310" s="46">
        <v>2</v>
      </c>
      <c r="S1310" s="46"/>
      <c r="T1310" s="46">
        <v>2</v>
      </c>
      <c r="U1310" s="46">
        <v>2</v>
      </c>
      <c r="V1310" s="46">
        <v>2</v>
      </c>
      <c r="W1310" s="46">
        <v>2</v>
      </c>
      <c r="X1310" s="46">
        <v>2</v>
      </c>
      <c r="Y1310" s="46">
        <v>2</v>
      </c>
      <c r="Z1310" s="46"/>
      <c r="AA1310" s="46">
        <v>2</v>
      </c>
      <c r="AB1310" s="46">
        <v>2</v>
      </c>
      <c r="AC1310" s="46">
        <v>2</v>
      </c>
      <c r="AD1310" s="46">
        <v>2</v>
      </c>
      <c r="AE1310" s="46">
        <v>2</v>
      </c>
      <c r="AF1310" s="46">
        <v>2</v>
      </c>
      <c r="AG1310" s="46"/>
      <c r="AH1310" s="46">
        <v>2</v>
      </c>
      <c r="AI1310" s="46">
        <v>2</v>
      </c>
      <c r="AJ1310" s="46"/>
      <c r="AK1310" s="46"/>
      <c r="AL1310" s="46"/>
      <c r="AM1310" s="1"/>
      <c r="AN1310" s="1"/>
      <c r="AO1310" s="1"/>
      <c r="AP1310" s="1"/>
      <c r="AQ1310" s="1"/>
      <c r="AR1310" s="1"/>
      <c r="AS1310" s="1"/>
      <c r="AT1310" s="1"/>
      <c r="AU1310" s="1"/>
      <c r="AV1310" s="1"/>
      <c r="AW1310" s="1"/>
      <c r="AX1310" s="1"/>
      <c r="AY1310" s="1"/>
    </row>
    <row r="1311" ht="16" customHeight="1" spans="1:51" x14ac:dyDescent="0.25">
      <c r="A1311" s="45"/>
      <c r="B1311" s="46" t="s">
        <v>1363</v>
      </c>
      <c r="C1311" s="46" t="s">
        <v>1364</v>
      </c>
      <c r="D1311" s="46" t="s">
        <v>29</v>
      </c>
      <c r="E1311" s="46" t="s">
        <v>299</v>
      </c>
      <c r="F1311" s="46" t="s">
        <v>299</v>
      </c>
      <c r="G1311" s="46" t="s">
        <v>42</v>
      </c>
      <c r="H1311" s="46" t="s">
        <v>37</v>
      </c>
      <c r="I1311" s="46" t="s">
        <v>299</v>
      </c>
      <c r="J1311" s="46" t="s">
        <v>299</v>
      </c>
      <c r="K1311" s="46" t="s">
        <v>299</v>
      </c>
      <c r="L1311" s="46" t="s">
        <v>299</v>
      </c>
      <c r="M1311" s="46" t="s">
        <v>299</v>
      </c>
      <c r="N1311" s="46" t="s">
        <v>42</v>
      </c>
      <c r="O1311" s="46" t="s">
        <v>37</v>
      </c>
      <c r="P1311" s="46" t="s">
        <v>299</v>
      </c>
      <c r="Q1311" s="46" t="s">
        <v>299</v>
      </c>
      <c r="R1311" s="46" t="s">
        <v>299</v>
      </c>
      <c r="S1311" s="46" t="s">
        <v>299</v>
      </c>
      <c r="T1311" s="46" t="s">
        <v>299</v>
      </c>
      <c r="U1311" s="46" t="s">
        <v>299</v>
      </c>
      <c r="V1311" s="46" t="s">
        <v>37</v>
      </c>
      <c r="W1311" s="46" t="s">
        <v>299</v>
      </c>
      <c r="X1311" s="46" t="s">
        <v>299</v>
      </c>
      <c r="Y1311" s="46" t="s">
        <v>299</v>
      </c>
      <c r="Z1311" s="46" t="s">
        <v>299</v>
      </c>
      <c r="AA1311" s="46" t="s">
        <v>299</v>
      </c>
      <c r="AB1311" s="46" t="s">
        <v>299</v>
      </c>
      <c r="AC1311" s="46" t="s">
        <v>37</v>
      </c>
      <c r="AD1311" s="46" t="s">
        <v>299</v>
      </c>
      <c r="AE1311" s="46" t="s">
        <v>299</v>
      </c>
      <c r="AF1311" s="46" t="s">
        <v>299</v>
      </c>
      <c r="AG1311" s="46" t="s">
        <v>299</v>
      </c>
      <c r="AH1311" s="46" t="s">
        <v>43</v>
      </c>
      <c r="AI1311" s="46" t="s">
        <v>299</v>
      </c>
      <c r="AJ1311" s="46">
        <f>=SUM(E1312:AI1312)</f>
      </c>
      <c r="AK1311" s="46">
        <f>=+AY1311</f>
      </c>
      <c r="AL1311" s="46"/>
      <c r="AM1311" s="1"/>
      <c r="AN1311" s="1">
        <f>=COUNTIF(E1311:AI1311,"A")+COUNTIF(E1311:AI1311,"B")+COUNTIF(E1311:AI1311,"C")+COUNTIF(E1311:AI1311,"D")+COUNTIF(E1311:AI1311,"E")+COUNTIF(E1311:AI1311,"F")+COUNTIF(E1311:AI1311,"M")+COUNTIF(E1311:AI1311,"AB")+COUNTIF(E1311:AI1311,"UZ")+COUNTIF(E1311:AI1311,"G")+(COUNTIF(E1311:AI1311,"RT.")/2)+(COUNTIF(E1311:AI1311,"ÇRT.")/2)</f>
      </c>
      <c r="AO1311" s="1">
        <f>=COUNTIF(E1311:AI1311,"O")</f>
      </c>
      <c r="AP1311" s="1">
        <f>=COUNTIF(E1311:AI1311,"RT")+(COUNTIF(E1311:AI1311,"RT.")/2)</f>
      </c>
      <c r="AQ1311" s="1">
        <f>=COUNTIF(E1311:AI1311,"ÇRT")+(COUNTIF(E1311:AI1311,"ÇRT.")/2)</f>
      </c>
      <c r="AR1311" s="1">
        <f>=COUNTIF(E1311:AI1311,"ÇHT")</f>
      </c>
      <c r="AS1311" s="1">
        <f>=COUNTIF(E1311:AI1311,"Ö")+COUNTIF(E1311:AI1311,"T")</f>
      </c>
      <c r="AT1311" s="1">
        <f>=COUNTIF(E1311:AI1311,"Y")</f>
      </c>
      <c r="AU1311" s="1">
        <f>=COUNTIF(E1311:AI1311,"R.")</f>
      </c>
      <c r="AV1311" s="1">
        <f>=COUNTIF(E1311:AI1311,"Ü")</f>
      </c>
      <c r="AW1311" s="1">
        <f>=COUNTIF(E1311:AI1311,"R")</f>
      </c>
      <c r="AX1311" s="1">
        <f>=COUNTIF(E1311:AI1311,"DV")</f>
      </c>
      <c r="AY1311" s="1">
        <f>=+AN1311+AO1311+AP1311+AQ1311+AR1311+AS1311+AT1311+AU1311</f>
      </c>
    </row>
    <row r="1312" ht="16" customHeight="1" spans="1:51" x14ac:dyDescent="0.25">
      <c r="A1312" s="45"/>
      <c r="B1312" s="46"/>
      <c r="C1312" s="46"/>
      <c r="D1312" s="46" t="s">
        <v>33</v>
      </c>
      <c r="E1312" s="46">
        <v>2</v>
      </c>
      <c r="F1312" s="46">
        <v>2</v>
      </c>
      <c r="G1312" s="46"/>
      <c r="H1312" s="46"/>
      <c r="I1312" s="46">
        <v>2</v>
      </c>
      <c r="J1312" s="46">
        <v>2</v>
      </c>
      <c r="K1312" s="46">
        <v>2</v>
      </c>
      <c r="L1312" s="46">
        <v>2</v>
      </c>
      <c r="M1312" s="46">
        <v>2</v>
      </c>
      <c r="N1312" s="46">
        <v>2</v>
      </c>
      <c r="O1312" s="46"/>
      <c r="P1312" s="46">
        <v>2</v>
      </c>
      <c r="Q1312" s="46">
        <v>2</v>
      </c>
      <c r="R1312" s="46">
        <v>2</v>
      </c>
      <c r="S1312" s="46">
        <v>2</v>
      </c>
      <c r="T1312" s="46">
        <v>2</v>
      </c>
      <c r="U1312" s="46">
        <v>2</v>
      </c>
      <c r="V1312" s="46"/>
      <c r="W1312" s="46">
        <v>2</v>
      </c>
      <c r="X1312" s="46">
        <v>2</v>
      </c>
      <c r="Y1312" s="46">
        <v>2</v>
      </c>
      <c r="Z1312" s="46">
        <v>2</v>
      </c>
      <c r="AA1312" s="46">
        <v>2</v>
      </c>
      <c r="AB1312" s="46">
        <v>2</v>
      </c>
      <c r="AC1312" s="46"/>
      <c r="AD1312" s="46">
        <v>2</v>
      </c>
      <c r="AE1312" s="46">
        <v>2</v>
      </c>
      <c r="AF1312" s="46">
        <v>2</v>
      </c>
      <c r="AG1312" s="46">
        <v>2</v>
      </c>
      <c r="AH1312" s="46">
        <v>2</v>
      </c>
      <c r="AI1312" s="46">
        <v>2</v>
      </c>
      <c r="AJ1312" s="46"/>
      <c r="AK1312" s="46"/>
      <c r="AL1312" s="46"/>
      <c r="AM1312" s="1"/>
      <c r="AN1312" s="1"/>
      <c r="AO1312" s="1"/>
      <c r="AP1312" s="1"/>
      <c r="AQ1312" s="1"/>
      <c r="AR1312" s="1"/>
      <c r="AS1312" s="1"/>
      <c r="AT1312" s="1"/>
      <c r="AU1312" s="1"/>
      <c r="AV1312" s="1"/>
      <c r="AW1312" s="1"/>
      <c r="AX1312" s="1"/>
      <c r="AY1312" s="1"/>
    </row>
    <row r="1313" ht="16" customHeight="1" spans="1:51" x14ac:dyDescent="0.25">
      <c r="A1313" s="45"/>
      <c r="B1313" s="46" t="s">
        <v>1365</v>
      </c>
      <c r="C1313" s="46" t="s">
        <v>1366</v>
      </c>
      <c r="D1313" s="46" t="s">
        <v>29</v>
      </c>
      <c r="E1313" s="46" t="s">
        <v>36</v>
      </c>
      <c r="F1313" s="46" t="s">
        <v>36</v>
      </c>
      <c r="G1313" s="46" t="s">
        <v>299</v>
      </c>
      <c r="H1313" s="46" t="s">
        <v>299</v>
      </c>
      <c r="I1313" s="46" t="s">
        <v>31</v>
      </c>
      <c r="J1313" s="46" t="s">
        <v>36</v>
      </c>
      <c r="K1313" s="46" t="s">
        <v>36</v>
      </c>
      <c r="L1313" s="46" t="s">
        <v>36</v>
      </c>
      <c r="M1313" s="46" t="s">
        <v>37</v>
      </c>
      <c r="N1313" s="46" t="s">
        <v>299</v>
      </c>
      <c r="O1313" s="46" t="s">
        <v>299</v>
      </c>
      <c r="P1313" s="46" t="s">
        <v>36</v>
      </c>
      <c r="Q1313" s="46"/>
      <c r="R1313" s="46"/>
      <c r="S1313" s="46"/>
      <c r="T1313" s="46"/>
      <c r="U1313" s="46"/>
      <c r="V1313" s="46"/>
      <c r="W1313" s="46"/>
      <c r="X1313" s="46"/>
      <c r="Y1313" s="46"/>
      <c r="Z1313" s="46"/>
      <c r="AA1313" s="46"/>
      <c r="AB1313" s="46"/>
      <c r="AC1313" s="46"/>
      <c r="AD1313" s="46"/>
      <c r="AE1313" s="46"/>
      <c r="AF1313" s="46"/>
      <c r="AG1313" s="46"/>
      <c r="AH1313" s="46"/>
      <c r="AI1313" s="46"/>
      <c r="AJ1313" s="46">
        <f>=SUM(E1314:AI1314)</f>
      </c>
      <c r="AK1313" s="46">
        <f>=+AY1313</f>
      </c>
      <c r="AL1313" s="46"/>
      <c r="AM1313" s="1"/>
      <c r="AN1313" s="1">
        <f>=COUNTIF(E1313:AI1313,"A")+COUNTIF(E1313:AI1313,"B")+COUNTIF(E1313:AI1313,"C")+COUNTIF(E1313:AI1313,"D")+COUNTIF(E1313:AI1313,"E")+COUNTIF(E1313:AI1313,"F")+COUNTIF(E1313:AI1313,"M")+COUNTIF(E1313:AI1313,"AB")+COUNTIF(E1313:AI1313,"UZ")+COUNTIF(E1313:AI1313,"G")+(COUNTIF(E1313:AI1313,"RT.")/2)+(COUNTIF(E1313:AI1313,"ÇRT.")/2)</f>
      </c>
      <c r="AO1313" s="1">
        <f>=COUNTIF(E1313:AI1313,"O")</f>
      </c>
      <c r="AP1313" s="1">
        <f>=COUNTIF(E1313:AI1313,"RT")+(COUNTIF(E1313:AI1313,"RT.")/2)</f>
      </c>
      <c r="AQ1313" s="1">
        <f>=COUNTIF(E1313:AI1313,"ÇRT")+(COUNTIF(E1313:AI1313,"ÇRT.")/2)</f>
      </c>
      <c r="AR1313" s="1">
        <f>=COUNTIF(E1313:AI1313,"ÇHT")</f>
      </c>
      <c r="AS1313" s="1">
        <f>=COUNTIF(E1313:AI1313,"Ö")+COUNTIF(E1313:AI1313,"T")</f>
      </c>
      <c r="AT1313" s="1">
        <f>=COUNTIF(E1313:AI1313,"Y")</f>
      </c>
      <c r="AU1313" s="1">
        <f>=COUNTIF(E1313:AI1313,"R.")</f>
      </c>
      <c r="AV1313" s="1">
        <f>=COUNTIF(E1313:AI1313,"Ü")</f>
      </c>
      <c r="AW1313" s="1">
        <f>=COUNTIF(E1313:AI1313,"R")</f>
      </c>
      <c r="AX1313" s="1">
        <f>=COUNTIF(E1313:AI1313,"DV")</f>
      </c>
      <c r="AY1313" s="1">
        <f>=+AN1313+AO1313+AP1313+AQ1313+AR1313+AS1313+AT1313+AU1313</f>
      </c>
    </row>
    <row r="1314" ht="16" customHeight="1" spans="1:51" x14ac:dyDescent="0.25">
      <c r="A1314" s="45"/>
      <c r="B1314" s="46"/>
      <c r="C1314" s="46"/>
      <c r="D1314" s="46" t="s">
        <v>33</v>
      </c>
      <c r="E1314" s="46"/>
      <c r="F1314" s="46"/>
      <c r="G1314" s="46">
        <v>2</v>
      </c>
      <c r="H1314" s="46">
        <v>2</v>
      </c>
      <c r="I1314" s="46"/>
      <c r="J1314" s="46"/>
      <c r="K1314" s="46"/>
      <c r="L1314" s="46"/>
      <c r="M1314" s="46"/>
      <c r="N1314" s="46">
        <v>2</v>
      </c>
      <c r="O1314" s="46">
        <v>2</v>
      </c>
      <c r="P1314" s="46"/>
      <c r="Q1314" s="46"/>
      <c r="R1314" s="46"/>
      <c r="S1314" s="46"/>
      <c r="T1314" s="46"/>
      <c r="U1314" s="46"/>
      <c r="V1314" s="46"/>
      <c r="W1314" s="46"/>
      <c r="X1314" s="46"/>
      <c r="Y1314" s="46"/>
      <c r="Z1314" s="46"/>
      <c r="AA1314" s="46"/>
      <c r="AB1314" s="46"/>
      <c r="AC1314" s="46"/>
      <c r="AD1314" s="46"/>
      <c r="AE1314" s="46"/>
      <c r="AF1314" s="46"/>
      <c r="AG1314" s="46"/>
      <c r="AH1314" s="46"/>
      <c r="AI1314" s="46"/>
      <c r="AJ1314" s="46"/>
      <c r="AK1314" s="46"/>
      <c r="AL1314" s="46"/>
      <c r="AM1314" s="1"/>
      <c r="AN1314" s="1"/>
      <c r="AO1314" s="1"/>
      <c r="AP1314" s="1"/>
      <c r="AQ1314" s="1"/>
      <c r="AR1314" s="1"/>
      <c r="AS1314" s="1"/>
      <c r="AT1314" s="1"/>
      <c r="AU1314" s="1"/>
      <c r="AV1314" s="1"/>
      <c r="AW1314" s="1"/>
      <c r="AX1314" s="1"/>
      <c r="AY1314" s="1"/>
    </row>
    <row r="1315" ht="16" customHeight="1" spans="1:51" x14ac:dyDescent="0.25">
      <c r="A1315" s="45"/>
      <c r="B1315" s="46" t="s">
        <v>1367</v>
      </c>
      <c r="C1315" s="46" t="s">
        <v>1368</v>
      </c>
      <c r="D1315" s="46" t="s">
        <v>29</v>
      </c>
      <c r="E1315" s="46" t="s">
        <v>36</v>
      </c>
      <c r="F1315" s="46" t="s">
        <v>36</v>
      </c>
      <c r="G1315" s="46" t="s">
        <v>36</v>
      </c>
      <c r="H1315" s="46" t="s">
        <v>36</v>
      </c>
      <c r="I1315" s="46" t="s">
        <v>37</v>
      </c>
      <c r="J1315" s="46" t="s">
        <v>36</v>
      </c>
      <c r="K1315" s="46" t="s">
        <v>36</v>
      </c>
      <c r="L1315" s="46" t="s">
        <v>36</v>
      </c>
      <c r="M1315" s="46" t="s">
        <v>36</v>
      </c>
      <c r="N1315" s="46" t="s">
        <v>36</v>
      </c>
      <c r="O1315" s="46" t="s">
        <v>36</v>
      </c>
      <c r="P1315" s="46" t="s">
        <v>37</v>
      </c>
      <c r="Q1315" s="46" t="s">
        <v>36</v>
      </c>
      <c r="R1315" s="46" t="s">
        <v>36</v>
      </c>
      <c r="S1315" s="46" t="s">
        <v>36</v>
      </c>
      <c r="T1315" s="46" t="s">
        <v>36</v>
      </c>
      <c r="U1315" s="46" t="s">
        <v>36</v>
      </c>
      <c r="V1315" s="46" t="s">
        <v>36</v>
      </c>
      <c r="W1315" s="46" t="s">
        <v>37</v>
      </c>
      <c r="X1315" s="46" t="s">
        <v>36</v>
      </c>
      <c r="Y1315" s="46" t="s">
        <v>36</v>
      </c>
      <c r="Z1315" s="46" t="s">
        <v>36</v>
      </c>
      <c r="AA1315" s="46" t="s">
        <v>36</v>
      </c>
      <c r="AB1315" s="46" t="s">
        <v>36</v>
      </c>
      <c r="AC1315" s="46" t="s">
        <v>36</v>
      </c>
      <c r="AD1315" s="46" t="s">
        <v>37</v>
      </c>
      <c r="AE1315" s="46" t="s">
        <v>36</v>
      </c>
      <c r="AF1315" s="46" t="s">
        <v>36</v>
      </c>
      <c r="AG1315" s="46" t="s">
        <v>36</v>
      </c>
      <c r="AH1315" s="46" t="s">
        <v>43</v>
      </c>
      <c r="AI1315" s="46" t="s">
        <v>36</v>
      </c>
      <c r="AJ1315" s="46">
        <f>=SUM(E1316:AI1316)</f>
      </c>
      <c r="AK1315" s="46">
        <f>=+AY1315</f>
      </c>
      <c r="AL1315" s="46"/>
      <c r="AM1315" s="1"/>
      <c r="AN1315" s="1">
        <f>=COUNTIF(E1315:AI1315,"A")+COUNTIF(E1315:AI1315,"B")+COUNTIF(E1315:AI1315,"C")+COUNTIF(E1315:AI1315,"D")+COUNTIF(E1315:AI1315,"E")+COUNTIF(E1315:AI1315,"F")+COUNTIF(E1315:AI1315,"M")+COUNTIF(E1315:AI1315,"AB")+COUNTIF(E1315:AI1315,"UZ")+COUNTIF(E1315:AI1315,"G")+(COUNTIF(E1315:AI1315,"RT.")/2)+(COUNTIF(E1315:AI1315,"ÇRT.")/2)</f>
      </c>
      <c r="AO1315" s="1">
        <f>=COUNTIF(E1315:AI1315,"O")</f>
      </c>
      <c r="AP1315" s="1">
        <f>=COUNTIF(E1315:AI1315,"RT")+(COUNTIF(E1315:AI1315,"RT.")/2)</f>
      </c>
      <c r="AQ1315" s="1">
        <f>=COUNTIF(E1315:AI1315,"ÇRT")+(COUNTIF(E1315:AI1315,"ÇRT.")/2)</f>
      </c>
      <c r="AR1315" s="1">
        <f>=COUNTIF(E1315:AI1315,"ÇHT")</f>
      </c>
      <c r="AS1315" s="1">
        <f>=COUNTIF(E1315:AI1315,"Ö")+COUNTIF(E1315:AI1315,"T")</f>
      </c>
      <c r="AT1315" s="1">
        <f>=COUNTIF(E1315:AI1315,"Y")</f>
      </c>
      <c r="AU1315" s="1">
        <f>=COUNTIF(E1315:AI1315,"R.")</f>
      </c>
      <c r="AV1315" s="1">
        <f>=COUNTIF(E1315:AI1315,"Ü")</f>
      </c>
      <c r="AW1315" s="1">
        <f>=COUNTIF(E1315:AI1315,"R")</f>
      </c>
      <c r="AX1315" s="1">
        <f>=COUNTIF(E1315:AI1315,"DV")</f>
      </c>
      <c r="AY1315" s="1">
        <f>=+AN1315+AO1315+AP1315+AQ1315+AR1315+AS1315+AT1315+AU1315</f>
      </c>
    </row>
    <row r="1316" ht="16" customHeight="1" spans="1:51" x14ac:dyDescent="0.25">
      <c r="A1316" s="45"/>
      <c r="B1316" s="46"/>
      <c r="C1316" s="46"/>
      <c r="D1316" s="46" t="s">
        <v>33</v>
      </c>
      <c r="E1316" s="46"/>
      <c r="F1316" s="46"/>
      <c r="G1316" s="46"/>
      <c r="H1316" s="46"/>
      <c r="I1316" s="46"/>
      <c r="J1316" s="46"/>
      <c r="K1316" s="46"/>
      <c r="L1316" s="46"/>
      <c r="M1316" s="46"/>
      <c r="N1316" s="46"/>
      <c r="O1316" s="46"/>
      <c r="P1316" s="46"/>
      <c r="Q1316" s="46"/>
      <c r="R1316" s="46"/>
      <c r="S1316" s="46"/>
      <c r="T1316" s="46"/>
      <c r="U1316" s="46"/>
      <c r="V1316" s="46"/>
      <c r="W1316" s="46"/>
      <c r="X1316" s="46"/>
      <c r="Y1316" s="46"/>
      <c r="Z1316" s="46"/>
      <c r="AA1316" s="46"/>
      <c r="AB1316" s="46"/>
      <c r="AC1316" s="46"/>
      <c r="AD1316" s="46"/>
      <c r="AE1316" s="46"/>
      <c r="AF1316" s="46"/>
      <c r="AG1316" s="46"/>
      <c r="AH1316" s="46"/>
      <c r="AI1316" s="46"/>
      <c r="AJ1316" s="46"/>
      <c r="AK1316" s="46"/>
      <c r="AL1316" s="46"/>
      <c r="AM1316" s="1"/>
      <c r="AN1316" s="1"/>
      <c r="AO1316" s="1"/>
      <c r="AP1316" s="1"/>
      <c r="AQ1316" s="1"/>
      <c r="AR1316" s="1"/>
      <c r="AS1316" s="1"/>
      <c r="AT1316" s="1"/>
      <c r="AU1316" s="1"/>
      <c r="AV1316" s="1"/>
      <c r="AW1316" s="1"/>
      <c r="AX1316" s="1"/>
      <c r="AY1316" s="1"/>
    </row>
    <row r="1317" ht="16" customHeight="1" spans="1:51" x14ac:dyDescent="0.25">
      <c r="A1317" s="45"/>
      <c r="B1317" s="46" t="s">
        <v>1369</v>
      </c>
      <c r="C1317" s="46" t="s">
        <v>1370</v>
      </c>
      <c r="D1317" s="46" t="s">
        <v>29</v>
      </c>
      <c r="E1317" s="46" t="s">
        <v>37</v>
      </c>
      <c r="F1317" s="46" t="s">
        <v>59</v>
      </c>
      <c r="G1317" s="46" t="s">
        <v>59</v>
      </c>
      <c r="H1317" s="46" t="s">
        <v>59</v>
      </c>
      <c r="I1317" s="46" t="s">
        <v>59</v>
      </c>
      <c r="J1317" s="46" t="s">
        <v>59</v>
      </c>
      <c r="K1317" s="46" t="s">
        <v>59</v>
      </c>
      <c r="L1317" s="46" t="s">
        <v>37</v>
      </c>
      <c r="M1317" s="46" t="s">
        <v>59</v>
      </c>
      <c r="N1317" s="46" t="s">
        <v>59</v>
      </c>
      <c r="O1317" s="46" t="s">
        <v>59</v>
      </c>
      <c r="P1317" s="46" t="s">
        <v>59</v>
      </c>
      <c r="Q1317" s="46" t="s">
        <v>59</v>
      </c>
      <c r="R1317" s="46" t="s">
        <v>59</v>
      </c>
      <c r="S1317" s="46" t="s">
        <v>37</v>
      </c>
      <c r="T1317" s="46" t="s">
        <v>59</v>
      </c>
      <c r="U1317" s="46" t="s">
        <v>31</v>
      </c>
      <c r="V1317" s="46" t="s">
        <v>31</v>
      </c>
      <c r="W1317" s="46" t="s">
        <v>32</v>
      </c>
      <c r="X1317" s="46" t="s">
        <v>59</v>
      </c>
      <c r="Y1317" s="46" t="s">
        <v>59</v>
      </c>
      <c r="Z1317" s="46" t="s">
        <v>37</v>
      </c>
      <c r="AA1317" s="46" t="s">
        <v>59</v>
      </c>
      <c r="AB1317" s="46" t="s">
        <v>59</v>
      </c>
      <c r="AC1317" s="46" t="s">
        <v>59</v>
      </c>
      <c r="AD1317" s="46" t="s">
        <v>31</v>
      </c>
      <c r="AE1317" s="46" t="s">
        <v>31</v>
      </c>
      <c r="AF1317" s="46" t="s">
        <v>31</v>
      </c>
      <c r="AG1317" s="46" t="s">
        <v>37</v>
      </c>
      <c r="AH1317" s="46" t="s">
        <v>43</v>
      </c>
      <c r="AI1317" s="46" t="s">
        <v>59</v>
      </c>
      <c r="AJ1317" s="46">
        <f>=SUM(E1318:AI1318)</f>
      </c>
      <c r="AK1317" s="46">
        <f>=+AY1317</f>
      </c>
      <c r="AL1317" s="46"/>
      <c r="AM1317" s="1"/>
      <c r="AN1317" s="1">
        <f>=COUNTIF(E1317:AI1317,"A")+COUNTIF(E1317:AI1317,"B")+COUNTIF(E1317:AI1317,"C")+COUNTIF(E1317:AI1317,"D")+COUNTIF(E1317:AI1317,"E")+COUNTIF(E1317:AI1317,"F")+COUNTIF(E1317:AI1317,"M")+COUNTIF(E1317:AI1317,"AB")+COUNTIF(E1317:AI1317,"UZ")+COUNTIF(E1317:AI1317,"G")+(COUNTIF(E1317:AI1317,"RT.")/2)+(COUNTIF(E1317:AI1317,"ÇRT.")/2)</f>
      </c>
      <c r="AO1317" s="1">
        <f>=COUNTIF(E1317:AI1317,"O")</f>
      </c>
      <c r="AP1317" s="1">
        <f>=COUNTIF(E1317:AI1317,"RT")+(COUNTIF(E1317:AI1317,"RT.")/2)</f>
      </c>
      <c r="AQ1317" s="1">
        <f>=COUNTIF(E1317:AI1317,"ÇRT")+(COUNTIF(E1317:AI1317,"ÇRT.")/2)</f>
      </c>
      <c r="AR1317" s="1">
        <f>=COUNTIF(E1317:AI1317,"ÇHT")</f>
      </c>
      <c r="AS1317" s="1">
        <f>=COUNTIF(E1317:AI1317,"Ö")+COUNTIF(E1317:AI1317,"T")</f>
      </c>
      <c r="AT1317" s="1">
        <f>=COUNTIF(E1317:AI1317,"Y")</f>
      </c>
      <c r="AU1317" s="1">
        <f>=COUNTIF(E1317:AI1317,"R.")</f>
      </c>
      <c r="AV1317" s="1">
        <f>=COUNTIF(E1317:AI1317,"Ü")</f>
      </c>
      <c r="AW1317" s="1">
        <f>=COUNTIF(E1317:AI1317,"R")</f>
      </c>
      <c r="AX1317" s="1">
        <f>=COUNTIF(E1317:AI1317,"DV")</f>
      </c>
      <c r="AY1317" s="1">
        <f>=+AN1317+AO1317+AP1317+AQ1317+AR1317+AS1317+AT1317+AU1317</f>
      </c>
    </row>
    <row r="1318" ht="16" customHeight="1" spans="1:51" x14ac:dyDescent="0.25">
      <c r="A1318" s="45"/>
      <c r="B1318" s="46"/>
      <c r="C1318" s="46"/>
      <c r="D1318" s="46" t="s">
        <v>33</v>
      </c>
      <c r="E1318" s="46"/>
      <c r="F1318" s="46"/>
      <c r="G1318" s="46"/>
      <c r="H1318" s="46"/>
      <c r="I1318" s="46"/>
      <c r="J1318" s="46"/>
      <c r="K1318" s="46"/>
      <c r="L1318" s="46"/>
      <c r="M1318" s="46"/>
      <c r="N1318" s="46"/>
      <c r="O1318" s="46"/>
      <c r="P1318" s="46"/>
      <c r="Q1318" s="46"/>
      <c r="R1318" s="46"/>
      <c r="S1318" s="46"/>
      <c r="T1318" s="46"/>
      <c r="U1318" s="46"/>
      <c r="V1318" s="46"/>
      <c r="W1318" s="46"/>
      <c r="X1318" s="46"/>
      <c r="Y1318" s="46"/>
      <c r="Z1318" s="46"/>
      <c r="AA1318" s="46"/>
      <c r="AB1318" s="46"/>
      <c r="AC1318" s="46"/>
      <c r="AD1318" s="46"/>
      <c r="AE1318" s="46"/>
      <c r="AF1318" s="46"/>
      <c r="AG1318" s="46"/>
      <c r="AH1318" s="46"/>
      <c r="AI1318" s="46"/>
      <c r="AJ1318" s="46"/>
      <c r="AK1318" s="46"/>
      <c r="AL1318" s="46"/>
      <c r="AM1318" s="1"/>
      <c r="AN1318" s="1"/>
      <c r="AO1318" s="1"/>
      <c r="AP1318" s="1"/>
      <c r="AQ1318" s="1"/>
      <c r="AR1318" s="1"/>
      <c r="AS1318" s="1"/>
      <c r="AT1318" s="1"/>
      <c r="AU1318" s="1"/>
      <c r="AV1318" s="1"/>
      <c r="AW1318" s="1"/>
      <c r="AX1318" s="1"/>
      <c r="AY1318" s="1"/>
    </row>
    <row r="1319" ht="16" customHeight="1" spans="1:51" x14ac:dyDescent="0.25">
      <c r="A1319" s="45"/>
      <c r="B1319" s="46" t="s">
        <v>1371</v>
      </c>
      <c r="C1319" s="46" t="s">
        <v>1372</v>
      </c>
      <c r="D1319" s="46" t="s">
        <v>29</v>
      </c>
      <c r="E1319" s="46" t="s">
        <v>36</v>
      </c>
      <c r="F1319" s="46" t="s">
        <v>36</v>
      </c>
      <c r="G1319" s="46" t="s">
        <v>36</v>
      </c>
      <c r="H1319" s="46" t="s">
        <v>36</v>
      </c>
      <c r="I1319" s="46" t="s">
        <v>36</v>
      </c>
      <c r="J1319" s="46" t="s">
        <v>37</v>
      </c>
      <c r="K1319" s="46" t="s">
        <v>36</v>
      </c>
      <c r="L1319" s="46" t="s">
        <v>36</v>
      </c>
      <c r="M1319" s="46" t="s">
        <v>36</v>
      </c>
      <c r="N1319" s="46" t="s">
        <v>36</v>
      </c>
      <c r="O1319" s="46" t="s">
        <v>36</v>
      </c>
      <c r="P1319" s="46" t="s">
        <v>36</v>
      </c>
      <c r="Q1319" s="46" t="s">
        <v>37</v>
      </c>
      <c r="R1319" s="46" t="s">
        <v>36</v>
      </c>
      <c r="S1319" s="46" t="s">
        <v>36</v>
      </c>
      <c r="T1319" s="46" t="s">
        <v>36</v>
      </c>
      <c r="U1319" s="46" t="s">
        <v>36</v>
      </c>
      <c r="V1319" s="46" t="s">
        <v>36</v>
      </c>
      <c r="W1319" s="46" t="s">
        <v>36</v>
      </c>
      <c r="X1319" s="46" t="s">
        <v>37</v>
      </c>
      <c r="Y1319" s="46" t="s">
        <v>36</v>
      </c>
      <c r="Z1319" s="46" t="s">
        <v>36</v>
      </c>
      <c r="AA1319" s="46" t="s">
        <v>36</v>
      </c>
      <c r="AB1319" s="46" t="s">
        <v>36</v>
      </c>
      <c r="AC1319" s="46" t="s">
        <v>36</v>
      </c>
      <c r="AD1319" s="46" t="s">
        <v>36</v>
      </c>
      <c r="AE1319" s="46" t="s">
        <v>37</v>
      </c>
      <c r="AF1319" s="46" t="s">
        <v>36</v>
      </c>
      <c r="AG1319" s="46" t="s">
        <v>36</v>
      </c>
      <c r="AH1319" s="46" t="s">
        <v>43</v>
      </c>
      <c r="AI1319" s="46" t="s">
        <v>36</v>
      </c>
      <c r="AJ1319" s="46">
        <f>=SUM(E1320:AI1320)</f>
      </c>
      <c r="AK1319" s="46">
        <f>=+AY1319</f>
      </c>
      <c r="AL1319" s="46"/>
      <c r="AM1319" s="1"/>
      <c r="AN1319" s="1">
        <f>=COUNTIF(E1319:AI1319,"A")+COUNTIF(E1319:AI1319,"B")+COUNTIF(E1319:AI1319,"C")+COUNTIF(E1319:AI1319,"D")+COUNTIF(E1319:AI1319,"E")+COUNTIF(E1319:AI1319,"F")+COUNTIF(E1319:AI1319,"M")+COUNTIF(E1319:AI1319,"AB")+COUNTIF(E1319:AI1319,"UZ")+COUNTIF(E1319:AI1319,"G")+(COUNTIF(E1319:AI1319,"RT.")/2)+(COUNTIF(E1319:AI1319,"ÇRT.")/2)</f>
      </c>
      <c r="AO1319" s="1">
        <f>=COUNTIF(E1319:AI1319,"O")</f>
      </c>
      <c r="AP1319" s="1">
        <f>=COUNTIF(E1319:AI1319,"RT")+(COUNTIF(E1319:AI1319,"RT.")/2)</f>
      </c>
      <c r="AQ1319" s="1">
        <f>=COUNTIF(E1319:AI1319,"ÇRT")+(COUNTIF(E1319:AI1319,"ÇRT.")/2)</f>
      </c>
      <c r="AR1319" s="1">
        <f>=COUNTIF(E1319:AI1319,"ÇHT")</f>
      </c>
      <c r="AS1319" s="1">
        <f>=COUNTIF(E1319:AI1319,"Ö")+COUNTIF(E1319:AI1319,"T")</f>
      </c>
      <c r="AT1319" s="1">
        <f>=COUNTIF(E1319:AI1319,"Y")</f>
      </c>
      <c r="AU1319" s="1">
        <f>=COUNTIF(E1319:AI1319,"R.")</f>
      </c>
      <c r="AV1319" s="1">
        <f>=COUNTIF(E1319:AI1319,"Ü")</f>
      </c>
      <c r="AW1319" s="1">
        <f>=COUNTIF(E1319:AI1319,"R")</f>
      </c>
      <c r="AX1319" s="1">
        <f>=COUNTIF(E1319:AI1319,"DV")</f>
      </c>
      <c r="AY1319" s="1">
        <f>=+AN1319+AO1319+AP1319+AQ1319+AR1319+AS1319+AT1319+AU1319</f>
      </c>
    </row>
    <row r="1320" ht="16" customHeight="1" spans="1:51" x14ac:dyDescent="0.25">
      <c r="A1320" s="45"/>
      <c r="B1320" s="46"/>
      <c r="C1320" s="46"/>
      <c r="D1320" s="46" t="s">
        <v>33</v>
      </c>
      <c r="E1320" s="46"/>
      <c r="F1320" s="46"/>
      <c r="G1320" s="46"/>
      <c r="H1320" s="46"/>
      <c r="I1320" s="46"/>
      <c r="J1320" s="46"/>
      <c r="K1320" s="46"/>
      <c r="L1320" s="46"/>
      <c r="M1320" s="46"/>
      <c r="N1320" s="46"/>
      <c r="O1320" s="46"/>
      <c r="P1320" s="46"/>
      <c r="Q1320" s="46"/>
      <c r="R1320" s="46"/>
      <c r="S1320" s="46"/>
      <c r="T1320" s="46"/>
      <c r="U1320" s="46"/>
      <c r="V1320" s="46"/>
      <c r="W1320" s="46"/>
      <c r="X1320" s="46"/>
      <c r="Y1320" s="46"/>
      <c r="Z1320" s="46"/>
      <c r="AA1320" s="46"/>
      <c r="AB1320" s="46">
        <v>2</v>
      </c>
      <c r="AC1320" s="46"/>
      <c r="AD1320" s="46"/>
      <c r="AE1320" s="46"/>
      <c r="AF1320" s="46">
        <v>2</v>
      </c>
      <c r="AG1320" s="46"/>
      <c r="AH1320" s="46"/>
      <c r="AI1320" s="46"/>
      <c r="AJ1320" s="46"/>
      <c r="AK1320" s="46"/>
      <c r="AL1320" s="46"/>
      <c r="AM1320" s="1"/>
      <c r="AN1320" s="1"/>
      <c r="AO1320" s="1"/>
      <c r="AP1320" s="1"/>
      <c r="AQ1320" s="1"/>
      <c r="AR1320" s="1"/>
      <c r="AS1320" s="1"/>
      <c r="AT1320" s="1"/>
      <c r="AU1320" s="1"/>
      <c r="AV1320" s="1"/>
      <c r="AW1320" s="1"/>
      <c r="AX1320" s="1"/>
      <c r="AY1320" s="1"/>
    </row>
    <row r="1321" ht="16" customHeight="1" spans="1:51" x14ac:dyDescent="0.25">
      <c r="A1321" s="45"/>
      <c r="B1321" s="46" t="s">
        <v>1373</v>
      </c>
      <c r="C1321" s="46" t="s">
        <v>1374</v>
      </c>
      <c r="D1321" s="46" t="s">
        <v>29</v>
      </c>
      <c r="E1321" s="46" t="s">
        <v>41</v>
      </c>
      <c r="F1321" s="46" t="s">
        <v>41</v>
      </c>
      <c r="G1321" s="46" t="s">
        <v>41</v>
      </c>
      <c r="H1321" s="46" t="s">
        <v>37</v>
      </c>
      <c r="I1321" s="46" t="s">
        <v>41</v>
      </c>
      <c r="J1321" s="46" t="s">
        <v>41</v>
      </c>
      <c r="K1321" s="46" t="s">
        <v>41</v>
      </c>
      <c r="L1321" s="46" t="s">
        <v>41</v>
      </c>
      <c r="M1321" s="46" t="s">
        <v>41</v>
      </c>
      <c r="N1321" s="46" t="s">
        <v>41</v>
      </c>
      <c r="O1321" s="46" t="s">
        <v>41</v>
      </c>
      <c r="P1321" s="46" t="s">
        <v>37</v>
      </c>
      <c r="Q1321" s="46" t="s">
        <v>41</v>
      </c>
      <c r="R1321" s="46" t="s">
        <v>41</v>
      </c>
      <c r="S1321" s="46" t="s">
        <v>41</v>
      </c>
      <c r="T1321" s="46" t="s">
        <v>41</v>
      </c>
      <c r="U1321" s="46" t="s">
        <v>41</v>
      </c>
      <c r="V1321" s="46" t="s">
        <v>41</v>
      </c>
      <c r="W1321" s="46" t="s">
        <v>41</v>
      </c>
      <c r="X1321" s="46" t="s">
        <v>37</v>
      </c>
      <c r="Y1321" s="46" t="s">
        <v>41</v>
      </c>
      <c r="Z1321" s="46" t="s">
        <v>41</v>
      </c>
      <c r="AA1321" s="46" t="s">
        <v>41</v>
      </c>
      <c r="AB1321" s="46" t="s">
        <v>41</v>
      </c>
      <c r="AC1321" s="46" t="s">
        <v>41</v>
      </c>
      <c r="AD1321" s="46" t="s">
        <v>41</v>
      </c>
      <c r="AE1321" s="46" t="s">
        <v>37</v>
      </c>
      <c r="AF1321" s="46" t="s">
        <v>41</v>
      </c>
      <c r="AG1321" s="46" t="s">
        <v>41</v>
      </c>
      <c r="AH1321" s="46" t="s">
        <v>43</v>
      </c>
      <c r="AI1321" s="46" t="s">
        <v>41</v>
      </c>
      <c r="AJ1321" s="46">
        <f>=SUM(E1322:AI1322)</f>
      </c>
      <c r="AK1321" s="46">
        <f>=+AY1321</f>
      </c>
      <c r="AL1321" s="46"/>
      <c r="AM1321" s="1"/>
      <c r="AN1321" s="1">
        <f>=COUNTIF(E1321:AI1321,"A")+COUNTIF(E1321:AI1321,"B")+COUNTIF(E1321:AI1321,"C")+COUNTIF(E1321:AI1321,"D")+COUNTIF(E1321:AI1321,"E")+COUNTIF(E1321:AI1321,"F")+COUNTIF(E1321:AI1321,"M")+COUNTIF(E1321:AI1321,"AB")+COUNTIF(E1321:AI1321,"UZ")+COUNTIF(E1321:AI1321,"G")+(COUNTIF(E1321:AI1321,"RT.")/2)+(COUNTIF(E1321:AI1321,"ÇRT.")/2)</f>
      </c>
      <c r="AO1321" s="1">
        <f>=COUNTIF(E1321:AI1321,"O")</f>
      </c>
      <c r="AP1321" s="1">
        <f>=COUNTIF(E1321:AI1321,"RT")+(COUNTIF(E1321:AI1321,"RT.")/2)</f>
      </c>
      <c r="AQ1321" s="1">
        <f>=COUNTIF(E1321:AI1321,"ÇRT")+(COUNTIF(E1321:AI1321,"ÇRT.")/2)</f>
      </c>
      <c r="AR1321" s="1">
        <f>=COUNTIF(E1321:AI1321,"ÇHT")</f>
      </c>
      <c r="AS1321" s="1">
        <f>=COUNTIF(E1321:AI1321,"Ö")+COUNTIF(E1321:AI1321,"T")</f>
      </c>
      <c r="AT1321" s="1">
        <f>=COUNTIF(E1321:AI1321,"Y")</f>
      </c>
      <c r="AU1321" s="1">
        <f>=COUNTIF(E1321:AI1321,"R.")</f>
      </c>
      <c r="AV1321" s="1">
        <f>=COUNTIF(E1321:AI1321,"Ü")</f>
      </c>
      <c r="AW1321" s="1">
        <f>=COUNTIF(E1321:AI1321,"R")</f>
      </c>
      <c r="AX1321" s="1">
        <f>=COUNTIF(E1321:AI1321,"DV")</f>
      </c>
      <c r="AY1321" s="1">
        <f>=+AN1321+AO1321+AP1321+AQ1321+AR1321+AS1321+AT1321+AU1321</f>
      </c>
    </row>
    <row r="1322" ht="16" customHeight="1" spans="1:51" x14ac:dyDescent="0.25">
      <c r="A1322" s="45"/>
      <c r="B1322" s="46"/>
      <c r="C1322" s="46"/>
      <c r="D1322" s="46" t="s">
        <v>33</v>
      </c>
      <c r="E1322" s="46"/>
      <c r="F1322" s="46"/>
      <c r="G1322" s="46">
        <v>3</v>
      </c>
      <c r="H1322" s="46"/>
      <c r="I1322" s="46">
        <v>3</v>
      </c>
      <c r="J1322" s="46">
        <v>3</v>
      </c>
      <c r="K1322" s="46">
        <v>3</v>
      </c>
      <c r="L1322" s="46">
        <v>3</v>
      </c>
      <c r="M1322" s="46">
        <v>3</v>
      </c>
      <c r="N1322" s="46">
        <v>3</v>
      </c>
      <c r="O1322" s="46">
        <v>3</v>
      </c>
      <c r="P1322" s="46"/>
      <c r="Q1322" s="46">
        <v>3</v>
      </c>
      <c r="R1322" s="46">
        <v>3</v>
      </c>
      <c r="S1322" s="46">
        <v>3</v>
      </c>
      <c r="T1322" s="46">
        <v>3</v>
      </c>
      <c r="U1322" s="46">
        <v>3</v>
      </c>
      <c r="V1322" s="46">
        <v>3</v>
      </c>
      <c r="W1322" s="46">
        <v>2</v>
      </c>
      <c r="X1322" s="46"/>
      <c r="Y1322" s="46">
        <v>2</v>
      </c>
      <c r="Z1322" s="46">
        <v>2</v>
      </c>
      <c r="AA1322" s="46">
        <v>2</v>
      </c>
      <c r="AB1322" s="46">
        <v>2</v>
      </c>
      <c r="AC1322" s="46">
        <v>2</v>
      </c>
      <c r="AD1322" s="46">
        <v>2</v>
      </c>
      <c r="AE1322" s="46"/>
      <c r="AF1322" s="46">
        <v>2</v>
      </c>
      <c r="AG1322" s="46">
        <v>2</v>
      </c>
      <c r="AH1322" s="46">
        <v>2</v>
      </c>
      <c r="AI1322" s="46">
        <v>2</v>
      </c>
      <c r="AJ1322" s="46"/>
      <c r="AK1322" s="46"/>
      <c r="AL1322" s="46"/>
      <c r="AM1322" s="1"/>
      <c r="AN1322" s="1"/>
      <c r="AO1322" s="1"/>
      <c r="AP1322" s="1"/>
      <c r="AQ1322" s="1"/>
      <c r="AR1322" s="1"/>
      <c r="AS1322" s="1"/>
      <c r="AT1322" s="1"/>
      <c r="AU1322" s="1"/>
      <c r="AV1322" s="1"/>
      <c r="AW1322" s="1"/>
      <c r="AX1322" s="1"/>
      <c r="AY1322" s="1"/>
    </row>
    <row r="1323" ht="16" customHeight="1" spans="1:51" x14ac:dyDescent="0.25">
      <c r="A1323" s="45"/>
      <c r="B1323" s="46" t="s">
        <v>1375</v>
      </c>
      <c r="C1323" s="46" t="s">
        <v>1376</v>
      </c>
      <c r="D1323" s="46" t="s">
        <v>29</v>
      </c>
      <c r="E1323" s="46"/>
      <c r="F1323" s="46"/>
      <c r="G1323" s="46"/>
      <c r="H1323" s="46"/>
      <c r="I1323" s="46"/>
      <c r="J1323" s="46"/>
      <c r="K1323" s="46"/>
      <c r="L1323" s="46"/>
      <c r="M1323" s="46"/>
      <c r="N1323" s="46"/>
      <c r="O1323" s="46"/>
      <c r="P1323" s="46"/>
      <c r="Q1323" s="46"/>
      <c r="R1323" s="46"/>
      <c r="S1323" s="46"/>
      <c r="T1323" s="46"/>
      <c r="U1323" s="46"/>
      <c r="V1323" s="46"/>
      <c r="W1323" s="46"/>
      <c r="X1323" s="46"/>
      <c r="Y1323" s="46"/>
      <c r="Z1323" s="46"/>
      <c r="AA1323" s="46"/>
      <c r="AB1323" s="46"/>
      <c r="AC1323" s="46"/>
      <c r="AD1323" s="46"/>
      <c r="AE1323" s="46"/>
      <c r="AF1323" s="46"/>
      <c r="AG1323" s="46"/>
      <c r="AH1323" s="46"/>
      <c r="AI1323" s="46"/>
      <c r="AJ1323" s="46">
        <f>=SUM(E1324:AI1324)</f>
      </c>
      <c r="AK1323" s="46">
        <f>=+AY1323</f>
      </c>
      <c r="AL1323" s="46"/>
      <c r="AM1323" s="1"/>
      <c r="AN1323" s="1">
        <f>=COUNTIF(E1323:AI1323,"A")+COUNTIF(E1323:AI1323,"B")+COUNTIF(E1323:AI1323,"C")+COUNTIF(E1323:AI1323,"D")+COUNTIF(E1323:AI1323,"E")+COUNTIF(E1323:AI1323,"F")+COUNTIF(E1323:AI1323,"M")+COUNTIF(E1323:AI1323,"AB")+COUNTIF(E1323:AI1323,"UZ")+COUNTIF(E1323:AI1323,"G")+(COUNTIF(E1323:AI1323,"RT.")/2)+(COUNTIF(E1323:AI1323,"ÇRT.")/2)</f>
      </c>
      <c r="AO1323" s="1">
        <f>=COUNTIF(E1323:AI1323,"O")</f>
      </c>
      <c r="AP1323" s="1">
        <f>=COUNTIF(E1323:AI1323,"RT")+(COUNTIF(E1323:AI1323,"RT.")/2)</f>
      </c>
      <c r="AQ1323" s="1">
        <f>=COUNTIF(E1323:AI1323,"ÇRT")+(COUNTIF(E1323:AI1323,"ÇRT.")/2)</f>
      </c>
      <c r="AR1323" s="1">
        <f>=COUNTIF(E1323:AI1323,"ÇHT")</f>
      </c>
      <c r="AS1323" s="1">
        <f>=COUNTIF(E1323:AI1323,"Ö")+COUNTIF(E1323:AI1323,"T")</f>
      </c>
      <c r="AT1323" s="1">
        <f>=COUNTIF(E1323:AI1323,"Y")</f>
      </c>
      <c r="AU1323" s="1">
        <f>=COUNTIF(E1323:AI1323,"R.")</f>
      </c>
      <c r="AV1323" s="1">
        <f>=COUNTIF(E1323:AI1323,"Ü")</f>
      </c>
      <c r="AW1323" s="1">
        <f>=COUNTIF(E1323:AI1323,"R")</f>
      </c>
      <c r="AX1323" s="1">
        <f>=COUNTIF(E1323:AI1323,"DV")</f>
      </c>
      <c r="AY1323" s="1">
        <f>=+AN1323+AO1323+AP1323+AQ1323+AR1323+AS1323+AT1323+AU1323</f>
      </c>
    </row>
    <row r="1324" ht="16" customHeight="1" spans="1:51" x14ac:dyDescent="0.25">
      <c r="A1324" s="45"/>
      <c r="B1324" s="46"/>
      <c r="C1324" s="46"/>
      <c r="D1324" s="46" t="s">
        <v>33</v>
      </c>
      <c r="E1324" s="46"/>
      <c r="F1324" s="46"/>
      <c r="G1324" s="46"/>
      <c r="H1324" s="46"/>
      <c r="I1324" s="46"/>
      <c r="J1324" s="46"/>
      <c r="K1324" s="46"/>
      <c r="L1324" s="46"/>
      <c r="M1324" s="46"/>
      <c r="N1324" s="46"/>
      <c r="O1324" s="46"/>
      <c r="P1324" s="46"/>
      <c r="Q1324" s="46"/>
      <c r="R1324" s="46"/>
      <c r="S1324" s="46"/>
      <c r="T1324" s="46"/>
      <c r="U1324" s="46"/>
      <c r="V1324" s="46"/>
      <c r="W1324" s="46"/>
      <c r="X1324" s="46"/>
      <c r="Y1324" s="46"/>
      <c r="Z1324" s="46"/>
      <c r="AA1324" s="46"/>
      <c r="AB1324" s="46"/>
      <c r="AC1324" s="46"/>
      <c r="AD1324" s="46"/>
      <c r="AE1324" s="46"/>
      <c r="AF1324" s="46"/>
      <c r="AG1324" s="46"/>
      <c r="AH1324" s="46"/>
      <c r="AI1324" s="46"/>
      <c r="AJ1324" s="46"/>
      <c r="AK1324" s="46"/>
      <c r="AL1324" s="46"/>
      <c r="AM1324" s="1"/>
      <c r="AN1324" s="1"/>
      <c r="AO1324" s="1"/>
      <c r="AP1324" s="1"/>
      <c r="AQ1324" s="1"/>
      <c r="AR1324" s="1"/>
      <c r="AS1324" s="1"/>
      <c r="AT1324" s="1"/>
      <c r="AU1324" s="1"/>
      <c r="AV1324" s="1"/>
      <c r="AW1324" s="1"/>
      <c r="AX1324" s="1"/>
      <c r="AY1324" s="1"/>
    </row>
    <row r="1325" ht="16" customHeight="1" spans="1:51" x14ac:dyDescent="0.25">
      <c r="A1325" s="45"/>
      <c r="B1325" s="46" t="s">
        <v>1377</v>
      </c>
      <c r="C1325" s="46" t="s">
        <v>1378</v>
      </c>
      <c r="D1325" s="46" t="s">
        <v>29</v>
      </c>
      <c r="E1325" s="46"/>
      <c r="F1325" s="46"/>
      <c r="G1325" s="46"/>
      <c r="H1325" s="46"/>
      <c r="I1325" s="46"/>
      <c r="J1325" s="46"/>
      <c r="K1325" s="46"/>
      <c r="L1325" s="46"/>
      <c r="M1325" s="46"/>
      <c r="N1325" s="46"/>
      <c r="O1325" s="46"/>
      <c r="P1325" s="46"/>
      <c r="Q1325" s="46"/>
      <c r="R1325" s="46"/>
      <c r="S1325" s="46"/>
      <c r="T1325" s="46"/>
      <c r="U1325" s="46"/>
      <c r="V1325" s="46"/>
      <c r="W1325" s="46"/>
      <c r="X1325" s="46"/>
      <c r="Y1325" s="46"/>
      <c r="Z1325" s="46"/>
      <c r="AA1325" s="46"/>
      <c r="AB1325" s="46"/>
      <c r="AC1325" s="46"/>
      <c r="AD1325" s="46"/>
      <c r="AE1325" s="46"/>
      <c r="AF1325" s="46"/>
      <c r="AG1325" s="46"/>
      <c r="AH1325" s="46"/>
      <c r="AI1325" s="46"/>
      <c r="AJ1325" s="46">
        <f>=SUM(E1326:AI1326)</f>
      </c>
      <c r="AK1325" s="46">
        <f>=+AY1325</f>
      </c>
      <c r="AL1325" s="46"/>
      <c r="AM1325" s="1"/>
      <c r="AN1325" s="1">
        <f>=COUNTIF(E1325:AI1325,"A")+COUNTIF(E1325:AI1325,"B")+COUNTIF(E1325:AI1325,"C")+COUNTIF(E1325:AI1325,"D")+COUNTIF(E1325:AI1325,"E")+COUNTIF(E1325:AI1325,"F")+COUNTIF(E1325:AI1325,"M")+COUNTIF(E1325:AI1325,"AB")+COUNTIF(E1325:AI1325,"UZ")+COUNTIF(E1325:AI1325,"G")+(COUNTIF(E1325:AI1325,"RT.")/2)+(COUNTIF(E1325:AI1325,"ÇRT.")/2)</f>
      </c>
      <c r="AO1325" s="1">
        <f>=COUNTIF(E1325:AI1325,"O")</f>
      </c>
      <c r="AP1325" s="1">
        <f>=COUNTIF(E1325:AI1325,"RT")+(COUNTIF(E1325:AI1325,"RT.")/2)</f>
      </c>
      <c r="AQ1325" s="1">
        <f>=COUNTIF(E1325:AI1325,"ÇRT")+(COUNTIF(E1325:AI1325,"ÇRT.")/2)</f>
      </c>
      <c r="AR1325" s="1">
        <f>=COUNTIF(E1325:AI1325,"ÇHT")</f>
      </c>
      <c r="AS1325" s="1">
        <f>=COUNTIF(E1325:AI1325,"Ö")+COUNTIF(E1325:AI1325,"T")</f>
      </c>
      <c r="AT1325" s="1">
        <f>=COUNTIF(E1325:AI1325,"Y")</f>
      </c>
      <c r="AU1325" s="1">
        <f>=COUNTIF(E1325:AI1325,"R.")</f>
      </c>
      <c r="AV1325" s="1">
        <f>=COUNTIF(E1325:AI1325,"Ü")</f>
      </c>
      <c r="AW1325" s="1">
        <f>=COUNTIF(E1325:AI1325,"R")</f>
      </c>
      <c r="AX1325" s="1">
        <f>=COUNTIF(E1325:AI1325,"DV")</f>
      </c>
      <c r="AY1325" s="1">
        <f>=+AN1325+AO1325+AP1325+AQ1325+AR1325+AS1325+AT1325+AU1325</f>
      </c>
    </row>
    <row r="1326" ht="16" customHeight="1" spans="1:51" x14ac:dyDescent="0.25">
      <c r="A1326" s="45"/>
      <c r="B1326" s="46"/>
      <c r="C1326" s="46"/>
      <c r="D1326" s="46" t="s">
        <v>33</v>
      </c>
      <c r="E1326" s="46"/>
      <c r="F1326" s="46"/>
      <c r="G1326" s="46"/>
      <c r="H1326" s="46"/>
      <c r="I1326" s="46"/>
      <c r="J1326" s="46"/>
      <c r="K1326" s="46"/>
      <c r="L1326" s="46"/>
      <c r="M1326" s="46"/>
      <c r="N1326" s="46"/>
      <c r="O1326" s="46"/>
      <c r="P1326" s="46"/>
      <c r="Q1326" s="46"/>
      <c r="R1326" s="46"/>
      <c r="S1326" s="46"/>
      <c r="T1326" s="46"/>
      <c r="U1326" s="46"/>
      <c r="V1326" s="46"/>
      <c r="W1326" s="46"/>
      <c r="X1326" s="46"/>
      <c r="Y1326" s="46"/>
      <c r="Z1326" s="46"/>
      <c r="AA1326" s="46"/>
      <c r="AB1326" s="46"/>
      <c r="AC1326" s="46"/>
      <c r="AD1326" s="46"/>
      <c r="AE1326" s="46"/>
      <c r="AF1326" s="46"/>
      <c r="AG1326" s="46"/>
      <c r="AH1326" s="46"/>
      <c r="AI1326" s="46"/>
      <c r="AJ1326" s="46"/>
      <c r="AK1326" s="46"/>
      <c r="AL1326" s="46"/>
      <c r="AM1326" s="1"/>
      <c r="AN1326" s="1"/>
      <c r="AO1326" s="1"/>
      <c r="AP1326" s="1"/>
      <c r="AQ1326" s="1"/>
      <c r="AR1326" s="1"/>
      <c r="AS1326" s="1"/>
      <c r="AT1326" s="1"/>
      <c r="AU1326" s="1"/>
      <c r="AV1326" s="1"/>
      <c r="AW1326" s="1"/>
      <c r="AX1326" s="1"/>
      <c r="AY1326" s="1"/>
    </row>
    <row r="1327" ht="16" customHeight="1" spans="1:51" x14ac:dyDescent="0.25">
      <c r="A1327" s="45"/>
      <c r="B1327" s="46" t="s">
        <v>1379</v>
      </c>
      <c r="C1327" s="46" t="s">
        <v>1380</v>
      </c>
      <c r="D1327" s="46" t="s">
        <v>29</v>
      </c>
      <c r="E1327" s="46" t="s">
        <v>299</v>
      </c>
      <c r="F1327" s="46" t="s">
        <v>299</v>
      </c>
      <c r="G1327" s="46" t="s">
        <v>36</v>
      </c>
      <c r="H1327" s="46" t="s">
        <v>37</v>
      </c>
      <c r="I1327" s="46" t="s">
        <v>299</v>
      </c>
      <c r="J1327" s="46" t="s">
        <v>299</v>
      </c>
      <c r="K1327" s="46" t="s">
        <v>36</v>
      </c>
      <c r="L1327" s="46" t="s">
        <v>299</v>
      </c>
      <c r="M1327" s="46" t="s">
        <v>299</v>
      </c>
      <c r="N1327" s="46" t="s">
        <v>36</v>
      </c>
      <c r="O1327" s="46" t="s">
        <v>37</v>
      </c>
      <c r="P1327" s="46" t="s">
        <v>299</v>
      </c>
      <c r="Q1327" s="46" t="s">
        <v>299</v>
      </c>
      <c r="R1327" s="46" t="s">
        <v>36</v>
      </c>
      <c r="S1327" s="46" t="s">
        <v>299</v>
      </c>
      <c r="T1327" s="46" t="s">
        <v>299</v>
      </c>
      <c r="U1327" s="46" t="s">
        <v>36</v>
      </c>
      <c r="V1327" s="46" t="s">
        <v>37</v>
      </c>
      <c r="W1327" s="46" t="s">
        <v>299</v>
      </c>
      <c r="X1327" s="46" t="s">
        <v>337</v>
      </c>
      <c r="Y1327" s="46" t="s">
        <v>299</v>
      </c>
      <c r="Z1327" s="46" t="s">
        <v>299</v>
      </c>
      <c r="AA1327" s="46" t="s">
        <v>299</v>
      </c>
      <c r="AB1327" s="46" t="s">
        <v>36</v>
      </c>
      <c r="AC1327" s="46" t="s">
        <v>37</v>
      </c>
      <c r="AD1327" s="46" t="s">
        <v>299</v>
      </c>
      <c r="AE1327" s="46" t="s">
        <v>299</v>
      </c>
      <c r="AF1327" s="46" t="s">
        <v>36</v>
      </c>
      <c r="AG1327" s="46" t="s">
        <v>299</v>
      </c>
      <c r="AH1327" s="46" t="s">
        <v>43</v>
      </c>
      <c r="AI1327" s="46" t="s">
        <v>36</v>
      </c>
      <c r="AJ1327" s="46">
        <f>=SUM(E1328:AI1328)</f>
      </c>
      <c r="AK1327" s="46">
        <f>=+AY1327</f>
      </c>
      <c r="AL1327" s="46"/>
      <c r="AM1327" s="1"/>
      <c r="AN1327" s="1">
        <f>=COUNTIF(E1327:AI1327,"A")+COUNTIF(E1327:AI1327,"B")+COUNTIF(E1327:AI1327,"C")+COUNTIF(E1327:AI1327,"D")+COUNTIF(E1327:AI1327,"E")+COUNTIF(E1327:AI1327,"F")+COUNTIF(E1327:AI1327,"M")+COUNTIF(E1327:AI1327,"AB")+COUNTIF(E1327:AI1327,"UZ")+COUNTIF(E1327:AI1327,"G")+(COUNTIF(E1327:AI1327,"RT.")/2)+(COUNTIF(E1327:AI1327,"ÇRT.")/2)</f>
      </c>
      <c r="AO1327" s="1">
        <f>=COUNTIF(E1327:AI1327,"O")</f>
      </c>
      <c r="AP1327" s="1">
        <f>=COUNTIF(E1327:AI1327,"RT")+(COUNTIF(E1327:AI1327,"RT.")/2)</f>
      </c>
      <c r="AQ1327" s="1">
        <f>=COUNTIF(E1327:AI1327,"ÇRT")+(COUNTIF(E1327:AI1327,"ÇRT.")/2)</f>
      </c>
      <c r="AR1327" s="1">
        <f>=COUNTIF(E1327:AI1327,"ÇHT")</f>
      </c>
      <c r="AS1327" s="1">
        <f>=COUNTIF(E1327:AI1327,"Ö")+COUNTIF(E1327:AI1327,"T")</f>
      </c>
      <c r="AT1327" s="1">
        <f>=COUNTIF(E1327:AI1327,"Y")</f>
      </c>
      <c r="AU1327" s="1">
        <f>=COUNTIF(E1327:AI1327,"R.")</f>
      </c>
      <c r="AV1327" s="1">
        <f>=COUNTIF(E1327:AI1327,"Ü")</f>
      </c>
      <c r="AW1327" s="1">
        <f>=COUNTIF(E1327:AI1327,"R")</f>
      </c>
      <c r="AX1327" s="1">
        <f>=COUNTIF(E1327:AI1327,"DV")</f>
      </c>
      <c r="AY1327" s="1">
        <f>=+AN1327+AO1327+AP1327+AQ1327+AR1327+AS1327+AT1327+AU1327</f>
      </c>
    </row>
    <row r="1328" ht="16" customHeight="1" spans="1:51" x14ac:dyDescent="0.25">
      <c r="A1328" s="45"/>
      <c r="B1328" s="46"/>
      <c r="C1328" s="46"/>
      <c r="D1328" s="46" t="s">
        <v>33</v>
      </c>
      <c r="E1328" s="46">
        <v>2</v>
      </c>
      <c r="F1328" s="46">
        <v>2</v>
      </c>
      <c r="G1328" s="46"/>
      <c r="H1328" s="46"/>
      <c r="I1328" s="46">
        <v>2</v>
      </c>
      <c r="J1328" s="46">
        <v>2</v>
      </c>
      <c r="K1328" s="46"/>
      <c r="L1328" s="46">
        <v>2</v>
      </c>
      <c r="M1328" s="46">
        <v>2</v>
      </c>
      <c r="N1328" s="46"/>
      <c r="O1328" s="46"/>
      <c r="P1328" s="46">
        <v>2</v>
      </c>
      <c r="Q1328" s="46">
        <v>2</v>
      </c>
      <c r="R1328" s="46"/>
      <c r="S1328" s="46">
        <v>2</v>
      </c>
      <c r="T1328" s="46">
        <v>2</v>
      </c>
      <c r="U1328" s="46"/>
      <c r="V1328" s="46"/>
      <c r="W1328" s="46"/>
      <c r="X1328" s="46"/>
      <c r="Y1328" s="46"/>
      <c r="Z1328" s="46">
        <v>2</v>
      </c>
      <c r="AA1328" s="46">
        <v>2</v>
      </c>
      <c r="AB1328" s="46"/>
      <c r="AC1328" s="46"/>
      <c r="AD1328" s="46">
        <v>2</v>
      </c>
      <c r="AE1328" s="46">
        <v>2</v>
      </c>
      <c r="AF1328" s="46"/>
      <c r="AG1328" s="46">
        <v>2</v>
      </c>
      <c r="AH1328" s="46"/>
      <c r="AI1328" s="46"/>
      <c r="AJ1328" s="46"/>
      <c r="AK1328" s="46"/>
      <c r="AL1328" s="46"/>
      <c r="AM1328" s="1"/>
      <c r="AN1328" s="1"/>
      <c r="AO1328" s="1"/>
      <c r="AP1328" s="1"/>
      <c r="AQ1328" s="1"/>
      <c r="AR1328" s="1"/>
      <c r="AS1328" s="1"/>
      <c r="AT1328" s="1"/>
      <c r="AU1328" s="1"/>
      <c r="AV1328" s="1"/>
      <c r="AW1328" s="1"/>
      <c r="AX1328" s="1"/>
      <c r="AY1328" s="1"/>
    </row>
    <row r="1329" ht="16" customHeight="1" spans="1:51" x14ac:dyDescent="0.25">
      <c r="A1329" s="45"/>
      <c r="B1329" s="46" t="s">
        <v>1381</v>
      </c>
      <c r="C1329" s="46" t="s">
        <v>1382</v>
      </c>
      <c r="D1329" s="46" t="s">
        <v>29</v>
      </c>
      <c r="E1329" s="46"/>
      <c r="F1329" s="46"/>
      <c r="G1329" s="46"/>
      <c r="H1329" s="46"/>
      <c r="I1329" s="46"/>
      <c r="J1329" s="46"/>
      <c r="K1329" s="46"/>
      <c r="L1329" s="46"/>
      <c r="M1329" s="46"/>
      <c r="N1329" s="46"/>
      <c r="O1329" s="46"/>
      <c r="P1329" s="46"/>
      <c r="Q1329" s="46"/>
      <c r="R1329" s="46"/>
      <c r="S1329" s="46"/>
      <c r="T1329" s="46"/>
      <c r="U1329" s="46"/>
      <c r="V1329" s="46"/>
      <c r="W1329" s="46"/>
      <c r="X1329" s="46"/>
      <c r="Y1329" s="46"/>
      <c r="Z1329" s="46"/>
      <c r="AA1329" s="46"/>
      <c r="AB1329" s="46"/>
      <c r="AC1329" s="46" t="s">
        <v>36</v>
      </c>
      <c r="AD1329" s="46" t="s">
        <v>36</v>
      </c>
      <c r="AE1329" s="46"/>
      <c r="AF1329" s="46"/>
      <c r="AG1329" s="46"/>
      <c r="AH1329" s="46"/>
      <c r="AI1329" s="46"/>
      <c r="AJ1329" s="46">
        <f>=SUM(E1330:AI1330)</f>
      </c>
      <c r="AK1329" s="46">
        <f>=+AY1329</f>
      </c>
      <c r="AL1329" s="46"/>
      <c r="AM1329" s="1"/>
      <c r="AN1329" s="1">
        <f>=COUNTIF(E1329:AI1329,"A")+COUNTIF(E1329:AI1329,"B")+COUNTIF(E1329:AI1329,"C")+COUNTIF(E1329:AI1329,"D")+COUNTIF(E1329:AI1329,"E")+COUNTIF(E1329:AI1329,"F")+COUNTIF(E1329:AI1329,"M")+COUNTIF(E1329:AI1329,"AB")+COUNTIF(E1329:AI1329,"UZ")+COUNTIF(E1329:AI1329,"G")+(COUNTIF(E1329:AI1329,"RT.")/2)+(COUNTIF(E1329:AI1329,"ÇRT.")/2)</f>
      </c>
      <c r="AO1329" s="1">
        <f>=COUNTIF(E1329:AI1329,"O")</f>
      </c>
      <c r="AP1329" s="1">
        <f>=COUNTIF(E1329:AI1329,"RT")+(COUNTIF(E1329:AI1329,"RT.")/2)</f>
      </c>
      <c r="AQ1329" s="1">
        <f>=COUNTIF(E1329:AI1329,"ÇRT")+(COUNTIF(E1329:AI1329,"ÇRT.")/2)</f>
      </c>
      <c r="AR1329" s="1">
        <f>=COUNTIF(E1329:AI1329,"ÇHT")</f>
      </c>
      <c r="AS1329" s="1">
        <f>=COUNTIF(E1329:AI1329,"Ö")+COUNTIF(E1329:AI1329,"T")</f>
      </c>
      <c r="AT1329" s="1">
        <f>=COUNTIF(E1329:AI1329,"Y")</f>
      </c>
      <c r="AU1329" s="1">
        <f>=COUNTIF(E1329:AI1329,"R.")</f>
      </c>
      <c r="AV1329" s="1">
        <f>=COUNTIF(E1329:AI1329,"Ü")</f>
      </c>
      <c r="AW1329" s="1">
        <f>=COUNTIF(E1329:AI1329,"R")</f>
      </c>
      <c r="AX1329" s="1">
        <f>=COUNTIF(E1329:AI1329,"DV")</f>
      </c>
      <c r="AY1329" s="1">
        <f>=+AN1329+AO1329+AP1329+AQ1329+AR1329+AS1329+AT1329+AU1329</f>
      </c>
    </row>
    <row r="1330" ht="16" customHeight="1" spans="1:51" x14ac:dyDescent="0.25">
      <c r="A1330" s="45"/>
      <c r="B1330" s="46"/>
      <c r="C1330" s="46"/>
      <c r="D1330" s="46" t="s">
        <v>33</v>
      </c>
      <c r="E1330" s="46"/>
      <c r="F1330" s="46"/>
      <c r="G1330" s="46"/>
      <c r="H1330" s="46"/>
      <c r="I1330" s="46"/>
      <c r="J1330" s="46"/>
      <c r="K1330" s="46"/>
      <c r="L1330" s="46"/>
      <c r="M1330" s="46"/>
      <c r="N1330" s="46"/>
      <c r="O1330" s="46"/>
      <c r="P1330" s="46"/>
      <c r="Q1330" s="46"/>
      <c r="R1330" s="46"/>
      <c r="S1330" s="46"/>
      <c r="T1330" s="46"/>
      <c r="U1330" s="46"/>
      <c r="V1330" s="46"/>
      <c r="W1330" s="46"/>
      <c r="X1330" s="46"/>
      <c r="Y1330" s="46"/>
      <c r="Z1330" s="46"/>
      <c r="AA1330" s="46"/>
      <c r="AB1330" s="46"/>
      <c r="AC1330" s="46"/>
      <c r="AD1330" s="46"/>
      <c r="AE1330" s="46"/>
      <c r="AF1330" s="46"/>
      <c r="AG1330" s="46"/>
      <c r="AH1330" s="46"/>
      <c r="AI1330" s="46"/>
      <c r="AJ1330" s="46"/>
      <c r="AK1330" s="46"/>
      <c r="AL1330" s="46"/>
      <c r="AM1330" s="1"/>
      <c r="AN1330" s="1"/>
      <c r="AO1330" s="1"/>
      <c r="AP1330" s="1"/>
      <c r="AQ1330" s="1"/>
      <c r="AR1330" s="1"/>
      <c r="AS1330" s="1"/>
      <c r="AT1330" s="1"/>
      <c r="AU1330" s="1"/>
      <c r="AV1330" s="1"/>
      <c r="AW1330" s="1"/>
      <c r="AX1330" s="1"/>
      <c r="AY1330" s="1"/>
    </row>
    <row r="1331" ht="16" customHeight="1" spans="1:51" x14ac:dyDescent="0.25">
      <c r="A1331" s="45"/>
      <c r="B1331" s="46" t="s">
        <v>1383</v>
      </c>
      <c r="C1331" s="46" t="s">
        <v>1384</v>
      </c>
      <c r="D1331" s="46" t="s">
        <v>29</v>
      </c>
      <c r="E1331" s="46" t="s">
        <v>37</v>
      </c>
      <c r="F1331" s="46" t="s">
        <v>299</v>
      </c>
      <c r="G1331" s="46" t="s">
        <v>299</v>
      </c>
      <c r="H1331" s="46" t="s">
        <v>299</v>
      </c>
      <c r="I1331" s="46" t="s">
        <v>36</v>
      </c>
      <c r="J1331" s="46" t="s">
        <v>299</v>
      </c>
      <c r="K1331" s="46" t="s">
        <v>36</v>
      </c>
      <c r="L1331" s="46" t="s">
        <v>37</v>
      </c>
      <c r="M1331" s="46" t="s">
        <v>299</v>
      </c>
      <c r="N1331" s="46" t="s">
        <v>299</v>
      </c>
      <c r="O1331" s="46" t="s">
        <v>299</v>
      </c>
      <c r="P1331" s="46" t="s">
        <v>36</v>
      </c>
      <c r="Q1331" s="46" t="s">
        <v>299</v>
      </c>
      <c r="R1331" s="46" t="s">
        <v>36</v>
      </c>
      <c r="S1331" s="46" t="s">
        <v>37</v>
      </c>
      <c r="T1331" s="46" t="s">
        <v>299</v>
      </c>
      <c r="U1331" s="46" t="s">
        <v>299</v>
      </c>
      <c r="V1331" s="46" t="s">
        <v>299</v>
      </c>
      <c r="W1331" s="46" t="s">
        <v>36</v>
      </c>
      <c r="X1331" s="46" t="s">
        <v>37</v>
      </c>
      <c r="Y1331" s="46" t="s">
        <v>299</v>
      </c>
      <c r="Z1331" s="46" t="s">
        <v>36</v>
      </c>
      <c r="AA1331" s="46" t="s">
        <v>299</v>
      </c>
      <c r="AB1331" s="46" t="s">
        <v>299</v>
      </c>
      <c r="AC1331" s="46" t="s">
        <v>299</v>
      </c>
      <c r="AD1331" s="46" t="s">
        <v>36</v>
      </c>
      <c r="AE1331" s="46" t="s">
        <v>299</v>
      </c>
      <c r="AF1331" s="46" t="s">
        <v>299</v>
      </c>
      <c r="AG1331" s="46" t="s">
        <v>36</v>
      </c>
      <c r="AH1331" s="46" t="s">
        <v>37</v>
      </c>
      <c r="AI1331" s="46" t="s">
        <v>299</v>
      </c>
      <c r="AJ1331" s="46">
        <f>=SUM(E1332:AI1332)</f>
      </c>
      <c r="AK1331" s="46">
        <f>=+AY1331</f>
      </c>
      <c r="AL1331" s="46"/>
      <c r="AM1331" s="1"/>
      <c r="AN1331" s="1">
        <f>=COUNTIF(E1331:AI1331,"A")+COUNTIF(E1331:AI1331,"B")+COUNTIF(E1331:AI1331,"C")+COUNTIF(E1331:AI1331,"D")+COUNTIF(E1331:AI1331,"E")+COUNTIF(E1331:AI1331,"F")+COUNTIF(E1331:AI1331,"M")+COUNTIF(E1331:AI1331,"AB")+COUNTIF(E1331:AI1331,"UZ")+COUNTIF(E1331:AI1331,"G")+(COUNTIF(E1331:AI1331,"RT.")/2)+(COUNTIF(E1331:AI1331,"ÇRT.")/2)</f>
      </c>
      <c r="AO1331" s="1">
        <f>=COUNTIF(E1331:AI1331,"O")</f>
      </c>
      <c r="AP1331" s="1">
        <f>=COUNTIF(E1331:AI1331,"RT")+(COUNTIF(E1331:AI1331,"RT.")/2)</f>
      </c>
      <c r="AQ1331" s="1">
        <f>=COUNTIF(E1331:AI1331,"ÇRT")+(COUNTIF(E1331:AI1331,"ÇRT.")/2)</f>
      </c>
      <c r="AR1331" s="1">
        <f>=COUNTIF(E1331:AI1331,"ÇHT")</f>
      </c>
      <c r="AS1331" s="1">
        <f>=COUNTIF(E1331:AI1331,"Ö")+COUNTIF(E1331:AI1331,"T")</f>
      </c>
      <c r="AT1331" s="1">
        <f>=COUNTIF(E1331:AI1331,"Y")</f>
      </c>
      <c r="AU1331" s="1">
        <f>=COUNTIF(E1331:AI1331,"R.")</f>
      </c>
      <c r="AV1331" s="1">
        <f>=COUNTIF(E1331:AI1331,"Ü")</f>
      </c>
      <c r="AW1331" s="1">
        <f>=COUNTIF(E1331:AI1331,"R")</f>
      </c>
      <c r="AX1331" s="1">
        <f>=COUNTIF(E1331:AI1331,"DV")</f>
      </c>
      <c r="AY1331" s="1">
        <f>=+AN1331+AO1331+AP1331+AQ1331+AR1331+AS1331+AT1331+AU1331</f>
      </c>
    </row>
    <row r="1332" ht="16" customHeight="1" spans="1:51" x14ac:dyDescent="0.25">
      <c r="A1332" s="45"/>
      <c r="B1332" s="46"/>
      <c r="C1332" s="46"/>
      <c r="D1332" s="46" t="s">
        <v>33</v>
      </c>
      <c r="E1332" s="46"/>
      <c r="F1332" s="46">
        <v>2</v>
      </c>
      <c r="G1332" s="46">
        <v>2</v>
      </c>
      <c r="H1332" s="46">
        <v>2</v>
      </c>
      <c r="I1332" s="46"/>
      <c r="J1332" s="46">
        <v>2</v>
      </c>
      <c r="K1332" s="46"/>
      <c r="L1332" s="46"/>
      <c r="M1332" s="46">
        <v>2</v>
      </c>
      <c r="N1332" s="46">
        <v>2</v>
      </c>
      <c r="O1332" s="46">
        <v>2</v>
      </c>
      <c r="P1332" s="46"/>
      <c r="Q1332" s="46">
        <v>2</v>
      </c>
      <c r="R1332" s="46"/>
      <c r="S1332" s="46"/>
      <c r="T1332" s="46">
        <v>2</v>
      </c>
      <c r="U1332" s="46">
        <v>2</v>
      </c>
      <c r="V1332" s="46">
        <v>2</v>
      </c>
      <c r="W1332" s="46">
        <v>2</v>
      </c>
      <c r="X1332" s="46"/>
      <c r="Y1332" s="46">
        <v>2</v>
      </c>
      <c r="Z1332" s="46">
        <v>1</v>
      </c>
      <c r="AA1332" s="46">
        <v>2</v>
      </c>
      <c r="AB1332" s="46">
        <v>2</v>
      </c>
      <c r="AC1332" s="46">
        <v>2</v>
      </c>
      <c r="AD1332" s="46"/>
      <c r="AE1332" s="46">
        <v>2</v>
      </c>
      <c r="AF1332" s="46">
        <v>2</v>
      </c>
      <c r="AG1332" s="46"/>
      <c r="AH1332" s="46"/>
      <c r="AI1332" s="46">
        <v>2</v>
      </c>
      <c r="AJ1332" s="46"/>
      <c r="AK1332" s="46"/>
      <c r="AL1332" s="46"/>
      <c r="AM1332" s="1"/>
      <c r="AN1332" s="1"/>
      <c r="AO1332" s="1"/>
      <c r="AP1332" s="1"/>
      <c r="AQ1332" s="1"/>
      <c r="AR1332" s="1"/>
      <c r="AS1332" s="1"/>
      <c r="AT1332" s="1"/>
      <c r="AU1332" s="1"/>
      <c r="AV1332" s="1"/>
      <c r="AW1332" s="1"/>
      <c r="AX1332" s="1"/>
      <c r="AY1332" s="1"/>
    </row>
    <row r="1333" ht="16" customHeight="1" spans="1:51" x14ac:dyDescent="0.25">
      <c r="A1333" s="45"/>
      <c r="B1333" s="46" t="s">
        <v>1385</v>
      </c>
      <c r="C1333" s="46" t="s">
        <v>1386</v>
      </c>
      <c r="D1333" s="46" t="s">
        <v>29</v>
      </c>
      <c r="E1333" s="46" t="s">
        <v>37</v>
      </c>
      <c r="F1333" s="46" t="s">
        <v>36</v>
      </c>
      <c r="G1333" s="46" t="s">
        <v>36</v>
      </c>
      <c r="H1333" s="46" t="s">
        <v>36</v>
      </c>
      <c r="I1333" s="46" t="s">
        <v>36</v>
      </c>
      <c r="J1333" s="46" t="s">
        <v>36</v>
      </c>
      <c r="K1333" s="46" t="s">
        <v>36</v>
      </c>
      <c r="L1333" s="46" t="s">
        <v>37</v>
      </c>
      <c r="M1333" s="46" t="s">
        <v>36</v>
      </c>
      <c r="N1333" s="46" t="s">
        <v>36</v>
      </c>
      <c r="O1333" s="46" t="s">
        <v>36</v>
      </c>
      <c r="P1333" s="46" t="s">
        <v>37</v>
      </c>
      <c r="Q1333" s="46" t="s">
        <v>36</v>
      </c>
      <c r="R1333" s="46" t="s">
        <v>36</v>
      </c>
      <c r="S1333" s="46" t="s">
        <v>36</v>
      </c>
      <c r="T1333" s="46" t="s">
        <v>36</v>
      </c>
      <c r="U1333" s="46" t="s">
        <v>36</v>
      </c>
      <c r="V1333" s="46" t="s">
        <v>37</v>
      </c>
      <c r="W1333" s="46" t="s">
        <v>41</v>
      </c>
      <c r="X1333" s="46" t="s">
        <v>41</v>
      </c>
      <c r="Y1333" s="46" t="s">
        <v>41</v>
      </c>
      <c r="Z1333" s="46" t="s">
        <v>41</v>
      </c>
      <c r="AA1333" s="46" t="s">
        <v>41</v>
      </c>
      <c r="AB1333" s="46" t="s">
        <v>41</v>
      </c>
      <c r="AC1333" s="46" t="s">
        <v>41</v>
      </c>
      <c r="AD1333" s="46" t="s">
        <v>37</v>
      </c>
      <c r="AE1333" s="46" t="s">
        <v>41</v>
      </c>
      <c r="AF1333" s="46" t="s">
        <v>41</v>
      </c>
      <c r="AG1333" s="46" t="s">
        <v>46</v>
      </c>
      <c r="AH1333" s="46" t="s">
        <v>43</v>
      </c>
      <c r="AI1333" s="46" t="s">
        <v>36</v>
      </c>
      <c r="AJ1333" s="46">
        <f>=SUM(E1334:AI1334)</f>
      </c>
      <c r="AK1333" s="46">
        <f>=+AY1333</f>
      </c>
      <c r="AL1333" s="46"/>
      <c r="AM1333" s="1"/>
      <c r="AN1333" s="1">
        <f>=COUNTIF(E1333:AI1333,"A")+COUNTIF(E1333:AI1333,"B")+COUNTIF(E1333:AI1333,"C")+COUNTIF(E1333:AI1333,"D")+COUNTIF(E1333:AI1333,"E")+COUNTIF(E1333:AI1333,"F")+COUNTIF(E1333:AI1333,"M")+COUNTIF(E1333:AI1333,"AB")+COUNTIF(E1333:AI1333,"UZ")+COUNTIF(E1333:AI1333,"G")+(COUNTIF(E1333:AI1333,"RT.")/2)+(COUNTIF(E1333:AI1333,"ÇRT.")/2)</f>
      </c>
      <c r="AO1333" s="1">
        <f>=COUNTIF(E1333:AI1333,"O")</f>
      </c>
      <c r="AP1333" s="1">
        <f>=COUNTIF(E1333:AI1333,"RT")+(COUNTIF(E1333:AI1333,"RT.")/2)</f>
      </c>
      <c r="AQ1333" s="1">
        <f>=COUNTIF(E1333:AI1333,"ÇRT")+(COUNTIF(E1333:AI1333,"ÇRT.")/2)</f>
      </c>
      <c r="AR1333" s="1">
        <f>=COUNTIF(E1333:AI1333,"ÇHT")</f>
      </c>
      <c r="AS1333" s="1">
        <f>=COUNTIF(E1333:AI1333,"Ö")+COUNTIF(E1333:AI1333,"T")</f>
      </c>
      <c r="AT1333" s="1">
        <f>=COUNTIF(E1333:AI1333,"Y")</f>
      </c>
      <c r="AU1333" s="1">
        <f>=COUNTIF(E1333:AI1333,"R.")</f>
      </c>
      <c r="AV1333" s="1">
        <f>=COUNTIF(E1333:AI1333,"Ü")</f>
      </c>
      <c r="AW1333" s="1">
        <f>=COUNTIF(E1333:AI1333,"R")</f>
      </c>
      <c r="AX1333" s="1">
        <f>=COUNTIF(E1333:AI1333,"DV")</f>
      </c>
      <c r="AY1333" s="1">
        <f>=+AN1333+AO1333+AP1333+AQ1333+AR1333+AS1333+AT1333+AU1333</f>
      </c>
    </row>
    <row r="1334" ht="16" customHeight="1" spans="1:51" x14ac:dyDescent="0.25">
      <c r="A1334" s="45"/>
      <c r="B1334" s="46"/>
      <c r="C1334" s="46"/>
      <c r="D1334" s="46" t="s">
        <v>33</v>
      </c>
      <c r="E1334" s="46"/>
      <c r="F1334" s="46">
        <v>3</v>
      </c>
      <c r="G1334" s="46">
        <v>3</v>
      </c>
      <c r="H1334" s="46">
        <v>3</v>
      </c>
      <c r="I1334" s="46">
        <v>3</v>
      </c>
      <c r="J1334" s="46">
        <v>3</v>
      </c>
      <c r="K1334" s="46">
        <v>3</v>
      </c>
      <c r="L1334" s="46"/>
      <c r="M1334" s="46">
        <v>3</v>
      </c>
      <c r="N1334" s="46">
        <v>3</v>
      </c>
      <c r="O1334" s="46">
        <v>3</v>
      </c>
      <c r="P1334" s="46"/>
      <c r="Q1334" s="46">
        <v>3</v>
      </c>
      <c r="R1334" s="46"/>
      <c r="S1334" s="46"/>
      <c r="T1334" s="46"/>
      <c r="U1334" s="46"/>
      <c r="V1334" s="46"/>
      <c r="W1334" s="46">
        <v>2</v>
      </c>
      <c r="X1334" s="46">
        <v>2</v>
      </c>
      <c r="Y1334" s="46">
        <v>2</v>
      </c>
      <c r="Z1334" s="46">
        <v>2</v>
      </c>
      <c r="AA1334" s="46">
        <v>2</v>
      </c>
      <c r="AB1334" s="46"/>
      <c r="AC1334" s="46"/>
      <c r="AD1334" s="46"/>
      <c r="AE1334" s="46"/>
      <c r="AF1334" s="46"/>
      <c r="AG1334" s="46">
        <v>3</v>
      </c>
      <c r="AH1334" s="46">
        <v>3</v>
      </c>
      <c r="AI1334" s="46">
        <v>3</v>
      </c>
      <c r="AJ1334" s="46"/>
      <c r="AK1334" s="46"/>
      <c r="AL1334" s="46"/>
      <c r="AM1334" s="1"/>
      <c r="AN1334" s="1"/>
      <c r="AO1334" s="1"/>
      <c r="AP1334" s="1"/>
      <c r="AQ1334" s="1"/>
      <c r="AR1334" s="1"/>
      <c r="AS1334" s="1"/>
      <c r="AT1334" s="1"/>
      <c r="AU1334" s="1"/>
      <c r="AV1334" s="1"/>
      <c r="AW1334" s="1"/>
      <c r="AX1334" s="1"/>
      <c r="AY1334" s="1"/>
    </row>
    <row r="1335" ht="16" customHeight="1" spans="1:51" x14ac:dyDescent="0.25">
      <c r="A1335" s="45"/>
      <c r="B1335" s="46" t="s">
        <v>1387</v>
      </c>
      <c r="C1335" s="46" t="s">
        <v>1388</v>
      </c>
      <c r="D1335" s="46" t="s">
        <v>29</v>
      </c>
      <c r="E1335" s="46" t="s">
        <v>46</v>
      </c>
      <c r="F1335" s="46" t="s">
        <v>36</v>
      </c>
      <c r="G1335" s="46" t="s">
        <v>36</v>
      </c>
      <c r="H1335" s="46" t="s">
        <v>31</v>
      </c>
      <c r="I1335" s="46" t="s">
        <v>46</v>
      </c>
      <c r="J1335" s="46" t="s">
        <v>36</v>
      </c>
      <c r="K1335" s="46" t="s">
        <v>37</v>
      </c>
      <c r="L1335" s="46" t="s">
        <v>46</v>
      </c>
      <c r="M1335" s="46" t="s">
        <v>46</v>
      </c>
      <c r="N1335" s="46" t="s">
        <v>46</v>
      </c>
      <c r="O1335" s="46" t="s">
        <v>46</v>
      </c>
      <c r="P1335" s="46" t="s">
        <v>46</v>
      </c>
      <c r="Q1335" s="46" t="s">
        <v>36</v>
      </c>
      <c r="R1335" s="46" t="s">
        <v>37</v>
      </c>
      <c r="S1335" s="46" t="s">
        <v>46</v>
      </c>
      <c r="T1335" s="46" t="s">
        <v>36</v>
      </c>
      <c r="U1335" s="46" t="s">
        <v>36</v>
      </c>
      <c r="V1335" s="46" t="s">
        <v>46</v>
      </c>
      <c r="W1335" s="46" t="s">
        <v>46</v>
      </c>
      <c r="X1335" s="46" t="s">
        <v>36</v>
      </c>
      <c r="Y1335" s="46" t="s">
        <v>37</v>
      </c>
      <c r="Z1335" s="46" t="s">
        <v>46</v>
      </c>
      <c r="AA1335" s="46" t="s">
        <v>46</v>
      </c>
      <c r="AB1335" s="46" t="s">
        <v>46</v>
      </c>
      <c r="AC1335" s="46" t="s">
        <v>36</v>
      </c>
      <c r="AD1335" s="46" t="s">
        <v>46</v>
      </c>
      <c r="AE1335" s="46" t="s">
        <v>36</v>
      </c>
      <c r="AF1335" s="46" t="s">
        <v>37</v>
      </c>
      <c r="AG1335" s="46" t="s">
        <v>46</v>
      </c>
      <c r="AH1335" s="46" t="s">
        <v>43</v>
      </c>
      <c r="AI1335" s="46" t="s">
        <v>36</v>
      </c>
      <c r="AJ1335" s="46">
        <f>=SUM(E1336:AI1336)</f>
      </c>
      <c r="AK1335" s="46">
        <f>=+AY1335</f>
      </c>
      <c r="AL1335" s="46"/>
      <c r="AM1335" s="1"/>
      <c r="AN1335" s="1">
        <f>=COUNTIF(E1335:AI1335,"A")+COUNTIF(E1335:AI1335,"B")+COUNTIF(E1335:AI1335,"C")+COUNTIF(E1335:AI1335,"D")+COUNTIF(E1335:AI1335,"E")+COUNTIF(E1335:AI1335,"F")+COUNTIF(E1335:AI1335,"M")+COUNTIF(E1335:AI1335,"AB")+COUNTIF(E1335:AI1335,"UZ")+COUNTIF(E1335:AI1335,"G")+(COUNTIF(E1335:AI1335,"RT.")/2)+(COUNTIF(E1335:AI1335,"ÇRT.")/2)</f>
      </c>
      <c r="AO1335" s="1">
        <f>=COUNTIF(E1335:AI1335,"O")</f>
      </c>
      <c r="AP1335" s="1">
        <f>=COUNTIF(E1335:AI1335,"RT")+(COUNTIF(E1335:AI1335,"RT.")/2)</f>
      </c>
      <c r="AQ1335" s="1">
        <f>=COUNTIF(E1335:AI1335,"ÇRT")+(COUNTIF(E1335:AI1335,"ÇRT.")/2)</f>
      </c>
      <c r="AR1335" s="1">
        <f>=COUNTIF(E1335:AI1335,"ÇHT")</f>
      </c>
      <c r="AS1335" s="1">
        <f>=COUNTIF(E1335:AI1335,"Ö")+COUNTIF(E1335:AI1335,"T")</f>
      </c>
      <c r="AT1335" s="1">
        <f>=COUNTIF(E1335:AI1335,"Y")</f>
      </c>
      <c r="AU1335" s="1">
        <f>=COUNTIF(E1335:AI1335,"R.")</f>
      </c>
      <c r="AV1335" s="1">
        <f>=COUNTIF(E1335:AI1335,"Ü")</f>
      </c>
      <c r="AW1335" s="1">
        <f>=COUNTIF(E1335:AI1335,"R")</f>
      </c>
      <c r="AX1335" s="1">
        <f>=COUNTIF(E1335:AI1335,"DV")</f>
      </c>
      <c r="AY1335" s="1">
        <f>=+AN1335+AO1335+AP1335+AQ1335+AR1335+AS1335+AT1335+AU1335</f>
      </c>
    </row>
    <row r="1336" ht="16" customHeight="1" spans="1:51" x14ac:dyDescent="0.25">
      <c r="A1336" s="45"/>
      <c r="B1336" s="46"/>
      <c r="C1336" s="46"/>
      <c r="D1336" s="46" t="s">
        <v>33</v>
      </c>
      <c r="E1336" s="46"/>
      <c r="F1336" s="46"/>
      <c r="G1336" s="46"/>
      <c r="H1336" s="46"/>
      <c r="I1336" s="46"/>
      <c r="J1336" s="46"/>
      <c r="K1336" s="46"/>
      <c r="L1336" s="46"/>
      <c r="M1336" s="46"/>
      <c r="N1336" s="46"/>
      <c r="O1336" s="46"/>
      <c r="P1336" s="46"/>
      <c r="Q1336" s="46"/>
      <c r="R1336" s="46"/>
      <c r="S1336" s="46"/>
      <c r="T1336" s="46"/>
      <c r="U1336" s="46"/>
      <c r="V1336" s="46"/>
      <c r="W1336" s="46"/>
      <c r="X1336" s="46"/>
      <c r="Y1336" s="46"/>
      <c r="Z1336" s="46"/>
      <c r="AA1336" s="46"/>
      <c r="AB1336" s="46"/>
      <c r="AC1336" s="46"/>
      <c r="AD1336" s="46"/>
      <c r="AE1336" s="46"/>
      <c r="AF1336" s="46"/>
      <c r="AG1336" s="46"/>
      <c r="AH1336" s="46"/>
      <c r="AI1336" s="46"/>
      <c r="AJ1336" s="46"/>
      <c r="AK1336" s="46"/>
      <c r="AL1336" s="46"/>
      <c r="AM1336" s="1"/>
      <c r="AN1336" s="1"/>
      <c r="AO1336" s="1"/>
      <c r="AP1336" s="1"/>
      <c r="AQ1336" s="1"/>
      <c r="AR1336" s="1"/>
      <c r="AS1336" s="1"/>
      <c r="AT1336" s="1"/>
      <c r="AU1336" s="1"/>
      <c r="AV1336" s="1"/>
      <c r="AW1336" s="1"/>
      <c r="AX1336" s="1"/>
      <c r="AY1336" s="1"/>
    </row>
    <row r="1337" ht="16" customHeight="1" spans="1:51" x14ac:dyDescent="0.25">
      <c r="A1337" s="45"/>
      <c r="B1337" s="46" t="s">
        <v>1389</v>
      </c>
      <c r="C1337" s="46" t="s">
        <v>1390</v>
      </c>
      <c r="D1337" s="46" t="s">
        <v>29</v>
      </c>
      <c r="E1337" s="46" t="s">
        <v>41</v>
      </c>
      <c r="F1337" s="46" t="s">
        <v>37</v>
      </c>
      <c r="G1337" s="46" t="s">
        <v>41</v>
      </c>
      <c r="H1337" s="46" t="s">
        <v>41</v>
      </c>
      <c r="I1337" s="46" t="s">
        <v>41</v>
      </c>
      <c r="J1337" s="46" t="s">
        <v>41</v>
      </c>
      <c r="K1337" s="46" t="s">
        <v>41</v>
      </c>
      <c r="L1337" s="46" t="s">
        <v>41</v>
      </c>
      <c r="M1337" s="46" t="s">
        <v>37</v>
      </c>
      <c r="N1337" s="46" t="s">
        <v>41</v>
      </c>
      <c r="O1337" s="46" t="s">
        <v>41</v>
      </c>
      <c r="P1337" s="46" t="s">
        <v>41</v>
      </c>
      <c r="Q1337" s="46" t="s">
        <v>41</v>
      </c>
      <c r="R1337" s="46" t="s">
        <v>41</v>
      </c>
      <c r="S1337" s="46" t="s">
        <v>41</v>
      </c>
      <c r="T1337" s="46" t="s">
        <v>37</v>
      </c>
      <c r="U1337" s="46" t="s">
        <v>41</v>
      </c>
      <c r="V1337" s="46" t="s">
        <v>41</v>
      </c>
      <c r="W1337" s="46" t="s">
        <v>41</v>
      </c>
      <c r="X1337" s="46" t="s">
        <v>41</v>
      </c>
      <c r="Y1337" s="46" t="s">
        <v>41</v>
      </c>
      <c r="Z1337" s="46" t="s">
        <v>41</v>
      </c>
      <c r="AA1337" s="46" t="s">
        <v>37</v>
      </c>
      <c r="AB1337" s="46" t="s">
        <v>41</v>
      </c>
      <c r="AC1337" s="46" t="s">
        <v>41</v>
      </c>
      <c r="AD1337" s="46" t="s">
        <v>41</v>
      </c>
      <c r="AE1337" s="46" t="s">
        <v>41</v>
      </c>
      <c r="AF1337" s="46" t="s">
        <v>41</v>
      </c>
      <c r="AG1337" s="46" t="s">
        <v>37</v>
      </c>
      <c r="AH1337" s="46"/>
      <c r="AI1337" s="46"/>
      <c r="AJ1337" s="46">
        <f>=SUM(E1338:AI1338)</f>
      </c>
      <c r="AK1337" s="46">
        <f>=+AY1337</f>
      </c>
      <c r="AL1337" s="46"/>
      <c r="AM1337" s="1"/>
      <c r="AN1337" s="1">
        <f>=COUNTIF(E1337:AI1337,"A")+COUNTIF(E1337:AI1337,"B")+COUNTIF(E1337:AI1337,"C")+COUNTIF(E1337:AI1337,"D")+COUNTIF(E1337:AI1337,"E")+COUNTIF(E1337:AI1337,"F")+COUNTIF(E1337:AI1337,"M")+COUNTIF(E1337:AI1337,"AB")+COUNTIF(E1337:AI1337,"UZ")+COUNTIF(E1337:AI1337,"G")+(COUNTIF(E1337:AI1337,"RT.")/2)+(COUNTIF(E1337:AI1337,"ÇRT.")/2)</f>
      </c>
      <c r="AO1337" s="1">
        <f>=COUNTIF(E1337:AI1337,"O")</f>
      </c>
      <c r="AP1337" s="1">
        <f>=COUNTIF(E1337:AI1337,"RT")+(COUNTIF(E1337:AI1337,"RT.")/2)</f>
      </c>
      <c r="AQ1337" s="1">
        <f>=COUNTIF(E1337:AI1337,"ÇRT")+(COUNTIF(E1337:AI1337,"ÇRT.")/2)</f>
      </c>
      <c r="AR1337" s="1">
        <f>=COUNTIF(E1337:AI1337,"ÇHT")</f>
      </c>
      <c r="AS1337" s="1">
        <f>=COUNTIF(E1337:AI1337,"Ö")+COUNTIF(E1337:AI1337,"T")</f>
      </c>
      <c r="AT1337" s="1">
        <f>=COUNTIF(E1337:AI1337,"Y")</f>
      </c>
      <c r="AU1337" s="1">
        <f>=COUNTIF(E1337:AI1337,"R.")</f>
      </c>
      <c r="AV1337" s="1">
        <f>=COUNTIF(E1337:AI1337,"Ü")</f>
      </c>
      <c r="AW1337" s="1">
        <f>=COUNTIF(E1337:AI1337,"R")</f>
      </c>
      <c r="AX1337" s="1">
        <f>=COUNTIF(E1337:AI1337,"DV")</f>
      </c>
      <c r="AY1337" s="1">
        <f>=+AN1337+AO1337+AP1337+AQ1337+AR1337+AS1337+AT1337+AU1337</f>
      </c>
    </row>
    <row r="1338" ht="16" customHeight="1" spans="1:51" x14ac:dyDescent="0.25">
      <c r="A1338" s="45"/>
      <c r="B1338" s="46"/>
      <c r="C1338" s="46"/>
      <c r="D1338" s="46" t="s">
        <v>33</v>
      </c>
      <c r="E1338" s="46"/>
      <c r="F1338" s="46"/>
      <c r="G1338" s="46"/>
      <c r="H1338" s="46"/>
      <c r="I1338" s="46"/>
      <c r="J1338" s="46"/>
      <c r="K1338" s="46"/>
      <c r="L1338" s="46"/>
      <c r="M1338" s="46"/>
      <c r="N1338" s="46"/>
      <c r="O1338" s="46"/>
      <c r="P1338" s="46"/>
      <c r="Q1338" s="46"/>
      <c r="R1338" s="46"/>
      <c r="S1338" s="46"/>
      <c r="T1338" s="46"/>
      <c r="U1338" s="46"/>
      <c r="V1338" s="46"/>
      <c r="W1338" s="46"/>
      <c r="X1338" s="46"/>
      <c r="Y1338" s="46"/>
      <c r="Z1338" s="46"/>
      <c r="AA1338" s="46"/>
      <c r="AB1338" s="46"/>
      <c r="AC1338" s="46"/>
      <c r="AD1338" s="46"/>
      <c r="AE1338" s="46"/>
      <c r="AF1338" s="46"/>
      <c r="AG1338" s="46"/>
      <c r="AH1338" s="46"/>
      <c r="AI1338" s="46"/>
      <c r="AJ1338" s="46"/>
      <c r="AK1338" s="46"/>
      <c r="AL1338" s="46"/>
      <c r="AM1338" s="1"/>
      <c r="AN1338" s="1"/>
      <c r="AO1338" s="1"/>
      <c r="AP1338" s="1"/>
      <c r="AQ1338" s="1"/>
      <c r="AR1338" s="1"/>
      <c r="AS1338" s="1"/>
      <c r="AT1338" s="1"/>
      <c r="AU1338" s="1"/>
      <c r="AV1338" s="1"/>
      <c r="AW1338" s="1"/>
      <c r="AX1338" s="1"/>
      <c r="AY1338" s="1"/>
    </row>
    <row r="1339" ht="16" customHeight="1" spans="1:51" x14ac:dyDescent="0.25">
      <c r="A1339" s="45"/>
      <c r="B1339" s="46" t="s">
        <v>1391</v>
      </c>
      <c r="C1339" s="46" t="s">
        <v>1392</v>
      </c>
      <c r="D1339" s="46" t="s">
        <v>29</v>
      </c>
      <c r="E1339" s="46" t="s">
        <v>299</v>
      </c>
      <c r="F1339" s="46" t="s">
        <v>36</v>
      </c>
      <c r="G1339" s="46" t="s">
        <v>37</v>
      </c>
      <c r="H1339" s="46" t="s">
        <v>30</v>
      </c>
      <c r="I1339" s="46" t="s">
        <v>30</v>
      </c>
      <c r="J1339" s="46" t="s">
        <v>30</v>
      </c>
      <c r="K1339" s="46" t="s">
        <v>30</v>
      </c>
      <c r="L1339" s="46" t="s">
        <v>30</v>
      </c>
      <c r="M1339" s="46" t="s">
        <v>30</v>
      </c>
      <c r="N1339" s="46" t="s">
        <v>37</v>
      </c>
      <c r="O1339" s="46" t="s">
        <v>30</v>
      </c>
      <c r="P1339" s="46" t="s">
        <v>30</v>
      </c>
      <c r="Q1339" s="46" t="s">
        <v>30</v>
      </c>
      <c r="R1339" s="46" t="s">
        <v>30</v>
      </c>
      <c r="S1339" s="46" t="s">
        <v>30</v>
      </c>
      <c r="T1339" s="46" t="s">
        <v>30</v>
      </c>
      <c r="U1339" s="46" t="s">
        <v>30</v>
      </c>
      <c r="V1339" s="46" t="s">
        <v>37</v>
      </c>
      <c r="W1339" s="46" t="s">
        <v>299</v>
      </c>
      <c r="X1339" s="46" t="s">
        <v>299</v>
      </c>
      <c r="Y1339" s="46" t="s">
        <v>299</v>
      </c>
      <c r="Z1339" s="46" t="s">
        <v>299</v>
      </c>
      <c r="AA1339" s="46" t="s">
        <v>299</v>
      </c>
      <c r="AB1339" s="46" t="s">
        <v>37</v>
      </c>
      <c r="AC1339" s="46" t="s">
        <v>299</v>
      </c>
      <c r="AD1339" s="46" t="s">
        <v>299</v>
      </c>
      <c r="AE1339" s="46" t="s">
        <v>299</v>
      </c>
      <c r="AF1339" s="46" t="s">
        <v>299</v>
      </c>
      <c r="AG1339" s="46" t="s">
        <v>299</v>
      </c>
      <c r="AH1339" s="46" t="s">
        <v>43</v>
      </c>
      <c r="AI1339" s="46" t="s">
        <v>37</v>
      </c>
      <c r="AJ1339" s="46">
        <f>=SUM(E1340:AI1340)</f>
      </c>
      <c r="AK1339" s="46">
        <f>=+AY1339</f>
      </c>
      <c r="AL1339" s="46"/>
      <c r="AM1339" s="1"/>
      <c r="AN1339" s="1">
        <f>=COUNTIF(E1339:AI1339,"A")+COUNTIF(E1339:AI1339,"B")+COUNTIF(E1339:AI1339,"C")+COUNTIF(E1339:AI1339,"D")+COUNTIF(E1339:AI1339,"E")+COUNTIF(E1339:AI1339,"F")+COUNTIF(E1339:AI1339,"M")+COUNTIF(E1339:AI1339,"AB")+COUNTIF(E1339:AI1339,"UZ")+COUNTIF(E1339:AI1339,"G")+(COUNTIF(E1339:AI1339,"RT.")/2)+(COUNTIF(E1339:AI1339,"ÇRT.")/2)</f>
      </c>
      <c r="AO1339" s="1">
        <f>=COUNTIF(E1339:AI1339,"O")</f>
      </c>
      <c r="AP1339" s="1">
        <f>=COUNTIF(E1339:AI1339,"RT")+(COUNTIF(E1339:AI1339,"RT.")/2)</f>
      </c>
      <c r="AQ1339" s="1">
        <f>=COUNTIF(E1339:AI1339,"ÇRT")+(COUNTIF(E1339:AI1339,"ÇRT.")/2)</f>
      </c>
      <c r="AR1339" s="1">
        <f>=COUNTIF(E1339:AI1339,"ÇHT")</f>
      </c>
      <c r="AS1339" s="1">
        <f>=COUNTIF(E1339:AI1339,"Ö")+COUNTIF(E1339:AI1339,"T")</f>
      </c>
      <c r="AT1339" s="1">
        <f>=COUNTIF(E1339:AI1339,"Y")</f>
      </c>
      <c r="AU1339" s="1">
        <f>=COUNTIF(E1339:AI1339,"R.")</f>
      </c>
      <c r="AV1339" s="1">
        <f>=COUNTIF(E1339:AI1339,"Ü")</f>
      </c>
      <c r="AW1339" s="1">
        <f>=COUNTIF(E1339:AI1339,"R")</f>
      </c>
      <c r="AX1339" s="1">
        <f>=COUNTIF(E1339:AI1339,"DV")</f>
      </c>
      <c r="AY1339" s="1">
        <f>=+AN1339+AO1339+AP1339+AQ1339+AR1339+AS1339+AT1339+AU1339</f>
      </c>
    </row>
    <row r="1340" ht="16" customHeight="1" spans="1:51" x14ac:dyDescent="0.25">
      <c r="A1340" s="45"/>
      <c r="B1340" s="46"/>
      <c r="C1340" s="46"/>
      <c r="D1340" s="46" t="s">
        <v>33</v>
      </c>
      <c r="E1340" s="46">
        <v>2</v>
      </c>
      <c r="F1340" s="46"/>
      <c r="G1340" s="46"/>
      <c r="H1340" s="46"/>
      <c r="I1340" s="46"/>
      <c r="J1340" s="46"/>
      <c r="K1340" s="46"/>
      <c r="L1340" s="46"/>
      <c r="M1340" s="46"/>
      <c r="N1340" s="46"/>
      <c r="O1340" s="46"/>
      <c r="P1340" s="46"/>
      <c r="Q1340" s="46"/>
      <c r="R1340" s="46"/>
      <c r="S1340" s="46"/>
      <c r="T1340" s="46"/>
      <c r="U1340" s="46"/>
      <c r="V1340" s="46"/>
      <c r="W1340" s="46">
        <v>2</v>
      </c>
      <c r="X1340" s="46">
        <v>2</v>
      </c>
      <c r="Y1340" s="46">
        <v>2</v>
      </c>
      <c r="Z1340" s="46">
        <v>2</v>
      </c>
      <c r="AA1340" s="46">
        <v>2</v>
      </c>
      <c r="AB1340" s="46"/>
      <c r="AC1340" s="46">
        <v>2</v>
      </c>
      <c r="AD1340" s="46">
        <v>2</v>
      </c>
      <c r="AE1340" s="46">
        <v>2</v>
      </c>
      <c r="AF1340" s="46">
        <v>2</v>
      </c>
      <c r="AG1340" s="46">
        <v>2</v>
      </c>
      <c r="AH1340" s="46"/>
      <c r="AI1340" s="46"/>
      <c r="AJ1340" s="46"/>
      <c r="AK1340" s="46"/>
      <c r="AL1340" s="46"/>
      <c r="AM1340" s="1"/>
      <c r="AN1340" s="1"/>
      <c r="AO1340" s="1"/>
      <c r="AP1340" s="1"/>
      <c r="AQ1340" s="1"/>
      <c r="AR1340" s="1"/>
      <c r="AS1340" s="1"/>
      <c r="AT1340" s="1"/>
      <c r="AU1340" s="1"/>
      <c r="AV1340" s="1"/>
      <c r="AW1340" s="1"/>
      <c r="AX1340" s="1"/>
      <c r="AY1340" s="1"/>
    </row>
    <row r="1341" ht="16" customHeight="1" spans="1:51" x14ac:dyDescent="0.25">
      <c r="A1341" s="45"/>
      <c r="B1341" s="46" t="s">
        <v>1393</v>
      </c>
      <c r="C1341" s="46" t="s">
        <v>1394</v>
      </c>
      <c r="D1341" s="46" t="s">
        <v>29</v>
      </c>
      <c r="E1341" s="46" t="s">
        <v>299</v>
      </c>
      <c r="F1341" s="46" t="s">
        <v>299</v>
      </c>
      <c r="G1341" s="46" t="s">
        <v>299</v>
      </c>
      <c r="H1341" s="46" t="s">
        <v>299</v>
      </c>
      <c r="I1341" s="46" t="s">
        <v>37</v>
      </c>
      <c r="J1341" s="46" t="s">
        <v>299</v>
      </c>
      <c r="K1341" s="46" t="s">
        <v>299</v>
      </c>
      <c r="L1341" s="46" t="s">
        <v>299</v>
      </c>
      <c r="M1341" s="46" t="s">
        <v>299</v>
      </c>
      <c r="N1341" s="46" t="s">
        <v>299</v>
      </c>
      <c r="O1341" s="46" t="s">
        <v>299</v>
      </c>
      <c r="P1341" s="46" t="s">
        <v>36</v>
      </c>
      <c r="Q1341" s="46" t="s">
        <v>37</v>
      </c>
      <c r="R1341" s="46" t="s">
        <v>299</v>
      </c>
      <c r="S1341" s="46" t="s">
        <v>299</v>
      </c>
      <c r="T1341" s="46" t="s">
        <v>299</v>
      </c>
      <c r="U1341" s="46" t="s">
        <v>299</v>
      </c>
      <c r="V1341" s="46" t="s">
        <v>299</v>
      </c>
      <c r="W1341" s="46" t="s">
        <v>36</v>
      </c>
      <c r="X1341" s="46" t="s">
        <v>37</v>
      </c>
      <c r="Y1341" s="46" t="s">
        <v>299</v>
      </c>
      <c r="Z1341" s="46" t="s">
        <v>299</v>
      </c>
      <c r="AA1341" s="46" t="s">
        <v>299</v>
      </c>
      <c r="AB1341" s="46" t="s">
        <v>299</v>
      </c>
      <c r="AC1341" s="46" t="s">
        <v>299</v>
      </c>
      <c r="AD1341" s="46" t="s">
        <v>299</v>
      </c>
      <c r="AE1341" s="46" t="s">
        <v>37</v>
      </c>
      <c r="AF1341" s="46" t="s">
        <v>299</v>
      </c>
      <c r="AG1341" s="46" t="s">
        <v>299</v>
      </c>
      <c r="AH1341" s="46" t="s">
        <v>43</v>
      </c>
      <c r="AI1341" s="46" t="s">
        <v>299</v>
      </c>
      <c r="AJ1341" s="46">
        <f>=SUM(E1342:AI1342)</f>
      </c>
      <c r="AK1341" s="46">
        <f>=+AY1341</f>
      </c>
      <c r="AL1341" s="46"/>
      <c r="AM1341" s="1"/>
      <c r="AN1341" s="1">
        <f>=COUNTIF(E1341:AI1341,"A")+COUNTIF(E1341:AI1341,"B")+COUNTIF(E1341:AI1341,"C")+COUNTIF(E1341:AI1341,"D")+COUNTIF(E1341:AI1341,"E")+COUNTIF(E1341:AI1341,"F")+COUNTIF(E1341:AI1341,"M")+COUNTIF(E1341:AI1341,"AB")+COUNTIF(E1341:AI1341,"UZ")+COUNTIF(E1341:AI1341,"G")+(COUNTIF(E1341:AI1341,"RT.")/2)+(COUNTIF(E1341:AI1341,"ÇRT.")/2)</f>
      </c>
      <c r="AO1341" s="1">
        <f>=COUNTIF(E1341:AI1341,"O")</f>
      </c>
      <c r="AP1341" s="1">
        <f>=COUNTIF(E1341:AI1341,"RT")+(COUNTIF(E1341:AI1341,"RT.")/2)</f>
      </c>
      <c r="AQ1341" s="1">
        <f>=COUNTIF(E1341:AI1341,"ÇRT")+(COUNTIF(E1341:AI1341,"ÇRT.")/2)</f>
      </c>
      <c r="AR1341" s="1">
        <f>=COUNTIF(E1341:AI1341,"ÇHT")</f>
      </c>
      <c r="AS1341" s="1">
        <f>=COUNTIF(E1341:AI1341,"Ö")+COUNTIF(E1341:AI1341,"T")</f>
      </c>
      <c r="AT1341" s="1">
        <f>=COUNTIF(E1341:AI1341,"Y")</f>
      </c>
      <c r="AU1341" s="1">
        <f>=COUNTIF(E1341:AI1341,"R.")</f>
      </c>
      <c r="AV1341" s="1">
        <f>=COUNTIF(E1341:AI1341,"Ü")</f>
      </c>
      <c r="AW1341" s="1">
        <f>=COUNTIF(E1341:AI1341,"R")</f>
      </c>
      <c r="AX1341" s="1">
        <f>=COUNTIF(E1341:AI1341,"DV")</f>
      </c>
      <c r="AY1341" s="1">
        <f>=+AN1341+AO1341+AP1341+AQ1341+AR1341+AS1341+AT1341+AU1341</f>
      </c>
    </row>
    <row r="1342" ht="16" customHeight="1" spans="1:51" x14ac:dyDescent="0.25">
      <c r="A1342" s="45"/>
      <c r="B1342" s="46"/>
      <c r="C1342" s="46"/>
      <c r="D1342" s="46" t="s">
        <v>33</v>
      </c>
      <c r="E1342" s="46">
        <v>2</v>
      </c>
      <c r="F1342" s="46">
        <v>2</v>
      </c>
      <c r="G1342" s="46">
        <v>2</v>
      </c>
      <c r="H1342" s="46">
        <v>2</v>
      </c>
      <c r="I1342" s="46"/>
      <c r="J1342" s="46">
        <v>2</v>
      </c>
      <c r="K1342" s="46">
        <v>2</v>
      </c>
      <c r="L1342" s="46">
        <v>2</v>
      </c>
      <c r="M1342" s="46">
        <v>2</v>
      </c>
      <c r="N1342" s="46">
        <v>2</v>
      </c>
      <c r="O1342" s="46">
        <v>2</v>
      </c>
      <c r="P1342" s="46"/>
      <c r="Q1342" s="46"/>
      <c r="R1342" s="46">
        <v>2</v>
      </c>
      <c r="S1342" s="46">
        <v>2</v>
      </c>
      <c r="T1342" s="46">
        <v>2</v>
      </c>
      <c r="U1342" s="46">
        <v>2</v>
      </c>
      <c r="V1342" s="46">
        <v>2</v>
      </c>
      <c r="W1342" s="46"/>
      <c r="X1342" s="46"/>
      <c r="Y1342" s="46">
        <v>2</v>
      </c>
      <c r="Z1342" s="46">
        <v>2</v>
      </c>
      <c r="AA1342" s="46">
        <v>2</v>
      </c>
      <c r="AB1342" s="46">
        <v>2</v>
      </c>
      <c r="AC1342" s="46">
        <v>2</v>
      </c>
      <c r="AD1342" s="46"/>
      <c r="AE1342" s="46"/>
      <c r="AF1342" s="46">
        <v>2</v>
      </c>
      <c r="AG1342" s="46">
        <v>2</v>
      </c>
      <c r="AH1342" s="46">
        <v>2</v>
      </c>
      <c r="AI1342" s="46">
        <v>2</v>
      </c>
      <c r="AJ1342" s="46"/>
      <c r="AK1342" s="46"/>
      <c r="AL1342" s="46"/>
      <c r="AM1342" s="1"/>
      <c r="AN1342" s="1"/>
      <c r="AO1342" s="1"/>
      <c r="AP1342" s="1"/>
      <c r="AQ1342" s="1"/>
      <c r="AR1342" s="1"/>
      <c r="AS1342" s="1"/>
      <c r="AT1342" s="1"/>
      <c r="AU1342" s="1"/>
      <c r="AV1342" s="1"/>
      <c r="AW1342" s="1"/>
      <c r="AX1342" s="1"/>
      <c r="AY1342" s="1"/>
    </row>
    <row r="1343" ht="16" customHeight="1" spans="1:51" x14ac:dyDescent="0.25">
      <c r="A1343" s="45"/>
      <c r="B1343" s="46" t="s">
        <v>1395</v>
      </c>
      <c r="C1343" s="46" t="s">
        <v>1396</v>
      </c>
      <c r="D1343" s="46" t="s">
        <v>29</v>
      </c>
      <c r="E1343" s="46" t="s">
        <v>299</v>
      </c>
      <c r="F1343" s="46" t="s">
        <v>299</v>
      </c>
      <c r="G1343" s="46" t="s">
        <v>37</v>
      </c>
      <c r="H1343" s="46" t="s">
        <v>299</v>
      </c>
      <c r="I1343" s="46" t="s">
        <v>299</v>
      </c>
      <c r="J1343" s="46" t="s">
        <v>299</v>
      </c>
      <c r="K1343" s="46" t="s">
        <v>299</v>
      </c>
      <c r="L1343" s="46" t="s">
        <v>299</v>
      </c>
      <c r="M1343" s="46" t="s">
        <v>36</v>
      </c>
      <c r="N1343" s="46" t="s">
        <v>37</v>
      </c>
      <c r="O1343" s="46" t="s">
        <v>299</v>
      </c>
      <c r="P1343" s="46" t="s">
        <v>299</v>
      </c>
      <c r="Q1343" s="46" t="s">
        <v>299</v>
      </c>
      <c r="R1343" s="46" t="s">
        <v>299</v>
      </c>
      <c r="S1343" s="46" t="s">
        <v>299</v>
      </c>
      <c r="T1343" s="46" t="s">
        <v>299</v>
      </c>
      <c r="U1343" s="46" t="s">
        <v>37</v>
      </c>
      <c r="V1343" s="46" t="s">
        <v>299</v>
      </c>
      <c r="W1343" s="46" t="s">
        <v>299</v>
      </c>
      <c r="X1343" s="46" t="s">
        <v>299</v>
      </c>
      <c r="Y1343" s="46" t="s">
        <v>299</v>
      </c>
      <c r="Z1343" s="46" t="s">
        <v>299</v>
      </c>
      <c r="AA1343" s="46" t="s">
        <v>36</v>
      </c>
      <c r="AB1343" s="46" t="s">
        <v>37</v>
      </c>
      <c r="AC1343" s="46" t="s">
        <v>299</v>
      </c>
      <c r="AD1343" s="46" t="s">
        <v>299</v>
      </c>
      <c r="AE1343" s="46" t="s">
        <v>299</v>
      </c>
      <c r="AF1343" s="46" t="s">
        <v>299</v>
      </c>
      <c r="AG1343" s="46" t="s">
        <v>299</v>
      </c>
      <c r="AH1343" s="46" t="s">
        <v>43</v>
      </c>
      <c r="AI1343" s="46" t="s">
        <v>37</v>
      </c>
      <c r="AJ1343" s="46">
        <f>=SUM(E1344:AI1344)</f>
      </c>
      <c r="AK1343" s="46">
        <f>=+AY1343</f>
      </c>
      <c r="AL1343" s="46"/>
      <c r="AM1343" s="1"/>
      <c r="AN1343" s="1">
        <f>=COUNTIF(E1343:AI1343,"A")+COUNTIF(E1343:AI1343,"B")+COUNTIF(E1343:AI1343,"C")+COUNTIF(E1343:AI1343,"D")+COUNTIF(E1343:AI1343,"E")+COUNTIF(E1343:AI1343,"F")+COUNTIF(E1343:AI1343,"M")+COUNTIF(E1343:AI1343,"AB")+COUNTIF(E1343:AI1343,"UZ")+COUNTIF(E1343:AI1343,"G")+(COUNTIF(E1343:AI1343,"RT.")/2)+(COUNTIF(E1343:AI1343,"ÇRT.")/2)</f>
      </c>
      <c r="AO1343" s="1">
        <f>=COUNTIF(E1343:AI1343,"O")</f>
      </c>
      <c r="AP1343" s="1">
        <f>=COUNTIF(E1343:AI1343,"RT")+(COUNTIF(E1343:AI1343,"RT.")/2)</f>
      </c>
      <c r="AQ1343" s="1">
        <f>=COUNTIF(E1343:AI1343,"ÇRT")+(COUNTIF(E1343:AI1343,"ÇRT.")/2)</f>
      </c>
      <c r="AR1343" s="1">
        <f>=COUNTIF(E1343:AI1343,"ÇHT")</f>
      </c>
      <c r="AS1343" s="1">
        <f>=COUNTIF(E1343:AI1343,"Ö")+COUNTIF(E1343:AI1343,"T")</f>
      </c>
      <c r="AT1343" s="1">
        <f>=COUNTIF(E1343:AI1343,"Y")</f>
      </c>
      <c r="AU1343" s="1">
        <f>=COUNTIF(E1343:AI1343,"R.")</f>
      </c>
      <c r="AV1343" s="1">
        <f>=COUNTIF(E1343:AI1343,"Ü")</f>
      </c>
      <c r="AW1343" s="1">
        <f>=COUNTIF(E1343:AI1343,"R")</f>
      </c>
      <c r="AX1343" s="1">
        <f>=COUNTIF(E1343:AI1343,"DV")</f>
      </c>
      <c r="AY1343" s="1">
        <f>=+AN1343+AO1343+AP1343+AQ1343+AR1343+AS1343+AT1343+AU1343</f>
      </c>
    </row>
    <row r="1344" ht="16" customHeight="1" spans="1:51" x14ac:dyDescent="0.25">
      <c r="A1344" s="45"/>
      <c r="B1344" s="46"/>
      <c r="C1344" s="46"/>
      <c r="D1344" s="46" t="s">
        <v>33</v>
      </c>
      <c r="E1344" s="46">
        <v>2</v>
      </c>
      <c r="F1344" s="46">
        <v>2</v>
      </c>
      <c r="G1344" s="46"/>
      <c r="H1344" s="46">
        <v>2</v>
      </c>
      <c r="I1344" s="46">
        <v>2</v>
      </c>
      <c r="J1344" s="46">
        <v>2</v>
      </c>
      <c r="K1344" s="46">
        <v>2</v>
      </c>
      <c r="L1344" s="46">
        <v>2</v>
      </c>
      <c r="M1344" s="46">
        <v>2</v>
      </c>
      <c r="N1344" s="46"/>
      <c r="O1344" s="46">
        <v>2</v>
      </c>
      <c r="P1344" s="46">
        <v>2</v>
      </c>
      <c r="Q1344" s="46">
        <v>2</v>
      </c>
      <c r="R1344" s="46">
        <v>2</v>
      </c>
      <c r="S1344" s="46">
        <v>2</v>
      </c>
      <c r="T1344" s="46">
        <v>2</v>
      </c>
      <c r="U1344" s="46"/>
      <c r="V1344" s="46">
        <v>2</v>
      </c>
      <c r="W1344" s="46">
        <v>2</v>
      </c>
      <c r="X1344" s="46">
        <v>2</v>
      </c>
      <c r="Y1344" s="46">
        <v>2</v>
      </c>
      <c r="Z1344" s="46">
        <v>2</v>
      </c>
      <c r="AA1344" s="46">
        <v>2</v>
      </c>
      <c r="AB1344" s="46"/>
      <c r="AC1344" s="46">
        <v>2</v>
      </c>
      <c r="AD1344" s="46">
        <v>2</v>
      </c>
      <c r="AE1344" s="46">
        <v>2</v>
      </c>
      <c r="AF1344" s="46">
        <v>2</v>
      </c>
      <c r="AG1344" s="46">
        <v>2</v>
      </c>
      <c r="AH1344" s="46">
        <v>2</v>
      </c>
      <c r="AI1344" s="46"/>
      <c r="AJ1344" s="46"/>
      <c r="AK1344" s="46"/>
      <c r="AL1344" s="46"/>
      <c r="AM1344" s="1"/>
      <c r="AN1344" s="1"/>
      <c r="AO1344" s="1"/>
      <c r="AP1344" s="1"/>
      <c r="AQ1344" s="1"/>
      <c r="AR1344" s="1"/>
      <c r="AS1344" s="1"/>
      <c r="AT1344" s="1"/>
      <c r="AU1344" s="1"/>
      <c r="AV1344" s="1"/>
      <c r="AW1344" s="1"/>
      <c r="AX1344" s="1"/>
      <c r="AY1344" s="1"/>
    </row>
    <row r="1345" ht="16" customHeight="1" spans="1:51" x14ac:dyDescent="0.25">
      <c r="A1345" s="45"/>
      <c r="B1345" s="46" t="s">
        <v>1397</v>
      </c>
      <c r="C1345" s="46" t="s">
        <v>1398</v>
      </c>
      <c r="D1345" s="46" t="s">
        <v>29</v>
      </c>
      <c r="E1345" s="46" t="s">
        <v>36</v>
      </c>
      <c r="F1345" s="46" t="s">
        <v>37</v>
      </c>
      <c r="G1345" s="46" t="s">
        <v>299</v>
      </c>
      <c r="H1345" s="46" t="s">
        <v>36</v>
      </c>
      <c r="I1345" s="46" t="s">
        <v>36</v>
      </c>
      <c r="J1345" s="46" t="s">
        <v>36</v>
      </c>
      <c r="K1345" s="46" t="s">
        <v>36</v>
      </c>
      <c r="L1345" s="46" t="s">
        <v>36</v>
      </c>
      <c r="M1345" s="46" t="s">
        <v>37</v>
      </c>
      <c r="N1345" s="46" t="s">
        <v>36</v>
      </c>
      <c r="O1345" s="46" t="s">
        <v>36</v>
      </c>
      <c r="P1345" s="46" t="s">
        <v>31</v>
      </c>
      <c r="Q1345" s="46" t="s">
        <v>36</v>
      </c>
      <c r="R1345" s="46" t="s">
        <v>36</v>
      </c>
      <c r="S1345" s="46" t="s">
        <v>36</v>
      </c>
      <c r="T1345" s="46" t="s">
        <v>37</v>
      </c>
      <c r="U1345" s="46" t="s">
        <v>36</v>
      </c>
      <c r="V1345" s="46" t="s">
        <v>36</v>
      </c>
      <c r="W1345" s="46" t="s">
        <v>36</v>
      </c>
      <c r="X1345" s="46" t="s">
        <v>36</v>
      </c>
      <c r="Y1345" s="46" t="s">
        <v>36</v>
      </c>
      <c r="Z1345" s="46" t="s">
        <v>36</v>
      </c>
      <c r="AA1345" s="46" t="s">
        <v>37</v>
      </c>
      <c r="AB1345" s="46" t="s">
        <v>36</v>
      </c>
      <c r="AC1345" s="46" t="s">
        <v>36</v>
      </c>
      <c r="AD1345" s="46" t="s">
        <v>36</v>
      </c>
      <c r="AE1345" s="46" t="s">
        <v>36</v>
      </c>
      <c r="AF1345" s="46" t="s">
        <v>36</v>
      </c>
      <c r="AG1345" s="46" t="s">
        <v>36</v>
      </c>
      <c r="AH1345" s="46" t="s">
        <v>43</v>
      </c>
      <c r="AI1345" s="46" t="s">
        <v>36</v>
      </c>
      <c r="AJ1345" s="46">
        <f>=SUM(E1346:AI1346)</f>
      </c>
      <c r="AK1345" s="46">
        <f>=+AY1345</f>
      </c>
      <c r="AL1345" s="46"/>
      <c r="AM1345" s="1"/>
      <c r="AN1345" s="1">
        <f>=COUNTIF(E1345:AI1345,"A")+COUNTIF(E1345:AI1345,"B")+COUNTIF(E1345:AI1345,"C")+COUNTIF(E1345:AI1345,"D")+COUNTIF(E1345:AI1345,"E")+COUNTIF(E1345:AI1345,"F")+COUNTIF(E1345:AI1345,"M")+COUNTIF(E1345:AI1345,"AB")+COUNTIF(E1345:AI1345,"UZ")+COUNTIF(E1345:AI1345,"G")+(COUNTIF(E1345:AI1345,"RT.")/2)+(COUNTIF(E1345:AI1345,"ÇRT.")/2)</f>
      </c>
      <c r="AO1345" s="1">
        <f>=COUNTIF(E1345:AI1345,"O")</f>
      </c>
      <c r="AP1345" s="1">
        <f>=COUNTIF(E1345:AI1345,"RT")+(COUNTIF(E1345:AI1345,"RT.")/2)</f>
      </c>
      <c r="AQ1345" s="1">
        <f>=COUNTIF(E1345:AI1345,"ÇRT")+(COUNTIF(E1345:AI1345,"ÇRT.")/2)</f>
      </c>
      <c r="AR1345" s="1">
        <f>=COUNTIF(E1345:AI1345,"ÇHT")</f>
      </c>
      <c r="AS1345" s="1">
        <f>=COUNTIF(E1345:AI1345,"Ö")+COUNTIF(E1345:AI1345,"T")</f>
      </c>
      <c r="AT1345" s="1">
        <f>=COUNTIF(E1345:AI1345,"Y")</f>
      </c>
      <c r="AU1345" s="1">
        <f>=COUNTIF(E1345:AI1345,"R.")</f>
      </c>
      <c r="AV1345" s="1">
        <f>=COUNTIF(E1345:AI1345,"Ü")</f>
      </c>
      <c r="AW1345" s="1">
        <f>=COUNTIF(E1345:AI1345,"R")</f>
      </c>
      <c r="AX1345" s="1">
        <f>=COUNTIF(E1345:AI1345,"DV")</f>
      </c>
      <c r="AY1345" s="1">
        <f>=+AN1345+AO1345+AP1345+AQ1345+AR1345+AS1345+AT1345+AU1345</f>
      </c>
    </row>
    <row r="1346" ht="16" customHeight="1" spans="1:51" x14ac:dyDescent="0.25">
      <c r="A1346" s="45"/>
      <c r="B1346" s="46"/>
      <c r="C1346" s="46"/>
      <c r="D1346" s="46" t="s">
        <v>33</v>
      </c>
      <c r="E1346" s="46"/>
      <c r="F1346" s="46"/>
      <c r="G1346" s="46"/>
      <c r="H1346" s="46"/>
      <c r="I1346" s="46"/>
      <c r="J1346" s="46"/>
      <c r="K1346" s="46"/>
      <c r="L1346" s="46"/>
      <c r="M1346" s="46"/>
      <c r="N1346" s="46"/>
      <c r="O1346" s="46"/>
      <c r="P1346" s="46"/>
      <c r="Q1346" s="46"/>
      <c r="R1346" s="46"/>
      <c r="S1346" s="46"/>
      <c r="T1346" s="46"/>
      <c r="U1346" s="46"/>
      <c r="V1346" s="46">
        <v>2</v>
      </c>
      <c r="W1346" s="46"/>
      <c r="X1346" s="46"/>
      <c r="Y1346" s="46"/>
      <c r="Z1346" s="46">
        <v>3</v>
      </c>
      <c r="AA1346" s="46"/>
      <c r="AB1346" s="46">
        <v>3</v>
      </c>
      <c r="AC1346" s="46">
        <v>3</v>
      </c>
      <c r="AD1346" s="46">
        <v>3</v>
      </c>
      <c r="AE1346" s="46">
        <v>3</v>
      </c>
      <c r="AF1346" s="46">
        <v>3</v>
      </c>
      <c r="AG1346" s="46">
        <v>3</v>
      </c>
      <c r="AH1346" s="46">
        <v>3</v>
      </c>
      <c r="AI1346" s="46">
        <v>3</v>
      </c>
      <c r="AJ1346" s="46"/>
      <c r="AK1346" s="46"/>
      <c r="AL1346" s="46"/>
      <c r="AM1346" s="1"/>
      <c r="AN1346" s="1"/>
      <c r="AO1346" s="1"/>
      <c r="AP1346" s="1"/>
      <c r="AQ1346" s="1"/>
      <c r="AR1346" s="1"/>
      <c r="AS1346" s="1"/>
      <c r="AT1346" s="1"/>
      <c r="AU1346" s="1"/>
      <c r="AV1346" s="1"/>
      <c r="AW1346" s="1"/>
      <c r="AX1346" s="1"/>
      <c r="AY1346" s="1"/>
    </row>
    <row r="1347" ht="16" customHeight="1" spans="1:51" x14ac:dyDescent="0.25">
      <c r="A1347" s="45"/>
      <c r="B1347" s="46" t="s">
        <v>1399</v>
      </c>
      <c r="C1347" s="46" t="s">
        <v>1400</v>
      </c>
      <c r="D1347" s="46" t="s">
        <v>29</v>
      </c>
      <c r="E1347" s="46" t="s">
        <v>36</v>
      </c>
      <c r="F1347" s="46" t="s">
        <v>37</v>
      </c>
      <c r="G1347" s="46" t="s">
        <v>299</v>
      </c>
      <c r="H1347" s="46" t="s">
        <v>299</v>
      </c>
      <c r="I1347" s="46" t="s">
        <v>299</v>
      </c>
      <c r="J1347" s="46" t="s">
        <v>299</v>
      </c>
      <c r="K1347" s="46" t="s">
        <v>299</v>
      </c>
      <c r="L1347" s="46" t="s">
        <v>299</v>
      </c>
      <c r="M1347" s="46" t="s">
        <v>37</v>
      </c>
      <c r="N1347" s="46" t="s">
        <v>299</v>
      </c>
      <c r="O1347" s="46" t="s">
        <v>299</v>
      </c>
      <c r="P1347" s="46" t="s">
        <v>299</v>
      </c>
      <c r="Q1347" s="46" t="s">
        <v>36</v>
      </c>
      <c r="R1347" s="46" t="s">
        <v>37</v>
      </c>
      <c r="S1347" s="46" t="s">
        <v>299</v>
      </c>
      <c r="T1347" s="46" t="s">
        <v>299</v>
      </c>
      <c r="U1347" s="46" t="s">
        <v>299</v>
      </c>
      <c r="V1347" s="46" t="s">
        <v>299</v>
      </c>
      <c r="W1347" s="46" t="s">
        <v>299</v>
      </c>
      <c r="X1347" s="46" t="s">
        <v>299</v>
      </c>
      <c r="Y1347" s="46" t="s">
        <v>37</v>
      </c>
      <c r="Z1347" s="46" t="s">
        <v>299</v>
      </c>
      <c r="AA1347" s="46" t="s">
        <v>299</v>
      </c>
      <c r="AB1347" s="46" t="s">
        <v>299</v>
      </c>
      <c r="AC1347" s="46" t="s">
        <v>299</v>
      </c>
      <c r="AD1347" s="46" t="s">
        <v>299</v>
      </c>
      <c r="AE1347" s="46" t="s">
        <v>299</v>
      </c>
      <c r="AF1347" s="46" t="s">
        <v>37</v>
      </c>
      <c r="AG1347" s="46" t="s">
        <v>299</v>
      </c>
      <c r="AH1347" s="46" t="s">
        <v>43</v>
      </c>
      <c r="AI1347" s="46" t="s">
        <v>37</v>
      </c>
      <c r="AJ1347" s="46">
        <f>=SUM(E1348:AI1348)</f>
      </c>
      <c r="AK1347" s="46">
        <f>=+AY1347</f>
      </c>
      <c r="AL1347" s="46"/>
      <c r="AM1347" s="1"/>
      <c r="AN1347" s="1">
        <f>=COUNTIF(E1347:AI1347,"A")+COUNTIF(E1347:AI1347,"B")+COUNTIF(E1347:AI1347,"C")+COUNTIF(E1347:AI1347,"D")+COUNTIF(E1347:AI1347,"E")+COUNTIF(E1347:AI1347,"F")+COUNTIF(E1347:AI1347,"M")+COUNTIF(E1347:AI1347,"AB")+COUNTIF(E1347:AI1347,"UZ")+COUNTIF(E1347:AI1347,"G")+(COUNTIF(E1347:AI1347,"RT.")/2)+(COUNTIF(E1347:AI1347,"ÇRT.")/2)</f>
      </c>
      <c r="AO1347" s="1">
        <f>=COUNTIF(E1347:AI1347,"O")</f>
      </c>
      <c r="AP1347" s="1">
        <f>=COUNTIF(E1347:AI1347,"RT")+(COUNTIF(E1347:AI1347,"RT.")/2)</f>
      </c>
      <c r="AQ1347" s="1">
        <f>=COUNTIF(E1347:AI1347,"ÇRT")+(COUNTIF(E1347:AI1347,"ÇRT.")/2)</f>
      </c>
      <c r="AR1347" s="1">
        <f>=COUNTIF(E1347:AI1347,"ÇHT")</f>
      </c>
      <c r="AS1347" s="1">
        <f>=COUNTIF(E1347:AI1347,"Ö")+COUNTIF(E1347:AI1347,"T")</f>
      </c>
      <c r="AT1347" s="1">
        <f>=COUNTIF(E1347:AI1347,"Y")</f>
      </c>
      <c r="AU1347" s="1">
        <f>=COUNTIF(E1347:AI1347,"R.")</f>
      </c>
      <c r="AV1347" s="1">
        <f>=COUNTIF(E1347:AI1347,"Ü")</f>
      </c>
      <c r="AW1347" s="1">
        <f>=COUNTIF(E1347:AI1347,"R")</f>
      </c>
      <c r="AX1347" s="1">
        <f>=COUNTIF(E1347:AI1347,"DV")</f>
      </c>
      <c r="AY1347" s="1">
        <f>=+AN1347+AO1347+AP1347+AQ1347+AR1347+AS1347+AT1347+AU1347</f>
      </c>
    </row>
    <row r="1348" ht="16" customHeight="1" spans="1:51" x14ac:dyDescent="0.25">
      <c r="A1348" s="45"/>
      <c r="B1348" s="46"/>
      <c r="C1348" s="46"/>
      <c r="D1348" s="46" t="s">
        <v>33</v>
      </c>
      <c r="E1348" s="46"/>
      <c r="F1348" s="46"/>
      <c r="G1348" s="46">
        <v>2</v>
      </c>
      <c r="H1348" s="46">
        <v>2</v>
      </c>
      <c r="I1348" s="46">
        <v>2</v>
      </c>
      <c r="J1348" s="46">
        <v>2</v>
      </c>
      <c r="K1348" s="46">
        <v>2</v>
      </c>
      <c r="L1348" s="46">
        <v>2</v>
      </c>
      <c r="M1348" s="46"/>
      <c r="N1348" s="46">
        <v>2</v>
      </c>
      <c r="O1348" s="46">
        <v>2</v>
      </c>
      <c r="P1348" s="46">
        <v>2</v>
      </c>
      <c r="Q1348" s="46"/>
      <c r="R1348" s="46"/>
      <c r="S1348" s="46">
        <v>2</v>
      </c>
      <c r="T1348" s="46">
        <v>2</v>
      </c>
      <c r="U1348" s="46">
        <v>2</v>
      </c>
      <c r="V1348" s="46">
        <v>2</v>
      </c>
      <c r="W1348" s="46">
        <v>2</v>
      </c>
      <c r="X1348" s="46">
        <v>2</v>
      </c>
      <c r="Y1348" s="46"/>
      <c r="Z1348" s="46">
        <v>2</v>
      </c>
      <c r="AA1348" s="46">
        <v>2</v>
      </c>
      <c r="AB1348" s="46">
        <v>2</v>
      </c>
      <c r="AC1348" s="46">
        <v>2</v>
      </c>
      <c r="AD1348" s="46">
        <v>2</v>
      </c>
      <c r="AE1348" s="46">
        <v>2</v>
      </c>
      <c r="AF1348" s="46"/>
      <c r="AG1348" s="46">
        <v>2</v>
      </c>
      <c r="AH1348" s="46">
        <v>2</v>
      </c>
      <c r="AI1348" s="46"/>
      <c r="AJ1348" s="46"/>
      <c r="AK1348" s="46"/>
      <c r="AL1348" s="46"/>
      <c r="AM1348" s="1"/>
      <c r="AN1348" s="1"/>
      <c r="AO1348" s="1"/>
      <c r="AP1348" s="1"/>
      <c r="AQ1348" s="1"/>
      <c r="AR1348" s="1"/>
      <c r="AS1348" s="1"/>
      <c r="AT1348" s="1"/>
      <c r="AU1348" s="1"/>
      <c r="AV1348" s="1"/>
      <c r="AW1348" s="1"/>
      <c r="AX1348" s="1"/>
      <c r="AY1348" s="1"/>
    </row>
    <row r="1349" ht="16" customHeight="1" spans="1:51" x14ac:dyDescent="0.25">
      <c r="A1349" s="45"/>
      <c r="B1349" s="46" t="s">
        <v>1401</v>
      </c>
      <c r="C1349" s="46" t="s">
        <v>1402</v>
      </c>
      <c r="D1349" s="46" t="s">
        <v>29</v>
      </c>
      <c r="E1349" s="46" t="s">
        <v>46</v>
      </c>
      <c r="F1349" s="46" t="s">
        <v>36</v>
      </c>
      <c r="G1349" s="46" t="s">
        <v>46</v>
      </c>
      <c r="H1349" s="46" t="s">
        <v>46</v>
      </c>
      <c r="I1349" s="46" t="s">
        <v>36</v>
      </c>
      <c r="J1349" s="46" t="s">
        <v>37</v>
      </c>
      <c r="K1349" s="46" t="s">
        <v>46</v>
      </c>
      <c r="L1349" s="46" t="s">
        <v>46</v>
      </c>
      <c r="M1349" s="46" t="s">
        <v>36</v>
      </c>
      <c r="N1349" s="46" t="s">
        <v>36</v>
      </c>
      <c r="O1349" s="46" t="s">
        <v>153</v>
      </c>
      <c r="P1349" s="46" t="s">
        <v>153</v>
      </c>
      <c r="Q1349" s="46" t="s">
        <v>37</v>
      </c>
      <c r="R1349" s="46" t="s">
        <v>46</v>
      </c>
      <c r="S1349" s="46" t="s">
        <v>46</v>
      </c>
      <c r="T1349" s="46" t="s">
        <v>46</v>
      </c>
      <c r="U1349" s="46" t="s">
        <v>46</v>
      </c>
      <c r="V1349" s="46" t="s">
        <v>36</v>
      </c>
      <c r="W1349" s="46" t="s">
        <v>36</v>
      </c>
      <c r="X1349" s="46" t="s">
        <v>37</v>
      </c>
      <c r="Y1349" s="46" t="s">
        <v>46</v>
      </c>
      <c r="Z1349" s="46" t="s">
        <v>36</v>
      </c>
      <c r="AA1349" s="46" t="s">
        <v>46</v>
      </c>
      <c r="AB1349" s="46" t="s">
        <v>46</v>
      </c>
      <c r="AC1349" s="46" t="s">
        <v>36</v>
      </c>
      <c r="AD1349" s="46" t="s">
        <v>36</v>
      </c>
      <c r="AE1349" s="46" t="s">
        <v>37</v>
      </c>
      <c r="AF1349" s="46" t="s">
        <v>46</v>
      </c>
      <c r="AG1349" s="46" t="s">
        <v>46</v>
      </c>
      <c r="AH1349" s="46" t="s">
        <v>43</v>
      </c>
      <c r="AI1349" s="46" t="s">
        <v>46</v>
      </c>
      <c r="AJ1349" s="46">
        <f>=SUM(E1350:AI1350)</f>
      </c>
      <c r="AK1349" s="46">
        <f>=+AY1349</f>
      </c>
      <c r="AL1349" s="46"/>
      <c r="AM1349" s="1"/>
      <c r="AN1349" s="1">
        <f>=COUNTIF(E1349:AI1349,"A")+COUNTIF(E1349:AI1349,"B")+COUNTIF(E1349:AI1349,"C")+COUNTIF(E1349:AI1349,"D")+COUNTIF(E1349:AI1349,"E")+COUNTIF(E1349:AI1349,"F")+COUNTIF(E1349:AI1349,"M")+COUNTIF(E1349:AI1349,"AB")+COUNTIF(E1349:AI1349,"UZ")+COUNTIF(E1349:AI1349,"G")+(COUNTIF(E1349:AI1349,"RT.")/2)+(COUNTIF(E1349:AI1349,"ÇRT.")/2)</f>
      </c>
      <c r="AO1349" s="1">
        <f>=COUNTIF(E1349:AI1349,"O")</f>
      </c>
      <c r="AP1349" s="1">
        <f>=COUNTIF(E1349:AI1349,"RT")+(COUNTIF(E1349:AI1349,"RT.")/2)</f>
      </c>
      <c r="AQ1349" s="1">
        <f>=COUNTIF(E1349:AI1349,"ÇRT")+(COUNTIF(E1349:AI1349,"ÇRT.")/2)</f>
      </c>
      <c r="AR1349" s="1">
        <f>=COUNTIF(E1349:AI1349,"ÇHT")</f>
      </c>
      <c r="AS1349" s="1">
        <f>=COUNTIF(E1349:AI1349,"Ö")+COUNTIF(E1349:AI1349,"T")</f>
      </c>
      <c r="AT1349" s="1">
        <f>=COUNTIF(E1349:AI1349,"Y")</f>
      </c>
      <c r="AU1349" s="1">
        <f>=COUNTIF(E1349:AI1349,"R.")</f>
      </c>
      <c r="AV1349" s="1">
        <f>=COUNTIF(E1349:AI1349,"Ü")</f>
      </c>
      <c r="AW1349" s="1">
        <f>=COUNTIF(E1349:AI1349,"R")</f>
      </c>
      <c r="AX1349" s="1">
        <f>=COUNTIF(E1349:AI1349,"DV")</f>
      </c>
      <c r="AY1349" s="1">
        <f>=+AN1349+AO1349+AP1349+AQ1349+AR1349+AS1349+AT1349+AU1349</f>
      </c>
    </row>
    <row r="1350" ht="16" customHeight="1" spans="1:51" x14ac:dyDescent="0.25">
      <c r="A1350" s="45"/>
      <c r="B1350" s="46"/>
      <c r="C1350" s="46"/>
      <c r="D1350" s="46" t="s">
        <v>33</v>
      </c>
      <c r="E1350" s="46"/>
      <c r="F1350" s="46"/>
      <c r="G1350" s="46"/>
      <c r="H1350" s="46"/>
      <c r="I1350" s="46"/>
      <c r="J1350" s="46"/>
      <c r="K1350" s="46"/>
      <c r="L1350" s="46"/>
      <c r="M1350" s="46"/>
      <c r="N1350" s="46"/>
      <c r="O1350" s="46"/>
      <c r="P1350" s="46"/>
      <c r="Q1350" s="46"/>
      <c r="R1350" s="46"/>
      <c r="S1350" s="46"/>
      <c r="T1350" s="46"/>
      <c r="U1350" s="46"/>
      <c r="V1350" s="46"/>
      <c r="W1350" s="46"/>
      <c r="X1350" s="46"/>
      <c r="Y1350" s="46"/>
      <c r="Z1350" s="46"/>
      <c r="AA1350" s="46"/>
      <c r="AB1350" s="46"/>
      <c r="AC1350" s="46"/>
      <c r="AD1350" s="46"/>
      <c r="AE1350" s="46"/>
      <c r="AF1350" s="46"/>
      <c r="AG1350" s="46"/>
      <c r="AH1350" s="46"/>
      <c r="AI1350" s="46"/>
      <c r="AJ1350" s="46"/>
      <c r="AK1350" s="46"/>
      <c r="AL1350" s="46"/>
      <c r="AM1350" s="1"/>
      <c r="AN1350" s="1"/>
      <c r="AO1350" s="1"/>
      <c r="AP1350" s="1"/>
      <c r="AQ1350" s="1"/>
      <c r="AR1350" s="1"/>
      <c r="AS1350" s="1"/>
      <c r="AT1350" s="1"/>
      <c r="AU1350" s="1"/>
      <c r="AV1350" s="1"/>
      <c r="AW1350" s="1"/>
      <c r="AX1350" s="1"/>
      <c r="AY1350" s="1"/>
    </row>
    <row r="1351" ht="16" customHeight="1" spans="1:51" x14ac:dyDescent="0.25">
      <c r="A1351" s="45"/>
      <c r="B1351" s="46" t="s">
        <v>1403</v>
      </c>
      <c r="C1351" s="46" t="s">
        <v>1404</v>
      </c>
      <c r="D1351" s="46" t="s">
        <v>29</v>
      </c>
      <c r="E1351" s="46" t="s">
        <v>36</v>
      </c>
      <c r="F1351" s="46" t="s">
        <v>37</v>
      </c>
      <c r="G1351" s="46" t="s">
        <v>46</v>
      </c>
      <c r="H1351" s="46" t="s">
        <v>36</v>
      </c>
      <c r="I1351" s="46" t="s">
        <v>36</v>
      </c>
      <c r="J1351" s="46" t="s">
        <v>46</v>
      </c>
      <c r="K1351" s="46" t="s">
        <v>46</v>
      </c>
      <c r="L1351" s="46" t="s">
        <v>36</v>
      </c>
      <c r="M1351" s="46" t="s">
        <v>37</v>
      </c>
      <c r="N1351" s="46" t="s">
        <v>46</v>
      </c>
      <c r="O1351" s="46" t="s">
        <v>46</v>
      </c>
      <c r="P1351" s="46" t="s">
        <v>46</v>
      </c>
      <c r="Q1351" s="46" t="s">
        <v>46</v>
      </c>
      <c r="R1351" s="46" t="s">
        <v>36</v>
      </c>
      <c r="S1351" s="46" t="s">
        <v>36</v>
      </c>
      <c r="T1351" s="46" t="s">
        <v>37</v>
      </c>
      <c r="U1351" s="46" t="s">
        <v>46</v>
      </c>
      <c r="V1351" s="46" t="s">
        <v>46</v>
      </c>
      <c r="W1351" s="46" t="s">
        <v>46</v>
      </c>
      <c r="X1351" s="46" t="s">
        <v>36</v>
      </c>
      <c r="Y1351" s="46" t="s">
        <v>46</v>
      </c>
      <c r="Z1351" s="46" t="s">
        <v>36</v>
      </c>
      <c r="AA1351" s="46" t="s">
        <v>37</v>
      </c>
      <c r="AB1351" s="46" t="s">
        <v>36</v>
      </c>
      <c r="AC1351" s="46" t="s">
        <v>46</v>
      </c>
      <c r="AD1351" s="46" t="s">
        <v>37</v>
      </c>
      <c r="AE1351" s="46" t="s">
        <v>46</v>
      </c>
      <c r="AF1351" s="46" t="s">
        <v>36</v>
      </c>
      <c r="AG1351" s="46" t="s">
        <v>46</v>
      </c>
      <c r="AH1351" s="46" t="s">
        <v>43</v>
      </c>
      <c r="AI1351" s="46" t="s">
        <v>46</v>
      </c>
      <c r="AJ1351" s="46">
        <f>=SUM(E1352:AI1352)</f>
      </c>
      <c r="AK1351" s="46">
        <f>=+AY1351</f>
      </c>
      <c r="AL1351" s="46"/>
      <c r="AM1351" s="1"/>
      <c r="AN1351" s="1">
        <f>=COUNTIF(E1351:AI1351,"A")+COUNTIF(E1351:AI1351,"B")+COUNTIF(E1351:AI1351,"C")+COUNTIF(E1351:AI1351,"D")+COUNTIF(E1351:AI1351,"E")+COUNTIF(E1351:AI1351,"F")+COUNTIF(E1351:AI1351,"M")+COUNTIF(E1351:AI1351,"AB")+COUNTIF(E1351:AI1351,"UZ")+COUNTIF(E1351:AI1351,"G")+(COUNTIF(E1351:AI1351,"RT.")/2)+(COUNTIF(E1351:AI1351,"ÇRT.")/2)</f>
      </c>
      <c r="AO1351" s="1">
        <f>=COUNTIF(E1351:AI1351,"O")</f>
      </c>
      <c r="AP1351" s="1">
        <f>=COUNTIF(E1351:AI1351,"RT")+(COUNTIF(E1351:AI1351,"RT.")/2)</f>
      </c>
      <c r="AQ1351" s="1">
        <f>=COUNTIF(E1351:AI1351,"ÇRT")+(COUNTIF(E1351:AI1351,"ÇRT.")/2)</f>
      </c>
      <c r="AR1351" s="1">
        <f>=COUNTIF(E1351:AI1351,"ÇHT")</f>
      </c>
      <c r="AS1351" s="1">
        <f>=COUNTIF(E1351:AI1351,"Ö")+COUNTIF(E1351:AI1351,"T")</f>
      </c>
      <c r="AT1351" s="1">
        <f>=COUNTIF(E1351:AI1351,"Y")</f>
      </c>
      <c r="AU1351" s="1">
        <f>=COUNTIF(E1351:AI1351,"R.")</f>
      </c>
      <c r="AV1351" s="1">
        <f>=COUNTIF(E1351:AI1351,"Ü")</f>
      </c>
      <c r="AW1351" s="1">
        <f>=COUNTIF(E1351:AI1351,"R")</f>
      </c>
      <c r="AX1351" s="1">
        <f>=COUNTIF(E1351:AI1351,"DV")</f>
      </c>
      <c r="AY1351" s="1">
        <f>=+AN1351+AO1351+AP1351+AQ1351+AR1351+AS1351+AT1351+AU1351</f>
      </c>
    </row>
    <row r="1352" ht="16" customHeight="1" spans="1:51" x14ac:dyDescent="0.25">
      <c r="A1352" s="45"/>
      <c r="B1352" s="46"/>
      <c r="C1352" s="46"/>
      <c r="D1352" s="46" t="s">
        <v>33</v>
      </c>
      <c r="E1352" s="46"/>
      <c r="F1352" s="46"/>
      <c r="G1352" s="46"/>
      <c r="H1352" s="46"/>
      <c r="I1352" s="46"/>
      <c r="J1352" s="46"/>
      <c r="K1352" s="46"/>
      <c r="L1352" s="46"/>
      <c r="M1352" s="46"/>
      <c r="N1352" s="46"/>
      <c r="O1352" s="46"/>
      <c r="P1352" s="46"/>
      <c r="Q1352" s="46"/>
      <c r="R1352" s="46"/>
      <c r="S1352" s="46"/>
      <c r="T1352" s="46"/>
      <c r="U1352" s="46"/>
      <c r="V1352" s="46"/>
      <c r="W1352" s="46"/>
      <c r="X1352" s="46"/>
      <c r="Y1352" s="46"/>
      <c r="Z1352" s="46"/>
      <c r="AA1352" s="46"/>
      <c r="AB1352" s="46"/>
      <c r="AC1352" s="46"/>
      <c r="AD1352" s="46"/>
      <c r="AE1352" s="46"/>
      <c r="AF1352" s="46"/>
      <c r="AG1352" s="46"/>
      <c r="AH1352" s="46"/>
      <c r="AI1352" s="46"/>
      <c r="AJ1352" s="46"/>
      <c r="AK1352" s="46"/>
      <c r="AL1352" s="46"/>
      <c r="AM1352" s="1"/>
      <c r="AN1352" s="1"/>
      <c r="AO1352" s="1"/>
      <c r="AP1352" s="1"/>
      <c r="AQ1352" s="1"/>
      <c r="AR1352" s="1"/>
      <c r="AS1352" s="1"/>
      <c r="AT1352" s="1"/>
      <c r="AU1352" s="1"/>
      <c r="AV1352" s="1"/>
      <c r="AW1352" s="1"/>
      <c r="AX1352" s="1"/>
      <c r="AY1352" s="1"/>
    </row>
    <row r="1353" ht="16" customHeight="1" spans="1:51" x14ac:dyDescent="0.25">
      <c r="A1353" s="45"/>
      <c r="B1353" s="46" t="s">
        <v>1405</v>
      </c>
      <c r="C1353" s="46" t="s">
        <v>1406</v>
      </c>
      <c r="D1353" s="46" t="s">
        <v>29</v>
      </c>
      <c r="E1353" s="46"/>
      <c r="F1353" s="46"/>
      <c r="G1353" s="46"/>
      <c r="H1353" s="46"/>
      <c r="I1353" s="46"/>
      <c r="J1353" s="46"/>
      <c r="K1353" s="46"/>
      <c r="L1353" s="46"/>
      <c r="M1353" s="46"/>
      <c r="N1353" s="46"/>
      <c r="O1353" s="46"/>
      <c r="P1353" s="46"/>
      <c r="Q1353" s="46"/>
      <c r="R1353" s="46"/>
      <c r="S1353" s="46"/>
      <c r="T1353" s="46"/>
      <c r="U1353" s="46"/>
      <c r="V1353" s="46"/>
      <c r="W1353" s="46"/>
      <c r="X1353" s="46" t="s">
        <v>36</v>
      </c>
      <c r="Y1353" s="46" t="s">
        <v>36</v>
      </c>
      <c r="Z1353" s="46" t="s">
        <v>36</v>
      </c>
      <c r="AA1353" s="46" t="s">
        <v>36</v>
      </c>
      <c r="AB1353" s="46" t="s">
        <v>36</v>
      </c>
      <c r="AC1353" s="46" t="s">
        <v>36</v>
      </c>
      <c r="AD1353" s="46" t="s">
        <v>36</v>
      </c>
      <c r="AE1353" s="46" t="s">
        <v>36</v>
      </c>
      <c r="AF1353" s="46" t="s">
        <v>37</v>
      </c>
      <c r="AG1353" s="46" t="s">
        <v>36</v>
      </c>
      <c r="AH1353" s="46" t="s">
        <v>43</v>
      </c>
      <c r="AI1353" s="46" t="s">
        <v>36</v>
      </c>
      <c r="AJ1353" s="46">
        <f>=SUM(E1354:AI1354)</f>
      </c>
      <c r="AK1353" s="46">
        <f>=+AY1353</f>
      </c>
      <c r="AL1353" s="46"/>
      <c r="AM1353" s="1"/>
      <c r="AN1353" s="1">
        <f>=COUNTIF(E1353:AI1353,"A")+COUNTIF(E1353:AI1353,"B")+COUNTIF(E1353:AI1353,"C")+COUNTIF(E1353:AI1353,"D")+COUNTIF(E1353:AI1353,"E")+COUNTIF(E1353:AI1353,"F")+COUNTIF(E1353:AI1353,"M")+COUNTIF(E1353:AI1353,"AB")+COUNTIF(E1353:AI1353,"UZ")+COUNTIF(E1353:AI1353,"G")+(COUNTIF(E1353:AI1353,"RT.")/2)+(COUNTIF(E1353:AI1353,"ÇRT.")/2)</f>
      </c>
      <c r="AO1353" s="1">
        <f>=COUNTIF(E1353:AI1353,"O")</f>
      </c>
      <c r="AP1353" s="1">
        <f>=COUNTIF(E1353:AI1353,"RT")+(COUNTIF(E1353:AI1353,"RT.")/2)</f>
      </c>
      <c r="AQ1353" s="1">
        <f>=COUNTIF(E1353:AI1353,"ÇRT")+(COUNTIF(E1353:AI1353,"ÇRT.")/2)</f>
      </c>
      <c r="AR1353" s="1">
        <f>=COUNTIF(E1353:AI1353,"ÇHT")</f>
      </c>
      <c r="AS1353" s="1">
        <f>=COUNTIF(E1353:AI1353,"Ö")+COUNTIF(E1353:AI1353,"T")</f>
      </c>
      <c r="AT1353" s="1">
        <f>=COUNTIF(E1353:AI1353,"Y")</f>
      </c>
      <c r="AU1353" s="1">
        <f>=COUNTIF(E1353:AI1353,"R.")</f>
      </c>
      <c r="AV1353" s="1">
        <f>=COUNTIF(E1353:AI1353,"Ü")</f>
      </c>
      <c r="AW1353" s="1">
        <f>=COUNTIF(E1353:AI1353,"R")</f>
      </c>
      <c r="AX1353" s="1">
        <f>=COUNTIF(E1353:AI1353,"DV")</f>
      </c>
      <c r="AY1353" s="1">
        <f>=+AN1353+AO1353+AP1353+AQ1353+AR1353+AS1353+AT1353+AU1353</f>
      </c>
    </row>
    <row r="1354" ht="16" customHeight="1" spans="1:51" x14ac:dyDescent="0.25">
      <c r="A1354" s="45"/>
      <c r="B1354" s="46"/>
      <c r="C1354" s="46"/>
      <c r="D1354" s="46" t="s">
        <v>33</v>
      </c>
      <c r="E1354" s="46"/>
      <c r="F1354" s="46"/>
      <c r="G1354" s="46"/>
      <c r="H1354" s="46"/>
      <c r="I1354" s="46"/>
      <c r="J1354" s="46"/>
      <c r="K1354" s="46"/>
      <c r="L1354" s="46"/>
      <c r="M1354" s="46"/>
      <c r="N1354" s="46"/>
      <c r="O1354" s="46"/>
      <c r="P1354" s="46"/>
      <c r="Q1354" s="46"/>
      <c r="R1354" s="46"/>
      <c r="S1354" s="46"/>
      <c r="T1354" s="46"/>
      <c r="U1354" s="46"/>
      <c r="V1354" s="46"/>
      <c r="W1354" s="46"/>
      <c r="X1354" s="46"/>
      <c r="Y1354" s="46"/>
      <c r="Z1354" s="46"/>
      <c r="AA1354" s="46"/>
      <c r="AB1354" s="46"/>
      <c r="AC1354" s="46"/>
      <c r="AD1354" s="46"/>
      <c r="AE1354" s="46"/>
      <c r="AF1354" s="46"/>
      <c r="AG1354" s="46"/>
      <c r="AH1354" s="46">
        <v>1</v>
      </c>
      <c r="AI1354" s="46"/>
      <c r="AJ1354" s="46"/>
      <c r="AK1354" s="46"/>
      <c r="AL1354" s="46"/>
      <c r="AM1354" s="1"/>
      <c r="AN1354" s="1"/>
      <c r="AO1354" s="1"/>
      <c r="AP1354" s="1"/>
      <c r="AQ1354" s="1"/>
      <c r="AR1354" s="1"/>
      <c r="AS1354" s="1"/>
      <c r="AT1354" s="1"/>
      <c r="AU1354" s="1"/>
      <c r="AV1354" s="1"/>
      <c r="AW1354" s="1"/>
      <c r="AX1354" s="1"/>
      <c r="AY1354" s="1"/>
    </row>
    <row r="1355" ht="16" customHeight="1" spans="1:51" x14ac:dyDescent="0.25">
      <c r="A1355" s="45"/>
      <c r="B1355" s="46" t="s">
        <v>1407</v>
      </c>
      <c r="C1355" s="46" t="s">
        <v>1408</v>
      </c>
      <c r="D1355" s="46" t="s">
        <v>29</v>
      </c>
      <c r="E1355" s="46" t="s">
        <v>37</v>
      </c>
      <c r="F1355" s="46" t="s">
        <v>36</v>
      </c>
      <c r="G1355" s="46" t="s">
        <v>59</v>
      </c>
      <c r="H1355" s="46" t="s">
        <v>59</v>
      </c>
      <c r="I1355" s="46" t="s">
        <v>59</v>
      </c>
      <c r="J1355" s="46" t="s">
        <v>59</v>
      </c>
      <c r="K1355" s="46" t="s">
        <v>59</v>
      </c>
      <c r="L1355" s="46" t="s">
        <v>59</v>
      </c>
      <c r="M1355" s="46" t="s">
        <v>37</v>
      </c>
      <c r="N1355" s="46" t="s">
        <v>59</v>
      </c>
      <c r="O1355" s="46" t="s">
        <v>59</v>
      </c>
      <c r="P1355" s="46" t="s">
        <v>59</v>
      </c>
      <c r="Q1355" s="46" t="s">
        <v>59</v>
      </c>
      <c r="R1355" s="46" t="s">
        <v>59</v>
      </c>
      <c r="S1355" s="46"/>
      <c r="T1355" s="46"/>
      <c r="U1355" s="46"/>
      <c r="V1355" s="46"/>
      <c r="W1355" s="46"/>
      <c r="X1355" s="46"/>
      <c r="Y1355" s="46"/>
      <c r="Z1355" s="46"/>
      <c r="AA1355" s="46"/>
      <c r="AB1355" s="46"/>
      <c r="AC1355" s="46"/>
      <c r="AD1355" s="46"/>
      <c r="AE1355" s="46"/>
      <c r="AF1355" s="46"/>
      <c r="AG1355" s="46"/>
      <c r="AH1355" s="46"/>
      <c r="AI1355" s="46"/>
      <c r="AJ1355" s="46">
        <f>=SUM(E1356:AI1356)</f>
      </c>
      <c r="AK1355" s="46">
        <f>=+AY1355</f>
      </c>
      <c r="AL1355" s="46"/>
      <c r="AM1355" s="1"/>
      <c r="AN1355" s="1">
        <f>=COUNTIF(E1355:AI1355,"A")+COUNTIF(E1355:AI1355,"B")+COUNTIF(E1355:AI1355,"C")+COUNTIF(E1355:AI1355,"D")+COUNTIF(E1355:AI1355,"E")+COUNTIF(E1355:AI1355,"F")+COUNTIF(E1355:AI1355,"M")+COUNTIF(E1355:AI1355,"AB")+COUNTIF(E1355:AI1355,"UZ")+COUNTIF(E1355:AI1355,"G")+(COUNTIF(E1355:AI1355,"RT.")/2)+(COUNTIF(E1355:AI1355,"ÇRT.")/2)</f>
      </c>
      <c r="AO1355" s="1">
        <f>=COUNTIF(E1355:AI1355,"O")</f>
      </c>
      <c r="AP1355" s="1">
        <f>=COUNTIF(E1355:AI1355,"RT")+(COUNTIF(E1355:AI1355,"RT.")/2)</f>
      </c>
      <c r="AQ1355" s="1">
        <f>=COUNTIF(E1355:AI1355,"ÇRT")+(COUNTIF(E1355:AI1355,"ÇRT.")/2)</f>
      </c>
      <c r="AR1355" s="1">
        <f>=COUNTIF(E1355:AI1355,"ÇHT")</f>
      </c>
      <c r="AS1355" s="1">
        <f>=COUNTIF(E1355:AI1355,"Ö")+COUNTIF(E1355:AI1355,"T")</f>
      </c>
      <c r="AT1355" s="1">
        <f>=COUNTIF(E1355:AI1355,"Y")</f>
      </c>
      <c r="AU1355" s="1">
        <f>=COUNTIF(E1355:AI1355,"R.")</f>
      </c>
      <c r="AV1355" s="1">
        <f>=COUNTIF(E1355:AI1355,"Ü")</f>
      </c>
      <c r="AW1355" s="1">
        <f>=COUNTIF(E1355:AI1355,"R")</f>
      </c>
      <c r="AX1355" s="1">
        <f>=COUNTIF(E1355:AI1355,"DV")</f>
      </c>
      <c r="AY1355" s="1">
        <f>=+AN1355+AO1355+AP1355+AQ1355+AR1355+AS1355+AT1355+AU1355</f>
      </c>
    </row>
    <row r="1356" ht="16" customHeight="1" spans="1:51" x14ac:dyDescent="0.25">
      <c r="A1356" s="45"/>
      <c r="B1356" s="46"/>
      <c r="C1356" s="46"/>
      <c r="D1356" s="46" t="s">
        <v>33</v>
      </c>
      <c r="E1356" s="46"/>
      <c r="F1356" s="46"/>
      <c r="G1356" s="46"/>
      <c r="H1356" s="46"/>
      <c r="I1356" s="46"/>
      <c r="J1356" s="46"/>
      <c r="K1356" s="46"/>
      <c r="L1356" s="46"/>
      <c r="M1356" s="46"/>
      <c r="N1356" s="46"/>
      <c r="O1356" s="46"/>
      <c r="P1356" s="46"/>
      <c r="Q1356" s="46"/>
      <c r="R1356" s="46"/>
      <c r="S1356" s="46"/>
      <c r="T1356" s="46"/>
      <c r="U1356" s="46"/>
      <c r="V1356" s="46"/>
      <c r="W1356" s="46"/>
      <c r="X1356" s="46"/>
      <c r="Y1356" s="46"/>
      <c r="Z1356" s="46"/>
      <c r="AA1356" s="46"/>
      <c r="AB1356" s="46"/>
      <c r="AC1356" s="46"/>
      <c r="AD1356" s="46"/>
      <c r="AE1356" s="46"/>
      <c r="AF1356" s="46"/>
      <c r="AG1356" s="46"/>
      <c r="AH1356" s="46"/>
      <c r="AI1356" s="46"/>
      <c r="AJ1356" s="46"/>
      <c r="AK1356" s="46"/>
      <c r="AL1356" s="46"/>
      <c r="AM1356" s="1"/>
      <c r="AN1356" s="1"/>
      <c r="AO1356" s="1"/>
      <c r="AP1356" s="1"/>
      <c r="AQ1356" s="1"/>
      <c r="AR1356" s="1"/>
      <c r="AS1356" s="1"/>
      <c r="AT1356" s="1"/>
      <c r="AU1356" s="1"/>
      <c r="AV1356" s="1"/>
      <c r="AW1356" s="1"/>
      <c r="AX1356" s="1"/>
      <c r="AY1356" s="1"/>
    </row>
    <row r="1357" ht="16" customHeight="1" spans="1:51" x14ac:dyDescent="0.25">
      <c r="A1357" s="45"/>
      <c r="B1357" s="46" t="s">
        <v>1409</v>
      </c>
      <c r="C1357" s="46" t="s">
        <v>1410</v>
      </c>
      <c r="D1357" s="46" t="s">
        <v>29</v>
      </c>
      <c r="E1357" s="46" t="s">
        <v>36</v>
      </c>
      <c r="F1357" s="46" t="s">
        <v>37</v>
      </c>
      <c r="G1357" s="46" t="s">
        <v>36</v>
      </c>
      <c r="H1357" s="46" t="s">
        <v>36</v>
      </c>
      <c r="I1357" s="46" t="s">
        <v>36</v>
      </c>
      <c r="J1357" s="46" t="s">
        <v>36</v>
      </c>
      <c r="K1357" s="46" t="s">
        <v>299</v>
      </c>
      <c r="L1357" s="46" t="s">
        <v>299</v>
      </c>
      <c r="M1357" s="46" t="s">
        <v>37</v>
      </c>
      <c r="N1357" s="46" t="s">
        <v>31</v>
      </c>
      <c r="O1357" s="46" t="s">
        <v>299</v>
      </c>
      <c r="P1357" s="46" t="s">
        <v>36</v>
      </c>
      <c r="Q1357" s="46" t="s">
        <v>36</v>
      </c>
      <c r="R1357" s="46" t="s">
        <v>36</v>
      </c>
      <c r="S1357" s="46" t="s">
        <v>31</v>
      </c>
      <c r="T1357" s="46" t="s">
        <v>37</v>
      </c>
      <c r="U1357" s="46" t="s">
        <v>31</v>
      </c>
      <c r="V1357" s="46" t="s">
        <v>31</v>
      </c>
      <c r="W1357" s="46" t="s">
        <v>31</v>
      </c>
      <c r="X1357" s="46" t="s">
        <v>32</v>
      </c>
      <c r="Y1357" s="46" t="s">
        <v>36</v>
      </c>
      <c r="Z1357" s="46" t="s">
        <v>31</v>
      </c>
      <c r="AA1357" s="46" t="s">
        <v>37</v>
      </c>
      <c r="AB1357" s="46" t="s">
        <v>31</v>
      </c>
      <c r="AC1357" s="46" t="s">
        <v>31</v>
      </c>
      <c r="AD1357" s="46" t="s">
        <v>32</v>
      </c>
      <c r="AE1357" s="46" t="s">
        <v>32</v>
      </c>
      <c r="AF1357" s="46" t="s">
        <v>32</v>
      </c>
      <c r="AG1357" s="46" t="s">
        <v>32</v>
      </c>
      <c r="AH1357" s="46" t="s">
        <v>32</v>
      </c>
      <c r="AI1357" s="46" t="s">
        <v>31</v>
      </c>
      <c r="AJ1357" s="46">
        <f>=SUM(E1358:AI1358)</f>
      </c>
      <c r="AK1357" s="46">
        <f>=+AY1357</f>
      </c>
      <c r="AL1357" s="46"/>
      <c r="AM1357" s="1"/>
      <c r="AN1357" s="1">
        <f>=COUNTIF(E1357:AI1357,"A")+COUNTIF(E1357:AI1357,"B")+COUNTIF(E1357:AI1357,"C")+COUNTIF(E1357:AI1357,"D")+COUNTIF(E1357:AI1357,"E")+COUNTIF(E1357:AI1357,"F")+COUNTIF(E1357:AI1357,"M")+COUNTIF(E1357:AI1357,"AB")+COUNTIF(E1357:AI1357,"UZ")+COUNTIF(E1357:AI1357,"G")+(COUNTIF(E1357:AI1357,"RT.")/2)+(COUNTIF(E1357:AI1357,"ÇRT.")/2)</f>
      </c>
      <c r="AO1357" s="1">
        <f>=COUNTIF(E1357:AI1357,"O")</f>
      </c>
      <c r="AP1357" s="1">
        <f>=COUNTIF(E1357:AI1357,"RT")+(COUNTIF(E1357:AI1357,"RT.")/2)</f>
      </c>
      <c r="AQ1357" s="1">
        <f>=COUNTIF(E1357:AI1357,"ÇRT")+(COUNTIF(E1357:AI1357,"ÇRT.")/2)</f>
      </c>
      <c r="AR1357" s="1">
        <f>=COUNTIF(E1357:AI1357,"ÇHT")</f>
      </c>
      <c r="AS1357" s="1">
        <f>=COUNTIF(E1357:AI1357,"Ö")+COUNTIF(E1357:AI1357,"T")</f>
      </c>
      <c r="AT1357" s="1">
        <f>=COUNTIF(E1357:AI1357,"Y")</f>
      </c>
      <c r="AU1357" s="1">
        <f>=COUNTIF(E1357:AI1357,"R.")</f>
      </c>
      <c r="AV1357" s="1">
        <f>=COUNTIF(E1357:AI1357,"Ü")</f>
      </c>
      <c r="AW1357" s="1">
        <f>=COUNTIF(E1357:AI1357,"R")</f>
      </c>
      <c r="AX1357" s="1">
        <f>=COUNTIF(E1357:AI1357,"DV")</f>
      </c>
      <c r="AY1357" s="1">
        <f>=+AN1357+AO1357+AP1357+AQ1357+AR1357+AS1357+AT1357+AU1357</f>
      </c>
    </row>
    <row r="1358" ht="16" customHeight="1" spans="1:51" x14ac:dyDescent="0.25">
      <c r="A1358" s="45"/>
      <c r="B1358" s="46"/>
      <c r="C1358" s="46"/>
      <c r="D1358" s="46" t="s">
        <v>33</v>
      </c>
      <c r="E1358" s="46">
        <v>2</v>
      </c>
      <c r="F1358" s="46"/>
      <c r="G1358" s="46"/>
      <c r="H1358" s="46"/>
      <c r="I1358" s="46"/>
      <c r="J1358" s="46"/>
      <c r="K1358" s="46">
        <v>2</v>
      </c>
      <c r="L1358" s="46">
        <v>2</v>
      </c>
      <c r="M1358" s="46"/>
      <c r="N1358" s="46"/>
      <c r="O1358" s="46">
        <v>2</v>
      </c>
      <c r="P1358" s="46"/>
      <c r="Q1358" s="46"/>
      <c r="R1358" s="46">
        <v>2</v>
      </c>
      <c r="S1358" s="46"/>
      <c r="T1358" s="46"/>
      <c r="U1358" s="46"/>
      <c r="V1358" s="46"/>
      <c r="W1358" s="46"/>
      <c r="X1358" s="46"/>
      <c r="Y1358" s="46"/>
      <c r="Z1358" s="46"/>
      <c r="AA1358" s="46"/>
      <c r="AB1358" s="46"/>
      <c r="AC1358" s="46"/>
      <c r="AD1358" s="46"/>
      <c r="AE1358" s="46"/>
      <c r="AF1358" s="46"/>
      <c r="AG1358" s="46"/>
      <c r="AH1358" s="46"/>
      <c r="AI1358" s="46">
        <v>0</v>
      </c>
      <c r="AJ1358" s="46"/>
      <c r="AK1358" s="46"/>
      <c r="AL1358" s="46"/>
      <c r="AM1358" s="1"/>
      <c r="AN1358" s="1"/>
      <c r="AO1358" s="1"/>
      <c r="AP1358" s="1"/>
      <c r="AQ1358" s="1"/>
      <c r="AR1358" s="1"/>
      <c r="AS1358" s="1"/>
      <c r="AT1358" s="1"/>
      <c r="AU1358" s="1"/>
      <c r="AV1358" s="1"/>
      <c r="AW1358" s="1"/>
      <c r="AX1358" s="1"/>
      <c r="AY1358" s="1"/>
    </row>
    <row r="1359" ht="16" customHeight="1" spans="1:51" x14ac:dyDescent="0.25">
      <c r="A1359" s="45"/>
      <c r="B1359" s="46" t="s">
        <v>1411</v>
      </c>
      <c r="C1359" s="46" t="s">
        <v>1412</v>
      </c>
      <c r="D1359" s="46" t="s">
        <v>29</v>
      </c>
      <c r="E1359" s="46" t="s">
        <v>36</v>
      </c>
      <c r="F1359" s="46" t="s">
        <v>36</v>
      </c>
      <c r="G1359" s="46" t="s">
        <v>36</v>
      </c>
      <c r="H1359" s="46" t="s">
        <v>37</v>
      </c>
      <c r="I1359" s="46" t="s">
        <v>36</v>
      </c>
      <c r="J1359" s="46" t="s">
        <v>36</v>
      </c>
      <c r="K1359" s="46" t="s">
        <v>36</v>
      </c>
      <c r="L1359" s="46" t="s">
        <v>36</v>
      </c>
      <c r="M1359" s="46" t="s">
        <v>36</v>
      </c>
      <c r="N1359" s="46" t="s">
        <v>37</v>
      </c>
      <c r="O1359" s="46" t="s">
        <v>36</v>
      </c>
      <c r="P1359" s="46" t="s">
        <v>36</v>
      </c>
      <c r="Q1359" s="46" t="s">
        <v>36</v>
      </c>
      <c r="R1359" s="46" t="s">
        <v>36</v>
      </c>
      <c r="S1359" s="46" t="s">
        <v>36</v>
      </c>
      <c r="T1359" s="46" t="s">
        <v>36</v>
      </c>
      <c r="U1359" s="46" t="s">
        <v>37</v>
      </c>
      <c r="V1359" s="46" t="s">
        <v>36</v>
      </c>
      <c r="W1359" s="46" t="s">
        <v>36</v>
      </c>
      <c r="X1359" s="46" t="s">
        <v>36</v>
      </c>
      <c r="Y1359" s="46" t="s">
        <v>36</v>
      </c>
      <c r="Z1359" s="46" t="s">
        <v>36</v>
      </c>
      <c r="AA1359" s="46" t="s">
        <v>36</v>
      </c>
      <c r="AB1359" s="46" t="s">
        <v>37</v>
      </c>
      <c r="AC1359" s="46" t="s">
        <v>36</v>
      </c>
      <c r="AD1359" s="46" t="s">
        <v>36</v>
      </c>
      <c r="AE1359" s="46" t="s">
        <v>36</v>
      </c>
      <c r="AF1359" s="46" t="s">
        <v>299</v>
      </c>
      <c r="AG1359" s="46" t="s">
        <v>36</v>
      </c>
      <c r="AH1359" s="46" t="s">
        <v>43</v>
      </c>
      <c r="AI1359" s="46" t="s">
        <v>37</v>
      </c>
      <c r="AJ1359" s="46">
        <f>=SUM(E1360:AI1360)</f>
      </c>
      <c r="AK1359" s="46">
        <f>=+AY1359</f>
      </c>
      <c r="AL1359" s="46"/>
      <c r="AM1359" s="1"/>
      <c r="AN1359" s="1">
        <f>=COUNTIF(E1359:AI1359,"A")+COUNTIF(E1359:AI1359,"B")+COUNTIF(E1359:AI1359,"C")+COUNTIF(E1359:AI1359,"D")+COUNTIF(E1359:AI1359,"E")+COUNTIF(E1359:AI1359,"F")+COUNTIF(E1359:AI1359,"M")+COUNTIF(E1359:AI1359,"AB")+COUNTIF(E1359:AI1359,"UZ")+COUNTIF(E1359:AI1359,"G")+(COUNTIF(E1359:AI1359,"RT.")/2)+(COUNTIF(E1359:AI1359,"ÇRT.")/2)</f>
      </c>
      <c r="AO1359" s="1">
        <f>=COUNTIF(E1359:AI1359,"O")</f>
      </c>
      <c r="AP1359" s="1">
        <f>=COUNTIF(E1359:AI1359,"RT")+(COUNTIF(E1359:AI1359,"RT.")/2)</f>
      </c>
      <c r="AQ1359" s="1">
        <f>=COUNTIF(E1359:AI1359,"ÇRT")+(COUNTIF(E1359:AI1359,"ÇRT.")/2)</f>
      </c>
      <c r="AR1359" s="1">
        <f>=COUNTIF(E1359:AI1359,"ÇHT")</f>
      </c>
      <c r="AS1359" s="1">
        <f>=COUNTIF(E1359:AI1359,"Ö")+COUNTIF(E1359:AI1359,"T")</f>
      </c>
      <c r="AT1359" s="1">
        <f>=COUNTIF(E1359:AI1359,"Y")</f>
      </c>
      <c r="AU1359" s="1">
        <f>=COUNTIF(E1359:AI1359,"R.")</f>
      </c>
      <c r="AV1359" s="1">
        <f>=COUNTIF(E1359:AI1359,"Ü")</f>
      </c>
      <c r="AW1359" s="1">
        <f>=COUNTIF(E1359:AI1359,"R")</f>
      </c>
      <c r="AX1359" s="1">
        <f>=COUNTIF(E1359:AI1359,"DV")</f>
      </c>
      <c r="AY1359" s="1">
        <f>=+AN1359+AO1359+AP1359+AQ1359+AR1359+AS1359+AT1359+AU1359</f>
      </c>
    </row>
    <row r="1360" ht="16" customHeight="1" spans="1:51" x14ac:dyDescent="0.25">
      <c r="A1360" s="45"/>
      <c r="B1360" s="46"/>
      <c r="C1360" s="46"/>
      <c r="D1360" s="46" t="s">
        <v>33</v>
      </c>
      <c r="E1360" s="46"/>
      <c r="F1360" s="46"/>
      <c r="G1360" s="46"/>
      <c r="H1360" s="46"/>
      <c r="I1360" s="46"/>
      <c r="J1360" s="46">
        <v>2</v>
      </c>
      <c r="K1360" s="46">
        <v>2</v>
      </c>
      <c r="L1360" s="46"/>
      <c r="M1360" s="46"/>
      <c r="N1360" s="46"/>
      <c r="O1360" s="46">
        <v>2</v>
      </c>
      <c r="P1360" s="46"/>
      <c r="Q1360" s="46">
        <v>2</v>
      </c>
      <c r="R1360" s="46">
        <v>2</v>
      </c>
      <c r="S1360" s="46"/>
      <c r="T1360" s="46"/>
      <c r="U1360" s="46"/>
      <c r="V1360" s="46">
        <v>2</v>
      </c>
      <c r="W1360" s="46"/>
      <c r="X1360" s="46">
        <v>2</v>
      </c>
      <c r="Y1360" s="46">
        <v>2</v>
      </c>
      <c r="Z1360" s="46"/>
      <c r="AA1360" s="46"/>
      <c r="AB1360" s="46"/>
      <c r="AC1360" s="46"/>
      <c r="AD1360" s="46"/>
      <c r="AE1360" s="46"/>
      <c r="AF1360" s="46"/>
      <c r="AG1360" s="46"/>
      <c r="AH1360" s="46"/>
      <c r="AI1360" s="46"/>
      <c r="AJ1360" s="46"/>
      <c r="AK1360" s="46"/>
      <c r="AL1360" s="46"/>
      <c r="AM1360" s="1"/>
      <c r="AN1360" s="1"/>
      <c r="AO1360" s="1"/>
      <c r="AP1360" s="1"/>
      <c r="AQ1360" s="1"/>
      <c r="AR1360" s="1"/>
      <c r="AS1360" s="1"/>
      <c r="AT1360" s="1"/>
      <c r="AU1360" s="1"/>
      <c r="AV1360" s="1"/>
      <c r="AW1360" s="1"/>
      <c r="AX1360" s="1"/>
      <c r="AY1360" s="1"/>
    </row>
    <row r="1361" ht="16" customHeight="1" spans="1:51" x14ac:dyDescent="0.25">
      <c r="A1361" s="45"/>
      <c r="B1361" s="46" t="s">
        <v>1413</v>
      </c>
      <c r="C1361" s="46" t="s">
        <v>1414</v>
      </c>
      <c r="D1361" s="46" t="s">
        <v>29</v>
      </c>
      <c r="E1361" s="46" t="s">
        <v>37</v>
      </c>
      <c r="F1361" s="46" t="s">
        <v>46</v>
      </c>
      <c r="G1361" s="46" t="s">
        <v>46</v>
      </c>
      <c r="H1361" s="46" t="s">
        <v>46</v>
      </c>
      <c r="I1361" s="46" t="s">
        <v>46</v>
      </c>
      <c r="J1361" s="46" t="s">
        <v>46</v>
      </c>
      <c r="K1361" s="46" t="s">
        <v>36</v>
      </c>
      <c r="L1361" s="46" t="s">
        <v>37</v>
      </c>
      <c r="M1361" s="46" t="s">
        <v>46</v>
      </c>
      <c r="N1361" s="46" t="s">
        <v>46</v>
      </c>
      <c r="O1361" s="46" t="s">
        <v>46</v>
      </c>
      <c r="P1361" s="46" t="s">
        <v>36</v>
      </c>
      <c r="Q1361" s="46" t="s">
        <v>46</v>
      </c>
      <c r="R1361" s="46" t="s">
        <v>36</v>
      </c>
      <c r="S1361" s="46" t="s">
        <v>37</v>
      </c>
      <c r="T1361" s="46" t="s">
        <v>46</v>
      </c>
      <c r="U1361" s="46" t="s">
        <v>46</v>
      </c>
      <c r="V1361" s="46" t="s">
        <v>46</v>
      </c>
      <c r="W1361" s="46" t="s">
        <v>46</v>
      </c>
      <c r="X1361" s="46" t="s">
        <v>46</v>
      </c>
      <c r="Y1361" s="46" t="s">
        <v>36</v>
      </c>
      <c r="Z1361" s="46" t="s">
        <v>37</v>
      </c>
      <c r="AA1361" s="46" t="s">
        <v>46</v>
      </c>
      <c r="AB1361" s="46" t="s">
        <v>36</v>
      </c>
      <c r="AC1361" s="46" t="s">
        <v>37</v>
      </c>
      <c r="AD1361" s="46" t="s">
        <v>46</v>
      </c>
      <c r="AE1361" s="46" t="s">
        <v>46</v>
      </c>
      <c r="AF1361" s="46" t="s">
        <v>46</v>
      </c>
      <c r="AG1361" s="46" t="s">
        <v>36</v>
      </c>
      <c r="AH1361" s="46" t="s">
        <v>43</v>
      </c>
      <c r="AI1361" s="46" t="s">
        <v>46</v>
      </c>
      <c r="AJ1361" s="46">
        <f>=SUM(E1362:AI1362)</f>
      </c>
      <c r="AK1361" s="46">
        <f>=+AY1361</f>
      </c>
      <c r="AL1361" s="46"/>
      <c r="AM1361" s="1"/>
      <c r="AN1361" s="1">
        <f>=COUNTIF(E1361:AI1361,"A")+COUNTIF(E1361:AI1361,"B")+COUNTIF(E1361:AI1361,"C")+COUNTIF(E1361:AI1361,"D")+COUNTIF(E1361:AI1361,"E")+COUNTIF(E1361:AI1361,"F")+COUNTIF(E1361:AI1361,"M")+COUNTIF(E1361:AI1361,"AB")+COUNTIF(E1361:AI1361,"UZ")+COUNTIF(E1361:AI1361,"G")+(COUNTIF(E1361:AI1361,"RT.")/2)+(COUNTIF(E1361:AI1361,"ÇRT.")/2)</f>
      </c>
      <c r="AO1361" s="1">
        <f>=COUNTIF(E1361:AI1361,"O")</f>
      </c>
      <c r="AP1361" s="1">
        <f>=COUNTIF(E1361:AI1361,"RT")+(COUNTIF(E1361:AI1361,"RT.")/2)</f>
      </c>
      <c r="AQ1361" s="1">
        <f>=COUNTIF(E1361:AI1361,"ÇRT")+(COUNTIF(E1361:AI1361,"ÇRT.")/2)</f>
      </c>
      <c r="AR1361" s="1">
        <f>=COUNTIF(E1361:AI1361,"ÇHT")</f>
      </c>
      <c r="AS1361" s="1">
        <f>=COUNTIF(E1361:AI1361,"Ö")+COUNTIF(E1361:AI1361,"T")</f>
      </c>
      <c r="AT1361" s="1">
        <f>=COUNTIF(E1361:AI1361,"Y")</f>
      </c>
      <c r="AU1361" s="1">
        <f>=COUNTIF(E1361:AI1361,"R.")</f>
      </c>
      <c r="AV1361" s="1">
        <f>=COUNTIF(E1361:AI1361,"Ü")</f>
      </c>
      <c r="AW1361" s="1">
        <f>=COUNTIF(E1361:AI1361,"R")</f>
      </c>
      <c r="AX1361" s="1">
        <f>=COUNTIF(E1361:AI1361,"DV")</f>
      </c>
      <c r="AY1361" s="1">
        <f>=+AN1361+AO1361+AP1361+AQ1361+AR1361+AS1361+AT1361+AU1361</f>
      </c>
    </row>
    <row r="1362" ht="16" customHeight="1" spans="1:51" x14ac:dyDescent="0.25">
      <c r="A1362" s="45"/>
      <c r="B1362" s="46"/>
      <c r="C1362" s="46"/>
      <c r="D1362" s="46" t="s">
        <v>33</v>
      </c>
      <c r="E1362" s="46"/>
      <c r="F1362" s="46"/>
      <c r="G1362" s="46"/>
      <c r="H1362" s="46"/>
      <c r="I1362" s="46"/>
      <c r="J1362" s="46"/>
      <c r="K1362" s="46"/>
      <c r="L1362" s="46"/>
      <c r="M1362" s="46"/>
      <c r="N1362" s="46"/>
      <c r="O1362" s="46"/>
      <c r="P1362" s="46"/>
      <c r="Q1362" s="46"/>
      <c r="R1362" s="46"/>
      <c r="S1362" s="46"/>
      <c r="T1362" s="46"/>
      <c r="U1362" s="46"/>
      <c r="V1362" s="46"/>
      <c r="W1362" s="46"/>
      <c r="X1362" s="46"/>
      <c r="Y1362" s="46"/>
      <c r="Z1362" s="46"/>
      <c r="AA1362" s="46"/>
      <c r="AB1362" s="46"/>
      <c r="AC1362" s="46"/>
      <c r="AD1362" s="46"/>
      <c r="AE1362" s="46"/>
      <c r="AF1362" s="46"/>
      <c r="AG1362" s="46"/>
      <c r="AH1362" s="46"/>
      <c r="AI1362" s="46"/>
      <c r="AJ1362" s="46"/>
      <c r="AK1362" s="46"/>
      <c r="AL1362" s="46"/>
      <c r="AM1362" s="1"/>
      <c r="AN1362" s="1"/>
      <c r="AO1362" s="1"/>
      <c r="AP1362" s="1"/>
      <c r="AQ1362" s="1"/>
      <c r="AR1362" s="1"/>
      <c r="AS1362" s="1"/>
      <c r="AT1362" s="1"/>
      <c r="AU1362" s="1"/>
      <c r="AV1362" s="1"/>
      <c r="AW1362" s="1"/>
      <c r="AX1362" s="1"/>
      <c r="AY1362" s="1"/>
    </row>
    <row r="1363" ht="16" customHeight="1" spans="1:51" x14ac:dyDescent="0.25">
      <c r="A1363" s="45"/>
      <c r="B1363" s="46" t="s">
        <v>1415</v>
      </c>
      <c r="C1363" s="46" t="s">
        <v>1416</v>
      </c>
      <c r="D1363" s="46" t="s">
        <v>29</v>
      </c>
      <c r="E1363" s="46" t="s">
        <v>36</v>
      </c>
      <c r="F1363" s="46" t="s">
        <v>36</v>
      </c>
      <c r="G1363" s="46" t="s">
        <v>36</v>
      </c>
      <c r="H1363" s="46" t="s">
        <v>36</v>
      </c>
      <c r="I1363" s="46" t="s">
        <v>37</v>
      </c>
      <c r="J1363" s="46" t="s">
        <v>36</v>
      </c>
      <c r="K1363" s="46" t="s">
        <v>36</v>
      </c>
      <c r="L1363" s="46" t="s">
        <v>36</v>
      </c>
      <c r="M1363" s="46" t="s">
        <v>36</v>
      </c>
      <c r="N1363" s="46" t="s">
        <v>36</v>
      </c>
      <c r="O1363" s="46" t="s">
        <v>36</v>
      </c>
      <c r="P1363" s="46" t="s">
        <v>37</v>
      </c>
      <c r="Q1363" s="46" t="s">
        <v>36</v>
      </c>
      <c r="R1363" s="46" t="s">
        <v>36</v>
      </c>
      <c r="S1363" s="46" t="s">
        <v>36</v>
      </c>
      <c r="T1363" s="46" t="s">
        <v>36</v>
      </c>
      <c r="U1363" s="46" t="s">
        <v>36</v>
      </c>
      <c r="V1363" s="46" t="s">
        <v>36</v>
      </c>
      <c r="W1363" s="46" t="s">
        <v>37</v>
      </c>
      <c r="X1363" s="46" t="s">
        <v>36</v>
      </c>
      <c r="Y1363" s="46" t="s">
        <v>36</v>
      </c>
      <c r="Z1363" s="46" t="s">
        <v>36</v>
      </c>
      <c r="AA1363" s="46" t="s">
        <v>36</v>
      </c>
      <c r="AB1363" s="46" t="s">
        <v>36</v>
      </c>
      <c r="AC1363" s="46" t="s">
        <v>36</v>
      </c>
      <c r="AD1363" s="46" t="s">
        <v>37</v>
      </c>
      <c r="AE1363" s="46" t="s">
        <v>36</v>
      </c>
      <c r="AF1363" s="46" t="s">
        <v>36</v>
      </c>
      <c r="AG1363" s="46" t="s">
        <v>36</v>
      </c>
      <c r="AH1363" s="46" t="s">
        <v>43</v>
      </c>
      <c r="AI1363" s="46" t="s">
        <v>299</v>
      </c>
      <c r="AJ1363" s="46">
        <f>=SUM(E1364:AI1364)</f>
      </c>
      <c r="AK1363" s="46">
        <f>=+AY1363</f>
      </c>
      <c r="AL1363" s="46"/>
      <c r="AM1363" s="1"/>
      <c r="AN1363" s="1">
        <f>=COUNTIF(E1363:AI1363,"A")+COUNTIF(E1363:AI1363,"B")+COUNTIF(E1363:AI1363,"C")+COUNTIF(E1363:AI1363,"D")+COUNTIF(E1363:AI1363,"E")+COUNTIF(E1363:AI1363,"F")+COUNTIF(E1363:AI1363,"M")+COUNTIF(E1363:AI1363,"AB")+COUNTIF(E1363:AI1363,"UZ")+COUNTIF(E1363:AI1363,"G")+(COUNTIF(E1363:AI1363,"RT.")/2)+(COUNTIF(E1363:AI1363,"ÇRT.")/2)</f>
      </c>
      <c r="AO1363" s="1">
        <f>=COUNTIF(E1363:AI1363,"O")</f>
      </c>
      <c r="AP1363" s="1">
        <f>=COUNTIF(E1363:AI1363,"RT")+(COUNTIF(E1363:AI1363,"RT.")/2)</f>
      </c>
      <c r="AQ1363" s="1">
        <f>=COUNTIF(E1363:AI1363,"ÇRT")+(COUNTIF(E1363:AI1363,"ÇRT.")/2)</f>
      </c>
      <c r="AR1363" s="1">
        <f>=COUNTIF(E1363:AI1363,"ÇHT")</f>
      </c>
      <c r="AS1363" s="1">
        <f>=COUNTIF(E1363:AI1363,"Ö")+COUNTIF(E1363:AI1363,"T")</f>
      </c>
      <c r="AT1363" s="1">
        <f>=COUNTIF(E1363:AI1363,"Y")</f>
      </c>
      <c r="AU1363" s="1">
        <f>=COUNTIF(E1363:AI1363,"R.")</f>
      </c>
      <c r="AV1363" s="1">
        <f>=COUNTIF(E1363:AI1363,"Ü")</f>
      </c>
      <c r="AW1363" s="1">
        <f>=COUNTIF(E1363:AI1363,"R")</f>
      </c>
      <c r="AX1363" s="1">
        <f>=COUNTIF(E1363:AI1363,"DV")</f>
      </c>
      <c r="AY1363" s="1">
        <f>=+AN1363+AO1363+AP1363+AQ1363+AR1363+AS1363+AT1363+AU1363</f>
      </c>
    </row>
    <row r="1364" ht="16" customHeight="1" spans="1:51" x14ac:dyDescent="0.25">
      <c r="A1364" s="45"/>
      <c r="B1364" s="46"/>
      <c r="C1364" s="46"/>
      <c r="D1364" s="46" t="s">
        <v>33</v>
      </c>
      <c r="E1364" s="46"/>
      <c r="F1364" s="46"/>
      <c r="G1364" s="46">
        <v>2</v>
      </c>
      <c r="H1364" s="46"/>
      <c r="I1364" s="46"/>
      <c r="J1364" s="46"/>
      <c r="K1364" s="46"/>
      <c r="L1364" s="46">
        <v>2</v>
      </c>
      <c r="M1364" s="46"/>
      <c r="N1364" s="46">
        <v>2</v>
      </c>
      <c r="O1364" s="46"/>
      <c r="P1364" s="46"/>
      <c r="Q1364" s="46">
        <v>2</v>
      </c>
      <c r="R1364" s="46"/>
      <c r="S1364" s="46">
        <v>3</v>
      </c>
      <c r="T1364" s="46">
        <v>3</v>
      </c>
      <c r="U1364" s="46">
        <v>3</v>
      </c>
      <c r="V1364" s="46"/>
      <c r="W1364" s="46"/>
      <c r="X1364" s="46">
        <v>3</v>
      </c>
      <c r="Y1364" s="46"/>
      <c r="Z1364" s="46"/>
      <c r="AA1364" s="46"/>
      <c r="AB1364" s="46"/>
      <c r="AC1364" s="46"/>
      <c r="AD1364" s="46"/>
      <c r="AE1364" s="46"/>
      <c r="AF1364" s="46"/>
      <c r="AG1364" s="46"/>
      <c r="AH1364" s="46"/>
      <c r="AI1364" s="46">
        <v>2</v>
      </c>
      <c r="AJ1364" s="46"/>
      <c r="AK1364" s="46"/>
      <c r="AL1364" s="46"/>
      <c r="AM1364" s="1"/>
      <c r="AN1364" s="1"/>
      <c r="AO1364" s="1"/>
      <c r="AP1364" s="1"/>
      <c r="AQ1364" s="1"/>
      <c r="AR1364" s="1"/>
      <c r="AS1364" s="1"/>
      <c r="AT1364" s="1"/>
      <c r="AU1364" s="1"/>
      <c r="AV1364" s="1"/>
      <c r="AW1364" s="1"/>
      <c r="AX1364" s="1"/>
      <c r="AY1364" s="1"/>
    </row>
    <row r="1365" ht="16" customHeight="1" spans="1:51" x14ac:dyDescent="0.25">
      <c r="A1365" s="45"/>
      <c r="B1365" s="46" t="s">
        <v>1417</v>
      </c>
      <c r="C1365" s="46" t="s">
        <v>1418</v>
      </c>
      <c r="D1365" s="46" t="s">
        <v>29</v>
      </c>
      <c r="E1365" s="46" t="s">
        <v>299</v>
      </c>
      <c r="F1365" s="46" t="s">
        <v>36</v>
      </c>
      <c r="G1365" s="46" t="s">
        <v>36</v>
      </c>
      <c r="H1365" s="46" t="s">
        <v>299</v>
      </c>
      <c r="I1365" s="46" t="s">
        <v>36</v>
      </c>
      <c r="J1365" s="46" t="s">
        <v>37</v>
      </c>
      <c r="K1365" s="46" t="s">
        <v>299</v>
      </c>
      <c r="L1365" s="46" t="s">
        <v>299</v>
      </c>
      <c r="M1365" s="46" t="s">
        <v>36</v>
      </c>
      <c r="N1365" s="46" t="s">
        <v>36</v>
      </c>
      <c r="O1365" s="46" t="s">
        <v>299</v>
      </c>
      <c r="P1365" s="46" t="s">
        <v>36</v>
      </c>
      <c r="Q1365" s="46" t="s">
        <v>37</v>
      </c>
      <c r="R1365" s="46" t="s">
        <v>299</v>
      </c>
      <c r="S1365" s="46" t="s">
        <v>299</v>
      </c>
      <c r="T1365" s="46" t="s">
        <v>36</v>
      </c>
      <c r="U1365" s="46" t="s">
        <v>36</v>
      </c>
      <c r="V1365" s="46" t="s">
        <v>299</v>
      </c>
      <c r="W1365" s="46" t="s">
        <v>36</v>
      </c>
      <c r="X1365" s="46" t="s">
        <v>37</v>
      </c>
      <c r="Y1365" s="46" t="s">
        <v>31</v>
      </c>
      <c r="Z1365" s="46" t="s">
        <v>299</v>
      </c>
      <c r="AA1365" s="46" t="s">
        <v>36</v>
      </c>
      <c r="AB1365" s="46" t="s">
        <v>36</v>
      </c>
      <c r="AC1365" s="46" t="s">
        <v>36</v>
      </c>
      <c r="AD1365" s="46" t="s">
        <v>36</v>
      </c>
      <c r="AE1365" s="46" t="s">
        <v>37</v>
      </c>
      <c r="AF1365" s="46" t="s">
        <v>299</v>
      </c>
      <c r="AG1365" s="46" t="s">
        <v>36</v>
      </c>
      <c r="AH1365" s="46" t="s">
        <v>43</v>
      </c>
      <c r="AI1365" s="46"/>
      <c r="AJ1365" s="46">
        <f>=SUM(E1366:AI1366)</f>
      </c>
      <c r="AK1365" s="46">
        <f>=+AY1365</f>
      </c>
      <c r="AL1365" s="46"/>
      <c r="AM1365" s="1"/>
      <c r="AN1365" s="1">
        <f>=COUNTIF(E1365:AI1365,"A")+COUNTIF(E1365:AI1365,"B")+COUNTIF(E1365:AI1365,"C")+COUNTIF(E1365:AI1365,"D")+COUNTIF(E1365:AI1365,"E")+COUNTIF(E1365:AI1365,"F")+COUNTIF(E1365:AI1365,"M")+COUNTIF(E1365:AI1365,"AB")+COUNTIF(E1365:AI1365,"UZ")+COUNTIF(E1365:AI1365,"G")+(COUNTIF(E1365:AI1365,"RT.")/2)+(COUNTIF(E1365:AI1365,"ÇRT.")/2)</f>
      </c>
      <c r="AO1365" s="1">
        <f>=COUNTIF(E1365:AI1365,"O")</f>
      </c>
      <c r="AP1365" s="1">
        <f>=COUNTIF(E1365:AI1365,"RT")+(COUNTIF(E1365:AI1365,"RT.")/2)</f>
      </c>
      <c r="AQ1365" s="1">
        <f>=COUNTIF(E1365:AI1365,"ÇRT")+(COUNTIF(E1365:AI1365,"ÇRT.")/2)</f>
      </c>
      <c r="AR1365" s="1">
        <f>=COUNTIF(E1365:AI1365,"ÇHT")</f>
      </c>
      <c r="AS1365" s="1">
        <f>=COUNTIF(E1365:AI1365,"Ö")+COUNTIF(E1365:AI1365,"T")</f>
      </c>
      <c r="AT1365" s="1">
        <f>=COUNTIF(E1365:AI1365,"Y")</f>
      </c>
      <c r="AU1365" s="1">
        <f>=COUNTIF(E1365:AI1365,"R.")</f>
      </c>
      <c r="AV1365" s="1">
        <f>=COUNTIF(E1365:AI1365,"Ü")</f>
      </c>
      <c r="AW1365" s="1">
        <f>=COUNTIF(E1365:AI1365,"R")</f>
      </c>
      <c r="AX1365" s="1">
        <f>=COUNTIF(E1365:AI1365,"DV")</f>
      </c>
      <c r="AY1365" s="1">
        <f>=+AN1365+AO1365+AP1365+AQ1365+AR1365+AS1365+AT1365+AU1365</f>
      </c>
    </row>
    <row r="1366" ht="16" customHeight="1" spans="1:51" x14ac:dyDescent="0.25">
      <c r="A1366" s="45"/>
      <c r="B1366" s="46"/>
      <c r="C1366" s="46"/>
      <c r="D1366" s="46" t="s">
        <v>33</v>
      </c>
      <c r="E1366" s="46">
        <v>2</v>
      </c>
      <c r="F1366" s="46"/>
      <c r="G1366" s="46"/>
      <c r="H1366" s="46">
        <v>2</v>
      </c>
      <c r="I1366" s="46"/>
      <c r="J1366" s="46"/>
      <c r="K1366" s="46">
        <v>2</v>
      </c>
      <c r="L1366" s="46">
        <v>2</v>
      </c>
      <c r="M1366" s="46"/>
      <c r="N1366" s="46"/>
      <c r="O1366" s="46">
        <v>2</v>
      </c>
      <c r="P1366" s="46"/>
      <c r="Q1366" s="46"/>
      <c r="R1366" s="46">
        <v>2</v>
      </c>
      <c r="S1366" s="46">
        <v>2</v>
      </c>
      <c r="T1366" s="46"/>
      <c r="U1366" s="46"/>
      <c r="V1366" s="46">
        <v>2</v>
      </c>
      <c r="W1366" s="46"/>
      <c r="X1366" s="46"/>
      <c r="Y1366" s="46"/>
      <c r="Z1366" s="46">
        <v>2</v>
      </c>
      <c r="AA1366" s="46"/>
      <c r="AB1366" s="46"/>
      <c r="AC1366" s="46">
        <v>2</v>
      </c>
      <c r="AD1366" s="46"/>
      <c r="AE1366" s="46"/>
      <c r="AF1366" s="46">
        <v>2</v>
      </c>
      <c r="AG1366" s="46"/>
      <c r="AH1366" s="46">
        <v>2</v>
      </c>
      <c r="AI1366" s="46"/>
      <c r="AJ1366" s="46"/>
      <c r="AK1366" s="46"/>
      <c r="AL1366" s="46"/>
      <c r="AM1366" s="1"/>
      <c r="AN1366" s="1"/>
      <c r="AO1366" s="1"/>
      <c r="AP1366" s="1"/>
      <c r="AQ1366" s="1"/>
      <c r="AR1366" s="1"/>
      <c r="AS1366" s="1"/>
      <c r="AT1366" s="1"/>
      <c r="AU1366" s="1"/>
      <c r="AV1366" s="1"/>
      <c r="AW1366" s="1"/>
      <c r="AX1366" s="1"/>
      <c r="AY1366" s="1"/>
    </row>
    <row r="1367" ht="16" customHeight="1" spans="1:51" x14ac:dyDescent="0.25">
      <c r="A1367" s="45"/>
      <c r="B1367" s="46" t="s">
        <v>1419</v>
      </c>
      <c r="C1367" s="46" t="s">
        <v>1420</v>
      </c>
      <c r="D1367" s="46" t="s">
        <v>29</v>
      </c>
      <c r="E1367" s="46" t="s">
        <v>41</v>
      </c>
      <c r="F1367" s="46" t="s">
        <v>37</v>
      </c>
      <c r="G1367" s="46" t="s">
        <v>41</v>
      </c>
      <c r="H1367" s="46" t="s">
        <v>41</v>
      </c>
      <c r="I1367" s="46" t="s">
        <v>41</v>
      </c>
      <c r="J1367" s="46" t="s">
        <v>41</v>
      </c>
      <c r="K1367" s="46" t="s">
        <v>41</v>
      </c>
      <c r="L1367" s="46" t="s">
        <v>41</v>
      </c>
      <c r="M1367" s="46" t="s">
        <v>37</v>
      </c>
      <c r="N1367" s="46" t="s">
        <v>41</v>
      </c>
      <c r="O1367" s="46" t="s">
        <v>41</v>
      </c>
      <c r="P1367" s="46" t="s">
        <v>46</v>
      </c>
      <c r="Q1367" s="46" t="s">
        <v>41</v>
      </c>
      <c r="R1367" s="46" t="s">
        <v>41</v>
      </c>
      <c r="S1367" s="46" t="s">
        <v>41</v>
      </c>
      <c r="T1367" s="46" t="s">
        <v>37</v>
      </c>
      <c r="U1367" s="46" t="s">
        <v>41</v>
      </c>
      <c r="V1367" s="46" t="s">
        <v>41</v>
      </c>
      <c r="W1367" s="46" t="s">
        <v>41</v>
      </c>
      <c r="X1367" s="46" t="s">
        <v>41</v>
      </c>
      <c r="Y1367" s="46" t="s">
        <v>41</v>
      </c>
      <c r="Z1367" s="46" t="s">
        <v>41</v>
      </c>
      <c r="AA1367" s="46" t="s">
        <v>37</v>
      </c>
      <c r="AB1367" s="46" t="s">
        <v>41</v>
      </c>
      <c r="AC1367" s="46" t="s">
        <v>41</v>
      </c>
      <c r="AD1367" s="46" t="s">
        <v>41</v>
      </c>
      <c r="AE1367" s="46" t="s">
        <v>41</v>
      </c>
      <c r="AF1367" s="46" t="s">
        <v>41</v>
      </c>
      <c r="AG1367" s="46" t="s">
        <v>41</v>
      </c>
      <c r="AH1367" s="46" t="s">
        <v>37</v>
      </c>
      <c r="AI1367" s="46" t="s">
        <v>41</v>
      </c>
      <c r="AJ1367" s="46">
        <f>=SUM(E1368:AI1368)</f>
      </c>
      <c r="AK1367" s="46">
        <f>=+AY1367</f>
      </c>
      <c r="AL1367" s="46"/>
      <c r="AM1367" s="1"/>
      <c r="AN1367" s="1">
        <f>=COUNTIF(E1367:AI1367,"A")+COUNTIF(E1367:AI1367,"B")+COUNTIF(E1367:AI1367,"C")+COUNTIF(E1367:AI1367,"D")+COUNTIF(E1367:AI1367,"E")+COUNTIF(E1367:AI1367,"F")+COUNTIF(E1367:AI1367,"M")+COUNTIF(E1367:AI1367,"AB")+COUNTIF(E1367:AI1367,"UZ")+COUNTIF(E1367:AI1367,"G")+(COUNTIF(E1367:AI1367,"RT.")/2)+(COUNTIF(E1367:AI1367,"ÇRT.")/2)</f>
      </c>
      <c r="AO1367" s="1">
        <f>=COUNTIF(E1367:AI1367,"O")</f>
      </c>
      <c r="AP1367" s="1">
        <f>=COUNTIF(E1367:AI1367,"RT")+(COUNTIF(E1367:AI1367,"RT.")/2)</f>
      </c>
      <c r="AQ1367" s="1">
        <f>=COUNTIF(E1367:AI1367,"ÇRT")+(COUNTIF(E1367:AI1367,"ÇRT.")/2)</f>
      </c>
      <c r="AR1367" s="1">
        <f>=COUNTIF(E1367:AI1367,"ÇHT")</f>
      </c>
      <c r="AS1367" s="1">
        <f>=COUNTIF(E1367:AI1367,"Ö")+COUNTIF(E1367:AI1367,"T")</f>
      </c>
      <c r="AT1367" s="1">
        <f>=COUNTIF(E1367:AI1367,"Y")</f>
      </c>
      <c r="AU1367" s="1">
        <f>=COUNTIF(E1367:AI1367,"R.")</f>
      </c>
      <c r="AV1367" s="1">
        <f>=COUNTIF(E1367:AI1367,"Ü")</f>
      </c>
      <c r="AW1367" s="1">
        <f>=COUNTIF(E1367:AI1367,"R")</f>
      </c>
      <c r="AX1367" s="1">
        <f>=COUNTIF(E1367:AI1367,"DV")</f>
      </c>
      <c r="AY1367" s="1">
        <f>=+AN1367+AO1367+AP1367+AQ1367+AR1367+AS1367+AT1367+AU1367</f>
      </c>
    </row>
    <row r="1368" ht="16" customHeight="1" spans="1:51" x14ac:dyDescent="0.25">
      <c r="A1368" s="45"/>
      <c r="B1368" s="46"/>
      <c r="C1368" s="46"/>
      <c r="D1368" s="46" t="s">
        <v>33</v>
      </c>
      <c r="E1368" s="46">
        <v>2</v>
      </c>
      <c r="F1368" s="46"/>
      <c r="G1368" s="46">
        <v>2</v>
      </c>
      <c r="H1368" s="46">
        <v>2</v>
      </c>
      <c r="I1368" s="46">
        <v>2</v>
      </c>
      <c r="J1368" s="46">
        <v>2</v>
      </c>
      <c r="K1368" s="46">
        <v>2</v>
      </c>
      <c r="L1368" s="46">
        <v>2</v>
      </c>
      <c r="M1368" s="46"/>
      <c r="N1368" s="46">
        <v>2</v>
      </c>
      <c r="O1368" s="46">
        <v>2</v>
      </c>
      <c r="P1368" s="46">
        <v>2</v>
      </c>
      <c r="Q1368" s="46">
        <v>2</v>
      </c>
      <c r="R1368" s="46">
        <v>2</v>
      </c>
      <c r="S1368" s="46">
        <v>2</v>
      </c>
      <c r="T1368" s="46"/>
      <c r="U1368" s="46">
        <v>2</v>
      </c>
      <c r="V1368" s="46">
        <v>2</v>
      </c>
      <c r="W1368" s="46">
        <v>2</v>
      </c>
      <c r="X1368" s="46">
        <v>2</v>
      </c>
      <c r="Y1368" s="46">
        <v>2</v>
      </c>
      <c r="Z1368" s="46">
        <v>2</v>
      </c>
      <c r="AA1368" s="46"/>
      <c r="AB1368" s="46">
        <v>2</v>
      </c>
      <c r="AC1368" s="46">
        <v>2</v>
      </c>
      <c r="AD1368" s="46">
        <v>2</v>
      </c>
      <c r="AE1368" s="46">
        <v>2</v>
      </c>
      <c r="AF1368" s="46">
        <v>2</v>
      </c>
      <c r="AG1368" s="46">
        <v>2</v>
      </c>
      <c r="AH1368" s="46"/>
      <c r="AI1368" s="46">
        <v>2</v>
      </c>
      <c r="AJ1368" s="46"/>
      <c r="AK1368" s="46"/>
      <c r="AL1368" s="46"/>
      <c r="AM1368" s="1"/>
      <c r="AN1368" s="1"/>
      <c r="AO1368" s="1"/>
      <c r="AP1368" s="1"/>
      <c r="AQ1368" s="1"/>
      <c r="AR1368" s="1"/>
      <c r="AS1368" s="1"/>
      <c r="AT1368" s="1"/>
      <c r="AU1368" s="1"/>
      <c r="AV1368" s="1"/>
      <c r="AW1368" s="1"/>
      <c r="AX1368" s="1"/>
      <c r="AY1368" s="1"/>
    </row>
    <row r="1369" ht="16" customHeight="1" spans="1:51" x14ac:dyDescent="0.25">
      <c r="A1369" s="45"/>
      <c r="B1369" s="46" t="s">
        <v>1421</v>
      </c>
      <c r="C1369" s="46" t="s">
        <v>1422</v>
      </c>
      <c r="D1369" s="46" t="s">
        <v>29</v>
      </c>
      <c r="E1369" s="46" t="s">
        <v>37</v>
      </c>
      <c r="F1369" s="46" t="s">
        <v>36</v>
      </c>
      <c r="G1369" s="46" t="s">
        <v>36</v>
      </c>
      <c r="H1369" s="46" t="s">
        <v>36</v>
      </c>
      <c r="I1369" s="46" t="s">
        <v>36</v>
      </c>
      <c r="J1369" s="46" t="s">
        <v>36</v>
      </c>
      <c r="K1369" s="46" t="s">
        <v>36</v>
      </c>
      <c r="L1369" s="46" t="s">
        <v>36</v>
      </c>
      <c r="M1369" s="46" t="s">
        <v>37</v>
      </c>
      <c r="N1369" s="46" t="s">
        <v>36</v>
      </c>
      <c r="O1369" s="46" t="s">
        <v>36</v>
      </c>
      <c r="P1369" s="46" t="s">
        <v>36</v>
      </c>
      <c r="Q1369" s="46" t="s">
        <v>36</v>
      </c>
      <c r="R1369" s="46" t="s">
        <v>36</v>
      </c>
      <c r="S1369" s="46" t="s">
        <v>36</v>
      </c>
      <c r="T1369" s="46" t="s">
        <v>37</v>
      </c>
      <c r="U1369" s="46" t="s">
        <v>36</v>
      </c>
      <c r="V1369" s="46" t="s">
        <v>36</v>
      </c>
      <c r="W1369" s="46" t="s">
        <v>36</v>
      </c>
      <c r="X1369" s="46" t="s">
        <v>36</v>
      </c>
      <c r="Y1369" s="46" t="s">
        <v>36</v>
      </c>
      <c r="Z1369" s="46" t="s">
        <v>36</v>
      </c>
      <c r="AA1369" s="46" t="s">
        <v>37</v>
      </c>
      <c r="AB1369" s="46" t="s">
        <v>36</v>
      </c>
      <c r="AC1369" s="46" t="s">
        <v>36</v>
      </c>
      <c r="AD1369" s="46" t="s">
        <v>36</v>
      </c>
      <c r="AE1369" s="46" t="s">
        <v>36</v>
      </c>
      <c r="AF1369" s="46" t="s">
        <v>36</v>
      </c>
      <c r="AG1369" s="46" t="s">
        <v>37</v>
      </c>
      <c r="AH1369" s="46" t="s">
        <v>154</v>
      </c>
      <c r="AI1369" s="46" t="s">
        <v>36</v>
      </c>
      <c r="AJ1369" s="46">
        <f>=SUM(E1370:AI1370)</f>
      </c>
      <c r="AK1369" s="46">
        <f>=+AY1369</f>
      </c>
      <c r="AL1369" s="46"/>
      <c r="AM1369" s="1"/>
      <c r="AN1369" s="1">
        <f>=COUNTIF(E1369:AI1369,"A")+COUNTIF(E1369:AI1369,"B")+COUNTIF(E1369:AI1369,"C")+COUNTIF(E1369:AI1369,"D")+COUNTIF(E1369:AI1369,"E")+COUNTIF(E1369:AI1369,"F")+COUNTIF(E1369:AI1369,"M")+COUNTIF(E1369:AI1369,"AB")+COUNTIF(E1369:AI1369,"UZ")+COUNTIF(E1369:AI1369,"G")+(COUNTIF(E1369:AI1369,"RT.")/2)+(COUNTIF(E1369:AI1369,"ÇRT.")/2)</f>
      </c>
      <c r="AO1369" s="1">
        <f>=COUNTIF(E1369:AI1369,"O")</f>
      </c>
      <c r="AP1369" s="1">
        <f>=COUNTIF(E1369:AI1369,"RT")+(COUNTIF(E1369:AI1369,"RT.")/2)</f>
      </c>
      <c r="AQ1369" s="1">
        <f>=COUNTIF(E1369:AI1369,"ÇRT")+(COUNTIF(E1369:AI1369,"ÇRT.")/2)</f>
      </c>
      <c r="AR1369" s="1">
        <f>=COUNTIF(E1369:AI1369,"ÇHT")</f>
      </c>
      <c r="AS1369" s="1">
        <f>=COUNTIF(E1369:AI1369,"Ö")+COUNTIF(E1369:AI1369,"T")</f>
      </c>
      <c r="AT1369" s="1">
        <f>=COUNTIF(E1369:AI1369,"Y")</f>
      </c>
      <c r="AU1369" s="1">
        <f>=COUNTIF(E1369:AI1369,"R.")</f>
      </c>
      <c r="AV1369" s="1">
        <f>=COUNTIF(E1369:AI1369,"Ü")</f>
      </c>
      <c r="AW1369" s="1">
        <f>=COUNTIF(E1369:AI1369,"R")</f>
      </c>
      <c r="AX1369" s="1">
        <f>=COUNTIF(E1369:AI1369,"DV")</f>
      </c>
      <c r="AY1369" s="1">
        <f>=+AN1369+AO1369+AP1369+AQ1369+AR1369+AS1369+AT1369+AU1369</f>
      </c>
    </row>
    <row r="1370" ht="16" customHeight="1" spans="1:51" x14ac:dyDescent="0.25">
      <c r="A1370" s="45"/>
      <c r="B1370" s="46"/>
      <c r="C1370" s="46"/>
      <c r="D1370" s="46" t="s">
        <v>33</v>
      </c>
      <c r="E1370" s="46"/>
      <c r="F1370" s="46">
        <v>2</v>
      </c>
      <c r="G1370" s="46">
        <v>3</v>
      </c>
      <c r="H1370" s="46">
        <v>2</v>
      </c>
      <c r="I1370" s="46">
        <v>3</v>
      </c>
      <c r="J1370" s="46">
        <v>2</v>
      </c>
      <c r="K1370" s="46">
        <v>2</v>
      </c>
      <c r="L1370" s="46"/>
      <c r="M1370" s="46"/>
      <c r="N1370" s="46">
        <v>2</v>
      </c>
      <c r="O1370" s="46">
        <v>2</v>
      </c>
      <c r="P1370" s="46">
        <v>2</v>
      </c>
      <c r="Q1370" s="46">
        <v>2</v>
      </c>
      <c r="R1370" s="46">
        <v>1</v>
      </c>
      <c r="S1370" s="46"/>
      <c r="T1370" s="46"/>
      <c r="U1370" s="46">
        <v>2</v>
      </c>
      <c r="V1370" s="46">
        <v>2</v>
      </c>
      <c r="W1370" s="46">
        <v>2</v>
      </c>
      <c r="X1370" s="46">
        <v>2</v>
      </c>
      <c r="Y1370" s="46"/>
      <c r="Z1370" s="46"/>
      <c r="AA1370" s="46"/>
      <c r="AB1370" s="46">
        <v>2</v>
      </c>
      <c r="AC1370" s="46">
        <v>2</v>
      </c>
      <c r="AD1370" s="46">
        <v>2</v>
      </c>
      <c r="AE1370" s="46">
        <v>2</v>
      </c>
      <c r="AF1370" s="46"/>
      <c r="AG1370" s="46"/>
      <c r="AH1370" s="46"/>
      <c r="AI1370" s="46">
        <v>2</v>
      </c>
      <c r="AJ1370" s="46"/>
      <c r="AK1370" s="46"/>
      <c r="AL1370" s="46"/>
      <c r="AM1370" s="1"/>
      <c r="AN1370" s="1"/>
      <c r="AO1370" s="1"/>
      <c r="AP1370" s="1"/>
      <c r="AQ1370" s="1"/>
      <c r="AR1370" s="1"/>
      <c r="AS1370" s="1"/>
      <c r="AT1370" s="1"/>
      <c r="AU1370" s="1"/>
      <c r="AV1370" s="1"/>
      <c r="AW1370" s="1"/>
      <c r="AX1370" s="1"/>
      <c r="AY1370" s="1"/>
    </row>
    <row r="1371" ht="16" customHeight="1" spans="1:51" x14ac:dyDescent="0.25">
      <c r="A1371" s="45"/>
      <c r="B1371" s="46" t="s">
        <v>1423</v>
      </c>
      <c r="C1371" s="46" t="s">
        <v>1424</v>
      </c>
      <c r="D1371" s="46" t="s">
        <v>29</v>
      </c>
      <c r="E1371" s="46" t="s">
        <v>59</v>
      </c>
      <c r="F1371" s="46" t="s">
        <v>59</v>
      </c>
      <c r="G1371" s="46" t="s">
        <v>59</v>
      </c>
      <c r="H1371" s="46" t="s">
        <v>37</v>
      </c>
      <c r="I1371" s="46" t="s">
        <v>59</v>
      </c>
      <c r="J1371" s="46" t="s">
        <v>59</v>
      </c>
      <c r="K1371" s="46" t="s">
        <v>59</v>
      </c>
      <c r="L1371" s="46" t="s">
        <v>59</v>
      </c>
      <c r="M1371" s="46" t="s">
        <v>59</v>
      </c>
      <c r="N1371" s="46" t="s">
        <v>59</v>
      </c>
      <c r="O1371" s="46" t="s">
        <v>37</v>
      </c>
      <c r="P1371" s="46" t="s">
        <v>59</v>
      </c>
      <c r="Q1371" s="46" t="s">
        <v>59</v>
      </c>
      <c r="R1371" s="46" t="s">
        <v>59</v>
      </c>
      <c r="S1371" s="46" t="s">
        <v>59</v>
      </c>
      <c r="T1371" s="46" t="s">
        <v>59</v>
      </c>
      <c r="U1371" s="46" t="s">
        <v>59</v>
      </c>
      <c r="V1371" s="46" t="s">
        <v>37</v>
      </c>
      <c r="W1371" s="46" t="s">
        <v>59</v>
      </c>
      <c r="X1371" s="46" t="s">
        <v>59</v>
      </c>
      <c r="Y1371" s="46" t="s">
        <v>59</v>
      </c>
      <c r="Z1371" s="46" t="s">
        <v>59</v>
      </c>
      <c r="AA1371" s="46" t="s">
        <v>59</v>
      </c>
      <c r="AB1371" s="46" t="s">
        <v>59</v>
      </c>
      <c r="AC1371" s="46" t="s">
        <v>37</v>
      </c>
      <c r="AD1371" s="46" t="s">
        <v>59</v>
      </c>
      <c r="AE1371" s="46" t="s">
        <v>59</v>
      </c>
      <c r="AF1371" s="46" t="s">
        <v>59</v>
      </c>
      <c r="AG1371" s="46" t="s">
        <v>59</v>
      </c>
      <c r="AH1371" s="46" t="s">
        <v>43</v>
      </c>
      <c r="AI1371" s="46" t="s">
        <v>59</v>
      </c>
      <c r="AJ1371" s="46">
        <f>=SUM(E1372:AI1372)</f>
      </c>
      <c r="AK1371" s="46">
        <f>=+AY1371</f>
      </c>
      <c r="AL1371" s="46"/>
      <c r="AM1371" s="1"/>
      <c r="AN1371" s="1">
        <f>=COUNTIF(E1371:AI1371,"A")+COUNTIF(E1371:AI1371,"B")+COUNTIF(E1371:AI1371,"C")+COUNTIF(E1371:AI1371,"D")+COUNTIF(E1371:AI1371,"E")+COUNTIF(E1371:AI1371,"F")+COUNTIF(E1371:AI1371,"M")+COUNTIF(E1371:AI1371,"AB")+COUNTIF(E1371:AI1371,"UZ")+COUNTIF(E1371:AI1371,"G")+(COUNTIF(E1371:AI1371,"RT.")/2)+(COUNTIF(E1371:AI1371,"ÇRT.")/2)</f>
      </c>
      <c r="AO1371" s="1">
        <f>=COUNTIF(E1371:AI1371,"O")</f>
      </c>
      <c r="AP1371" s="1">
        <f>=COUNTIF(E1371:AI1371,"RT")+(COUNTIF(E1371:AI1371,"RT.")/2)</f>
      </c>
      <c r="AQ1371" s="1">
        <f>=COUNTIF(E1371:AI1371,"ÇRT")+(COUNTIF(E1371:AI1371,"ÇRT.")/2)</f>
      </c>
      <c r="AR1371" s="1">
        <f>=COUNTIF(E1371:AI1371,"ÇHT")</f>
      </c>
      <c r="AS1371" s="1">
        <f>=COUNTIF(E1371:AI1371,"Ö")+COUNTIF(E1371:AI1371,"T")</f>
      </c>
      <c r="AT1371" s="1">
        <f>=COUNTIF(E1371:AI1371,"Y")</f>
      </c>
      <c r="AU1371" s="1">
        <f>=COUNTIF(E1371:AI1371,"R.")</f>
      </c>
      <c r="AV1371" s="1">
        <f>=COUNTIF(E1371:AI1371,"Ü")</f>
      </c>
      <c r="AW1371" s="1">
        <f>=COUNTIF(E1371:AI1371,"R")</f>
      </c>
      <c r="AX1371" s="1">
        <f>=COUNTIF(E1371:AI1371,"DV")</f>
      </c>
      <c r="AY1371" s="1">
        <f>=+AN1371+AO1371+AP1371+AQ1371+AR1371+AS1371+AT1371+AU1371</f>
      </c>
    </row>
    <row r="1372" ht="16" customHeight="1" spans="1:51" x14ac:dyDescent="0.25">
      <c r="A1372" s="45"/>
      <c r="B1372" s="46"/>
      <c r="C1372" s="46"/>
      <c r="D1372" s="46" t="s">
        <v>33</v>
      </c>
      <c r="E1372" s="46"/>
      <c r="F1372" s="46"/>
      <c r="G1372" s="46"/>
      <c r="H1372" s="46"/>
      <c r="I1372" s="46"/>
      <c r="J1372" s="46"/>
      <c r="K1372" s="46"/>
      <c r="L1372" s="46"/>
      <c r="M1372" s="46"/>
      <c r="N1372" s="46"/>
      <c r="O1372" s="46"/>
      <c r="P1372" s="46"/>
      <c r="Q1372" s="46">
        <v>2</v>
      </c>
      <c r="R1372" s="46">
        <v>2</v>
      </c>
      <c r="S1372" s="46"/>
      <c r="T1372" s="46"/>
      <c r="U1372" s="46">
        <v>2</v>
      </c>
      <c r="V1372" s="46"/>
      <c r="W1372" s="46">
        <v>2</v>
      </c>
      <c r="X1372" s="46"/>
      <c r="Y1372" s="46">
        <v>2</v>
      </c>
      <c r="Z1372" s="46"/>
      <c r="AA1372" s="46">
        <v>2</v>
      </c>
      <c r="AB1372" s="46">
        <v>2</v>
      </c>
      <c r="AC1372" s="46"/>
      <c r="AD1372" s="46">
        <v>2</v>
      </c>
      <c r="AE1372" s="46"/>
      <c r="AF1372" s="46">
        <v>2</v>
      </c>
      <c r="AG1372" s="46"/>
      <c r="AH1372" s="46">
        <v>2</v>
      </c>
      <c r="AI1372" s="46">
        <v>2</v>
      </c>
      <c r="AJ1372" s="46"/>
      <c r="AK1372" s="46"/>
      <c r="AL1372" s="46"/>
      <c r="AM1372" s="1"/>
      <c r="AN1372" s="1"/>
      <c r="AO1372" s="1"/>
      <c r="AP1372" s="1"/>
      <c r="AQ1372" s="1"/>
      <c r="AR1372" s="1"/>
      <c r="AS1372" s="1"/>
      <c r="AT1372" s="1"/>
      <c r="AU1372" s="1"/>
      <c r="AV1372" s="1"/>
      <c r="AW1372" s="1"/>
      <c r="AX1372" s="1"/>
      <c r="AY1372" s="1"/>
    </row>
    <row r="1373" ht="16" customHeight="1" spans="1:51" x14ac:dyDescent="0.25">
      <c r="A1373" s="45"/>
      <c r="B1373" s="46" t="s">
        <v>1425</v>
      </c>
      <c r="C1373" s="46" t="s">
        <v>1426</v>
      </c>
      <c r="D1373" s="46" t="s">
        <v>29</v>
      </c>
      <c r="E1373" s="46" t="s">
        <v>36</v>
      </c>
      <c r="F1373" s="46" t="s">
        <v>36</v>
      </c>
      <c r="G1373" s="46" t="s">
        <v>37</v>
      </c>
      <c r="H1373" s="46" t="s">
        <v>36</v>
      </c>
      <c r="I1373" s="46" t="s">
        <v>36</v>
      </c>
      <c r="J1373" s="46" t="s">
        <v>36</v>
      </c>
      <c r="K1373" s="46" t="s">
        <v>36</v>
      </c>
      <c r="L1373" s="46" t="s">
        <v>36</v>
      </c>
      <c r="M1373" s="46" t="s">
        <v>36</v>
      </c>
      <c r="N1373" s="46" t="s">
        <v>37</v>
      </c>
      <c r="O1373" s="46" t="s">
        <v>153</v>
      </c>
      <c r="P1373" s="46" t="s">
        <v>36</v>
      </c>
      <c r="Q1373" s="46" t="s">
        <v>36</v>
      </c>
      <c r="R1373" s="46" t="s">
        <v>36</v>
      </c>
      <c r="S1373" s="46" t="s">
        <v>36</v>
      </c>
      <c r="T1373" s="46" t="s">
        <v>36</v>
      </c>
      <c r="U1373" s="46" t="s">
        <v>37</v>
      </c>
      <c r="V1373" s="46" t="s">
        <v>36</v>
      </c>
      <c r="W1373" s="46" t="s">
        <v>36</v>
      </c>
      <c r="X1373" s="46" t="s">
        <v>36</v>
      </c>
      <c r="Y1373" s="46" t="s">
        <v>36</v>
      </c>
      <c r="Z1373" s="46" t="s">
        <v>36</v>
      </c>
      <c r="AA1373" s="46" t="s">
        <v>36</v>
      </c>
      <c r="AB1373" s="46" t="s">
        <v>37</v>
      </c>
      <c r="AC1373" s="46" t="s">
        <v>36</v>
      </c>
      <c r="AD1373" s="46" t="s">
        <v>36</v>
      </c>
      <c r="AE1373" s="46" t="s">
        <v>36</v>
      </c>
      <c r="AF1373" s="46" t="s">
        <v>36</v>
      </c>
      <c r="AG1373" s="46" t="s">
        <v>36</v>
      </c>
      <c r="AH1373" s="46" t="s">
        <v>43</v>
      </c>
      <c r="AI1373" s="46" t="s">
        <v>37</v>
      </c>
      <c r="AJ1373" s="46">
        <f>=SUM(E1374:AI1374)</f>
      </c>
      <c r="AK1373" s="46">
        <f>=+AY1373</f>
      </c>
      <c r="AL1373" s="46"/>
      <c r="AM1373" s="1"/>
      <c r="AN1373" s="1">
        <f>=COUNTIF(E1373:AI1373,"A")+COUNTIF(E1373:AI1373,"B")+COUNTIF(E1373:AI1373,"C")+COUNTIF(E1373:AI1373,"D")+COUNTIF(E1373:AI1373,"E")+COUNTIF(E1373:AI1373,"F")+COUNTIF(E1373:AI1373,"M")+COUNTIF(E1373:AI1373,"AB")+COUNTIF(E1373:AI1373,"UZ")+COUNTIF(E1373:AI1373,"G")+(COUNTIF(E1373:AI1373,"RT.")/2)+(COUNTIF(E1373:AI1373,"ÇRT.")/2)</f>
      </c>
      <c r="AO1373" s="1">
        <f>=COUNTIF(E1373:AI1373,"O")</f>
      </c>
      <c r="AP1373" s="1">
        <f>=COUNTIF(E1373:AI1373,"RT")+(COUNTIF(E1373:AI1373,"RT.")/2)</f>
      </c>
      <c r="AQ1373" s="1">
        <f>=COUNTIF(E1373:AI1373,"ÇRT")+(COUNTIF(E1373:AI1373,"ÇRT.")/2)</f>
      </c>
      <c r="AR1373" s="1">
        <f>=COUNTIF(E1373:AI1373,"ÇHT")</f>
      </c>
      <c r="AS1373" s="1">
        <f>=COUNTIF(E1373:AI1373,"Ö")+COUNTIF(E1373:AI1373,"T")</f>
      </c>
      <c r="AT1373" s="1">
        <f>=COUNTIF(E1373:AI1373,"Y")</f>
      </c>
      <c r="AU1373" s="1">
        <f>=COUNTIF(E1373:AI1373,"R.")</f>
      </c>
      <c r="AV1373" s="1">
        <f>=COUNTIF(E1373:AI1373,"Ü")</f>
      </c>
      <c r="AW1373" s="1">
        <f>=COUNTIF(E1373:AI1373,"R")</f>
      </c>
      <c r="AX1373" s="1">
        <f>=COUNTIF(E1373:AI1373,"DV")</f>
      </c>
      <c r="AY1373" s="1">
        <f>=+AN1373+AO1373+AP1373+AQ1373+AR1373+AS1373+AT1373+AU1373</f>
      </c>
    </row>
    <row r="1374" ht="16" customHeight="1" spans="1:51" x14ac:dyDescent="0.25">
      <c r="A1374" s="45"/>
      <c r="B1374" s="46"/>
      <c r="C1374" s="46"/>
      <c r="D1374" s="46" t="s">
        <v>33</v>
      </c>
      <c r="E1374" s="46"/>
      <c r="F1374" s="46"/>
      <c r="G1374" s="46"/>
      <c r="H1374" s="46"/>
      <c r="I1374" s="46"/>
      <c r="J1374" s="46"/>
      <c r="K1374" s="46"/>
      <c r="L1374" s="46"/>
      <c r="M1374" s="46"/>
      <c r="N1374" s="46"/>
      <c r="O1374" s="46"/>
      <c r="P1374" s="46"/>
      <c r="Q1374" s="46">
        <v>2</v>
      </c>
      <c r="R1374" s="46">
        <v>2</v>
      </c>
      <c r="S1374" s="46">
        <v>2</v>
      </c>
      <c r="T1374" s="46">
        <v>2</v>
      </c>
      <c r="U1374" s="46"/>
      <c r="V1374" s="46"/>
      <c r="W1374" s="46">
        <v>2</v>
      </c>
      <c r="X1374" s="46">
        <v>2</v>
      </c>
      <c r="Y1374" s="46"/>
      <c r="Z1374" s="46"/>
      <c r="AA1374" s="46"/>
      <c r="AB1374" s="46"/>
      <c r="AC1374" s="46">
        <v>2</v>
      </c>
      <c r="AD1374" s="46">
        <v>2</v>
      </c>
      <c r="AE1374" s="46">
        <v>2</v>
      </c>
      <c r="AF1374" s="46">
        <v>2</v>
      </c>
      <c r="AG1374" s="46"/>
      <c r="AH1374" s="46"/>
      <c r="AI1374" s="46"/>
      <c r="AJ1374" s="46"/>
      <c r="AK1374" s="46"/>
      <c r="AL1374" s="46"/>
      <c r="AM1374" s="1"/>
      <c r="AN1374" s="1"/>
      <c r="AO1374" s="1"/>
      <c r="AP1374" s="1"/>
      <c r="AQ1374" s="1"/>
      <c r="AR1374" s="1"/>
      <c r="AS1374" s="1"/>
      <c r="AT1374" s="1"/>
      <c r="AU1374" s="1"/>
      <c r="AV1374" s="1"/>
      <c r="AW1374" s="1"/>
      <c r="AX1374" s="1"/>
      <c r="AY1374" s="1"/>
    </row>
    <row r="1375" ht="16" customHeight="1" spans="1:51" x14ac:dyDescent="0.25">
      <c r="A1375" s="45"/>
      <c r="B1375" s="46" t="s">
        <v>1427</v>
      </c>
      <c r="C1375" s="46" t="s">
        <v>1428</v>
      </c>
      <c r="D1375" s="46" t="s">
        <v>29</v>
      </c>
      <c r="E1375" s="46" t="s">
        <v>36</v>
      </c>
      <c r="F1375" s="46" t="s">
        <v>36</v>
      </c>
      <c r="G1375" s="46" t="s">
        <v>36</v>
      </c>
      <c r="H1375" s="46" t="s">
        <v>37</v>
      </c>
      <c r="I1375" s="46" t="s">
        <v>36</v>
      </c>
      <c r="J1375" s="46" t="s">
        <v>36</v>
      </c>
      <c r="K1375" s="46" t="s">
        <v>36</v>
      </c>
      <c r="L1375" s="46" t="s">
        <v>36</v>
      </c>
      <c r="M1375" s="46" t="s">
        <v>36</v>
      </c>
      <c r="N1375" s="46" t="s">
        <v>36</v>
      </c>
      <c r="O1375" s="46" t="s">
        <v>36</v>
      </c>
      <c r="P1375" s="46" t="s">
        <v>36</v>
      </c>
      <c r="Q1375" s="46" t="s">
        <v>37</v>
      </c>
      <c r="R1375" s="46" t="s">
        <v>36</v>
      </c>
      <c r="S1375" s="46" t="s">
        <v>36</v>
      </c>
      <c r="T1375" s="46" t="s">
        <v>36</v>
      </c>
      <c r="U1375" s="46" t="s">
        <v>36</v>
      </c>
      <c r="V1375" s="46" t="s">
        <v>37</v>
      </c>
      <c r="W1375" s="46" t="s">
        <v>36</v>
      </c>
      <c r="X1375" s="46" t="s">
        <v>36</v>
      </c>
      <c r="Y1375" s="46" t="s">
        <v>36</v>
      </c>
      <c r="Z1375" s="46" t="s">
        <v>36</v>
      </c>
      <c r="AA1375" s="46" t="s">
        <v>36</v>
      </c>
      <c r="AB1375" s="46" t="s">
        <v>36</v>
      </c>
      <c r="AC1375" s="46" t="s">
        <v>37</v>
      </c>
      <c r="AD1375" s="46" t="s">
        <v>36</v>
      </c>
      <c r="AE1375" s="46" t="s">
        <v>36</v>
      </c>
      <c r="AF1375" s="46" t="s">
        <v>36</v>
      </c>
      <c r="AG1375" s="46" t="s">
        <v>36</v>
      </c>
      <c r="AH1375" s="46" t="s">
        <v>43</v>
      </c>
      <c r="AI1375" s="46" t="s">
        <v>37</v>
      </c>
      <c r="AJ1375" s="46">
        <f>=SUM(E1376:AI1376)</f>
      </c>
      <c r="AK1375" s="46">
        <f>=+AY1375</f>
      </c>
      <c r="AL1375" s="46"/>
      <c r="AM1375" s="1"/>
      <c r="AN1375" s="1">
        <f>=COUNTIF(E1375:AI1375,"A")+COUNTIF(E1375:AI1375,"B")+COUNTIF(E1375:AI1375,"C")+COUNTIF(E1375:AI1375,"D")+COUNTIF(E1375:AI1375,"E")+COUNTIF(E1375:AI1375,"F")+COUNTIF(E1375:AI1375,"M")+COUNTIF(E1375:AI1375,"AB")+COUNTIF(E1375:AI1375,"UZ")+COUNTIF(E1375:AI1375,"G")+(COUNTIF(E1375:AI1375,"RT.")/2)+(COUNTIF(E1375:AI1375,"ÇRT.")/2)</f>
      </c>
      <c r="AO1375" s="1">
        <f>=COUNTIF(E1375:AI1375,"O")</f>
      </c>
      <c r="AP1375" s="1">
        <f>=COUNTIF(E1375:AI1375,"RT")+(COUNTIF(E1375:AI1375,"RT.")/2)</f>
      </c>
      <c r="AQ1375" s="1">
        <f>=COUNTIF(E1375:AI1375,"ÇRT")+(COUNTIF(E1375:AI1375,"ÇRT.")/2)</f>
      </c>
      <c r="AR1375" s="1">
        <f>=COUNTIF(E1375:AI1375,"ÇHT")</f>
      </c>
      <c r="AS1375" s="1">
        <f>=COUNTIF(E1375:AI1375,"Ö")+COUNTIF(E1375:AI1375,"T")</f>
      </c>
      <c r="AT1375" s="1">
        <f>=COUNTIF(E1375:AI1375,"Y")</f>
      </c>
      <c r="AU1375" s="1">
        <f>=COUNTIF(E1375:AI1375,"R.")</f>
      </c>
      <c r="AV1375" s="1">
        <f>=COUNTIF(E1375:AI1375,"Ü")</f>
      </c>
      <c r="AW1375" s="1">
        <f>=COUNTIF(E1375:AI1375,"R")</f>
      </c>
      <c r="AX1375" s="1">
        <f>=COUNTIF(E1375:AI1375,"DV")</f>
      </c>
      <c r="AY1375" s="1">
        <f>=+AN1375+AO1375+AP1375+AQ1375+AR1375+AS1375+AT1375+AU1375</f>
      </c>
    </row>
    <row r="1376" ht="16" customHeight="1" spans="1:51" x14ac:dyDescent="0.25">
      <c r="A1376" s="45"/>
      <c r="B1376" s="46"/>
      <c r="C1376" s="46"/>
      <c r="D1376" s="46" t="s">
        <v>33</v>
      </c>
      <c r="E1376" s="46">
        <v>3</v>
      </c>
      <c r="F1376" s="46">
        <v>3</v>
      </c>
      <c r="G1376" s="46">
        <v>3</v>
      </c>
      <c r="H1376" s="46"/>
      <c r="I1376" s="46">
        <v>3</v>
      </c>
      <c r="J1376" s="46">
        <v>3</v>
      </c>
      <c r="K1376" s="46">
        <v>3</v>
      </c>
      <c r="L1376" s="46">
        <v>3</v>
      </c>
      <c r="M1376" s="46">
        <v>3</v>
      </c>
      <c r="N1376" s="46">
        <v>3</v>
      </c>
      <c r="O1376" s="46">
        <v>3</v>
      </c>
      <c r="P1376" s="46">
        <v>3</v>
      </c>
      <c r="Q1376" s="46"/>
      <c r="R1376" s="46">
        <v>3</v>
      </c>
      <c r="S1376" s="46">
        <v>3</v>
      </c>
      <c r="T1376" s="46">
        <v>3</v>
      </c>
      <c r="U1376" s="46">
        <v>3</v>
      </c>
      <c r="V1376" s="46"/>
      <c r="W1376" s="46">
        <v>3</v>
      </c>
      <c r="X1376" s="46">
        <v>3</v>
      </c>
      <c r="Y1376" s="46">
        <v>3</v>
      </c>
      <c r="Z1376" s="46">
        <v>3</v>
      </c>
      <c r="AA1376" s="46">
        <v>3</v>
      </c>
      <c r="AB1376" s="46">
        <v>3</v>
      </c>
      <c r="AC1376" s="46"/>
      <c r="AD1376" s="46">
        <v>3</v>
      </c>
      <c r="AE1376" s="46">
        <v>3</v>
      </c>
      <c r="AF1376" s="46">
        <v>3</v>
      </c>
      <c r="AG1376" s="46">
        <v>3</v>
      </c>
      <c r="AH1376" s="46">
        <v>3</v>
      </c>
      <c r="AI1376" s="46"/>
      <c r="AJ1376" s="46"/>
      <c r="AK1376" s="46"/>
      <c r="AL1376" s="46"/>
      <c r="AM1376" s="1"/>
      <c r="AN1376" s="1"/>
      <c r="AO1376" s="1"/>
      <c r="AP1376" s="1"/>
      <c r="AQ1376" s="1"/>
      <c r="AR1376" s="1"/>
      <c r="AS1376" s="1"/>
      <c r="AT1376" s="1"/>
      <c r="AU1376" s="1"/>
      <c r="AV1376" s="1"/>
      <c r="AW1376" s="1"/>
      <c r="AX1376" s="1"/>
      <c r="AY1376" s="1"/>
    </row>
    <row r="1377" ht="16" customHeight="1" spans="1:51" x14ac:dyDescent="0.25">
      <c r="A1377" s="45"/>
      <c r="B1377" s="46" t="s">
        <v>1429</v>
      </c>
      <c r="C1377" s="46" t="s">
        <v>1430</v>
      </c>
      <c r="D1377" s="46" t="s">
        <v>29</v>
      </c>
      <c r="E1377" s="46" t="s">
        <v>41</v>
      </c>
      <c r="F1377" s="46" t="s">
        <v>37</v>
      </c>
      <c r="G1377" s="46" t="s">
        <v>41</v>
      </c>
      <c r="H1377" s="46" t="s">
        <v>41</v>
      </c>
      <c r="I1377" s="46" t="s">
        <v>41</v>
      </c>
      <c r="J1377" s="46" t="s">
        <v>41</v>
      </c>
      <c r="K1377" s="46" t="s">
        <v>41</v>
      </c>
      <c r="L1377" s="46" t="s">
        <v>41</v>
      </c>
      <c r="M1377" s="46" t="s">
        <v>37</v>
      </c>
      <c r="N1377" s="46" t="s">
        <v>41</v>
      </c>
      <c r="O1377" s="46" t="s">
        <v>41</v>
      </c>
      <c r="P1377" s="46" t="s">
        <v>41</v>
      </c>
      <c r="Q1377" s="46" t="s">
        <v>41</v>
      </c>
      <c r="R1377" s="46" t="s">
        <v>41</v>
      </c>
      <c r="S1377" s="46" t="s">
        <v>41</v>
      </c>
      <c r="T1377" s="46" t="s">
        <v>37</v>
      </c>
      <c r="U1377" s="46" t="s">
        <v>41</v>
      </c>
      <c r="V1377" s="46" t="s">
        <v>41</v>
      </c>
      <c r="W1377" s="46" t="s">
        <v>41</v>
      </c>
      <c r="X1377" s="46" t="s">
        <v>41</v>
      </c>
      <c r="Y1377" s="46" t="s">
        <v>41</v>
      </c>
      <c r="Z1377" s="46" t="s">
        <v>41</v>
      </c>
      <c r="AA1377" s="46" t="s">
        <v>37</v>
      </c>
      <c r="AB1377" s="46" t="s">
        <v>41</v>
      </c>
      <c r="AC1377" s="46" t="s">
        <v>41</v>
      </c>
      <c r="AD1377" s="46" t="s">
        <v>41</v>
      </c>
      <c r="AE1377" s="46" t="s">
        <v>41</v>
      </c>
      <c r="AF1377" s="46" t="s">
        <v>41</v>
      </c>
      <c r="AG1377" s="46" t="s">
        <v>41</v>
      </c>
      <c r="AH1377" s="46" t="s">
        <v>37</v>
      </c>
      <c r="AI1377" s="46" t="s">
        <v>41</v>
      </c>
      <c r="AJ1377" s="46">
        <f>=SUM(E1378:AI1378)</f>
      </c>
      <c r="AK1377" s="46">
        <f>=+AY1377</f>
      </c>
      <c r="AL1377" s="46"/>
      <c r="AM1377" s="1"/>
      <c r="AN1377" s="1">
        <f>=COUNTIF(E1377:AI1377,"A")+COUNTIF(E1377:AI1377,"B")+COUNTIF(E1377:AI1377,"C")+COUNTIF(E1377:AI1377,"D")+COUNTIF(E1377:AI1377,"E")+COUNTIF(E1377:AI1377,"F")+COUNTIF(E1377:AI1377,"M")+COUNTIF(E1377:AI1377,"AB")+COUNTIF(E1377:AI1377,"UZ")+COUNTIF(E1377:AI1377,"G")+(COUNTIF(E1377:AI1377,"RT.")/2)+(COUNTIF(E1377:AI1377,"ÇRT.")/2)</f>
      </c>
      <c r="AO1377" s="1">
        <f>=COUNTIF(E1377:AI1377,"O")</f>
      </c>
      <c r="AP1377" s="1">
        <f>=COUNTIF(E1377:AI1377,"RT")+(COUNTIF(E1377:AI1377,"RT.")/2)</f>
      </c>
      <c r="AQ1377" s="1">
        <f>=COUNTIF(E1377:AI1377,"ÇRT")+(COUNTIF(E1377:AI1377,"ÇRT.")/2)</f>
      </c>
      <c r="AR1377" s="1">
        <f>=COUNTIF(E1377:AI1377,"ÇHT")</f>
      </c>
      <c r="AS1377" s="1">
        <f>=COUNTIF(E1377:AI1377,"Ö")+COUNTIF(E1377:AI1377,"T")</f>
      </c>
      <c r="AT1377" s="1">
        <f>=COUNTIF(E1377:AI1377,"Y")</f>
      </c>
      <c r="AU1377" s="1">
        <f>=COUNTIF(E1377:AI1377,"R.")</f>
      </c>
      <c r="AV1377" s="1">
        <f>=COUNTIF(E1377:AI1377,"Ü")</f>
      </c>
      <c r="AW1377" s="1">
        <f>=COUNTIF(E1377:AI1377,"R")</f>
      </c>
      <c r="AX1377" s="1">
        <f>=COUNTIF(E1377:AI1377,"DV")</f>
      </c>
      <c r="AY1377" s="1">
        <f>=+AN1377+AO1377+AP1377+AQ1377+AR1377+AS1377+AT1377+AU1377</f>
      </c>
    </row>
    <row r="1378" ht="16" customHeight="1" spans="1:51" x14ac:dyDescent="0.25">
      <c r="A1378" s="45"/>
      <c r="B1378" s="46"/>
      <c r="C1378" s="46"/>
      <c r="D1378" s="46" t="s">
        <v>33</v>
      </c>
      <c r="E1378" s="46">
        <v>2</v>
      </c>
      <c r="F1378" s="46"/>
      <c r="G1378" s="46">
        <v>2</v>
      </c>
      <c r="H1378" s="46">
        <v>2</v>
      </c>
      <c r="I1378" s="46">
        <v>2</v>
      </c>
      <c r="J1378" s="46">
        <v>2</v>
      </c>
      <c r="K1378" s="46">
        <v>2</v>
      </c>
      <c r="L1378" s="46">
        <v>2</v>
      </c>
      <c r="M1378" s="46"/>
      <c r="N1378" s="46">
        <v>2</v>
      </c>
      <c r="O1378" s="46">
        <v>2</v>
      </c>
      <c r="P1378" s="46">
        <v>2</v>
      </c>
      <c r="Q1378" s="46">
        <v>2</v>
      </c>
      <c r="R1378" s="46">
        <v>2</v>
      </c>
      <c r="S1378" s="46">
        <v>2</v>
      </c>
      <c r="T1378" s="46"/>
      <c r="U1378" s="46">
        <v>2</v>
      </c>
      <c r="V1378" s="46">
        <v>2</v>
      </c>
      <c r="W1378" s="46">
        <v>2</v>
      </c>
      <c r="X1378" s="46">
        <v>2</v>
      </c>
      <c r="Y1378" s="46">
        <v>2</v>
      </c>
      <c r="Z1378" s="46">
        <v>2</v>
      </c>
      <c r="AA1378" s="46"/>
      <c r="AB1378" s="46">
        <v>2</v>
      </c>
      <c r="AC1378" s="46">
        <v>2</v>
      </c>
      <c r="AD1378" s="46">
        <v>2</v>
      </c>
      <c r="AE1378" s="46">
        <v>2</v>
      </c>
      <c r="AF1378" s="46">
        <v>2</v>
      </c>
      <c r="AG1378" s="46">
        <v>2</v>
      </c>
      <c r="AH1378" s="46"/>
      <c r="AI1378" s="46">
        <v>2</v>
      </c>
      <c r="AJ1378" s="46"/>
      <c r="AK1378" s="46"/>
      <c r="AL1378" s="46"/>
      <c r="AM1378" s="1"/>
      <c r="AN1378" s="1"/>
      <c r="AO1378" s="1"/>
      <c r="AP1378" s="1"/>
      <c r="AQ1378" s="1"/>
      <c r="AR1378" s="1"/>
      <c r="AS1378" s="1"/>
      <c r="AT1378" s="1"/>
      <c r="AU1378" s="1"/>
      <c r="AV1378" s="1"/>
      <c r="AW1378" s="1"/>
      <c r="AX1378" s="1"/>
      <c r="AY1378" s="1"/>
    </row>
    <row r="1379" ht="16" customHeight="1" spans="1:51" x14ac:dyDescent="0.25">
      <c r="A1379" s="45"/>
      <c r="B1379" s="46" t="s">
        <v>1431</v>
      </c>
      <c r="C1379" s="46" t="s">
        <v>1432</v>
      </c>
      <c r="D1379" s="46" t="s">
        <v>29</v>
      </c>
      <c r="E1379" s="46"/>
      <c r="F1379" s="46"/>
      <c r="G1379" s="46"/>
      <c r="H1379" s="46"/>
      <c r="I1379" s="46"/>
      <c r="J1379" s="46"/>
      <c r="K1379" s="46"/>
      <c r="L1379" s="46"/>
      <c r="M1379" s="46"/>
      <c r="N1379" s="46"/>
      <c r="O1379" s="46"/>
      <c r="P1379" s="46"/>
      <c r="Q1379" s="46"/>
      <c r="R1379" s="46"/>
      <c r="S1379" s="46"/>
      <c r="T1379" s="46"/>
      <c r="U1379" s="46"/>
      <c r="V1379" s="46" t="s">
        <v>36</v>
      </c>
      <c r="W1379" s="46" t="s">
        <v>36</v>
      </c>
      <c r="X1379" s="46" t="s">
        <v>36</v>
      </c>
      <c r="Y1379" s="46" t="s">
        <v>36</v>
      </c>
      <c r="Z1379" s="46" t="s">
        <v>36</v>
      </c>
      <c r="AA1379" s="46" t="s">
        <v>36</v>
      </c>
      <c r="AB1379" s="46" t="s">
        <v>36</v>
      </c>
      <c r="AC1379" s="46" t="s">
        <v>36</v>
      </c>
      <c r="AD1379" s="46" t="s">
        <v>36</v>
      </c>
      <c r="AE1379" s="46" t="s">
        <v>36</v>
      </c>
      <c r="AF1379" s="46" t="s">
        <v>37</v>
      </c>
      <c r="AG1379" s="46" t="s">
        <v>36</v>
      </c>
      <c r="AH1379" s="46" t="s">
        <v>43</v>
      </c>
      <c r="AI1379" s="46" t="s">
        <v>36</v>
      </c>
      <c r="AJ1379" s="46">
        <f>=SUM(E1380:AI1380)</f>
      </c>
      <c r="AK1379" s="46">
        <f>=+AY1379</f>
      </c>
      <c r="AL1379" s="46"/>
      <c r="AM1379" s="1"/>
      <c r="AN1379" s="1">
        <f>=COUNTIF(E1379:AI1379,"A")+COUNTIF(E1379:AI1379,"B")+COUNTIF(E1379:AI1379,"C")+COUNTIF(E1379:AI1379,"D")+COUNTIF(E1379:AI1379,"E")+COUNTIF(E1379:AI1379,"F")+COUNTIF(E1379:AI1379,"M")+COUNTIF(E1379:AI1379,"AB")+COUNTIF(E1379:AI1379,"UZ")+COUNTIF(E1379:AI1379,"G")+(COUNTIF(E1379:AI1379,"RT.")/2)+(COUNTIF(E1379:AI1379,"ÇRT.")/2)</f>
      </c>
      <c r="AO1379" s="1">
        <f>=COUNTIF(E1379:AI1379,"O")</f>
      </c>
      <c r="AP1379" s="1">
        <f>=COUNTIF(E1379:AI1379,"RT")+(COUNTIF(E1379:AI1379,"RT.")/2)</f>
      </c>
      <c r="AQ1379" s="1">
        <f>=COUNTIF(E1379:AI1379,"ÇRT")+(COUNTIF(E1379:AI1379,"ÇRT.")/2)</f>
      </c>
      <c r="AR1379" s="1">
        <f>=COUNTIF(E1379:AI1379,"ÇHT")</f>
      </c>
      <c r="AS1379" s="1">
        <f>=COUNTIF(E1379:AI1379,"Ö")+COUNTIF(E1379:AI1379,"T")</f>
      </c>
      <c r="AT1379" s="1">
        <f>=COUNTIF(E1379:AI1379,"Y")</f>
      </c>
      <c r="AU1379" s="1">
        <f>=COUNTIF(E1379:AI1379,"R.")</f>
      </c>
      <c r="AV1379" s="1">
        <f>=COUNTIF(E1379:AI1379,"Ü")</f>
      </c>
      <c r="AW1379" s="1">
        <f>=COUNTIF(E1379:AI1379,"R")</f>
      </c>
      <c r="AX1379" s="1">
        <f>=COUNTIF(E1379:AI1379,"DV")</f>
      </c>
      <c r="AY1379" s="1">
        <f>=+AN1379+AO1379+AP1379+AQ1379+AR1379+AS1379+AT1379+AU1379</f>
      </c>
    </row>
    <row r="1380" ht="16" customHeight="1" spans="1:51" x14ac:dyDescent="0.25">
      <c r="A1380" s="45"/>
      <c r="B1380" s="46"/>
      <c r="C1380" s="46"/>
      <c r="D1380" s="46" t="s">
        <v>33</v>
      </c>
      <c r="E1380" s="46"/>
      <c r="F1380" s="46"/>
      <c r="G1380" s="46"/>
      <c r="H1380" s="46"/>
      <c r="I1380" s="46"/>
      <c r="J1380" s="46"/>
      <c r="K1380" s="46"/>
      <c r="L1380" s="46"/>
      <c r="M1380" s="46"/>
      <c r="N1380" s="46"/>
      <c r="O1380" s="46"/>
      <c r="P1380" s="46"/>
      <c r="Q1380" s="46"/>
      <c r="R1380" s="46"/>
      <c r="S1380" s="46"/>
      <c r="T1380" s="46"/>
      <c r="U1380" s="46"/>
      <c r="V1380" s="46"/>
      <c r="W1380" s="46"/>
      <c r="X1380" s="46"/>
      <c r="Y1380" s="46"/>
      <c r="Z1380" s="46"/>
      <c r="AA1380" s="46"/>
      <c r="AB1380" s="46"/>
      <c r="AC1380" s="46"/>
      <c r="AD1380" s="46"/>
      <c r="AE1380" s="46"/>
      <c r="AF1380" s="46"/>
      <c r="AG1380" s="46"/>
      <c r="AH1380" s="46"/>
      <c r="AI1380" s="46"/>
      <c r="AJ1380" s="46"/>
      <c r="AK1380" s="46"/>
      <c r="AL1380" s="46"/>
      <c r="AM1380" s="1"/>
      <c r="AN1380" s="1"/>
      <c r="AO1380" s="1"/>
      <c r="AP1380" s="1"/>
      <c r="AQ1380" s="1"/>
      <c r="AR1380" s="1"/>
      <c r="AS1380" s="1"/>
      <c r="AT1380" s="1"/>
      <c r="AU1380" s="1"/>
      <c r="AV1380" s="1"/>
      <c r="AW1380" s="1"/>
      <c r="AX1380" s="1"/>
      <c r="AY1380" s="1"/>
    </row>
    <row r="1381" ht="16" customHeight="1" spans="1:51" x14ac:dyDescent="0.25">
      <c r="A1381" s="45"/>
      <c r="B1381" s="46" t="s">
        <v>1433</v>
      </c>
      <c r="C1381" s="46" t="s">
        <v>1434</v>
      </c>
      <c r="D1381" s="46" t="s">
        <v>29</v>
      </c>
      <c r="E1381" s="46" t="s">
        <v>59</v>
      </c>
      <c r="F1381" s="46" t="s">
        <v>37</v>
      </c>
      <c r="G1381" s="46" t="s">
        <v>59</v>
      </c>
      <c r="H1381" s="46" t="s">
        <v>1348</v>
      </c>
      <c r="I1381" s="46" t="s">
        <v>30</v>
      </c>
      <c r="J1381" s="46" t="s">
        <v>30</v>
      </c>
      <c r="K1381" s="46" t="s">
        <v>30</v>
      </c>
      <c r="L1381" s="46" t="s">
        <v>30</v>
      </c>
      <c r="M1381" s="46" t="s">
        <v>37</v>
      </c>
      <c r="N1381" s="46" t="s">
        <v>30</v>
      </c>
      <c r="O1381" s="46" t="s">
        <v>30</v>
      </c>
      <c r="P1381" s="46" t="s">
        <v>30</v>
      </c>
      <c r="Q1381" s="46" t="s">
        <v>30</v>
      </c>
      <c r="R1381" s="46" t="s">
        <v>30</v>
      </c>
      <c r="S1381" s="46" t="s">
        <v>30</v>
      </c>
      <c r="T1381" s="46" t="s">
        <v>37</v>
      </c>
      <c r="U1381" s="46" t="s">
        <v>59</v>
      </c>
      <c r="V1381" s="46" t="s">
        <v>59</v>
      </c>
      <c r="W1381" s="46" t="s">
        <v>59</v>
      </c>
      <c r="X1381" s="46" t="s">
        <v>59</v>
      </c>
      <c r="Y1381" s="46" t="s">
        <v>59</v>
      </c>
      <c r="Z1381" s="46" t="s">
        <v>59</v>
      </c>
      <c r="AA1381" s="46" t="s">
        <v>37</v>
      </c>
      <c r="AB1381" s="46" t="s">
        <v>59</v>
      </c>
      <c r="AC1381" s="46" t="s">
        <v>59</v>
      </c>
      <c r="AD1381" s="46" t="s">
        <v>59</v>
      </c>
      <c r="AE1381" s="46" t="s">
        <v>59</v>
      </c>
      <c r="AF1381" s="46" t="s">
        <v>59</v>
      </c>
      <c r="AG1381" s="46" t="s">
        <v>59</v>
      </c>
      <c r="AH1381" s="46" t="s">
        <v>37</v>
      </c>
      <c r="AI1381" s="46"/>
      <c r="AJ1381" s="46">
        <f>=SUM(E1382:AI1382)</f>
      </c>
      <c r="AK1381" s="46">
        <f>=+AY1381</f>
      </c>
      <c r="AL1381" s="46"/>
      <c r="AM1381" s="1"/>
      <c r="AN1381" s="1">
        <f>=COUNTIF(E1381:AI1381,"A")+COUNTIF(E1381:AI1381,"B")+COUNTIF(E1381:AI1381,"C")+COUNTIF(E1381:AI1381,"D")+COUNTIF(E1381:AI1381,"E")+COUNTIF(E1381:AI1381,"F")+COUNTIF(E1381:AI1381,"M")+COUNTIF(E1381:AI1381,"AB")+COUNTIF(E1381:AI1381,"UZ")+COUNTIF(E1381:AI1381,"G")+(COUNTIF(E1381:AI1381,"RT.")/2)+(COUNTIF(E1381:AI1381,"ÇRT.")/2)</f>
      </c>
      <c r="AO1381" s="1">
        <f>=COUNTIF(E1381:AI1381,"O")</f>
      </c>
      <c r="AP1381" s="1">
        <f>=COUNTIF(E1381:AI1381,"RT")+(COUNTIF(E1381:AI1381,"RT.")/2)</f>
      </c>
      <c r="AQ1381" s="1">
        <f>=COUNTIF(E1381:AI1381,"ÇRT")+(COUNTIF(E1381:AI1381,"ÇRT.")/2)</f>
      </c>
      <c r="AR1381" s="1">
        <f>=COUNTIF(E1381:AI1381,"ÇHT")</f>
      </c>
      <c r="AS1381" s="1">
        <f>=COUNTIF(E1381:AI1381,"Ö")+COUNTIF(E1381:AI1381,"T")</f>
      </c>
      <c r="AT1381" s="1">
        <f>=COUNTIF(E1381:AI1381,"Y")</f>
      </c>
      <c r="AU1381" s="1">
        <f>=COUNTIF(E1381:AI1381,"R.")</f>
      </c>
      <c r="AV1381" s="1">
        <f>=COUNTIF(E1381:AI1381,"Ü")</f>
      </c>
      <c r="AW1381" s="1">
        <f>=COUNTIF(E1381:AI1381,"R")</f>
      </c>
      <c r="AX1381" s="1">
        <f>=COUNTIF(E1381:AI1381,"DV")</f>
      </c>
      <c r="AY1381" s="1">
        <f>=+AN1381+AO1381+AP1381+AQ1381+AR1381+AS1381+AT1381+AU1381</f>
      </c>
    </row>
    <row r="1382" ht="16" customHeight="1" spans="1:51" x14ac:dyDescent="0.25">
      <c r="A1382" s="45"/>
      <c r="B1382" s="46"/>
      <c r="C1382" s="46"/>
      <c r="D1382" s="46" t="s">
        <v>33</v>
      </c>
      <c r="E1382" s="46">
        <v>1</v>
      </c>
      <c r="F1382" s="46"/>
      <c r="G1382" s="46"/>
      <c r="H1382" s="46"/>
      <c r="I1382" s="46"/>
      <c r="J1382" s="46"/>
      <c r="K1382" s="46"/>
      <c r="L1382" s="46"/>
      <c r="M1382" s="46"/>
      <c r="N1382" s="46"/>
      <c r="O1382" s="46"/>
      <c r="P1382" s="46"/>
      <c r="Q1382" s="46"/>
      <c r="R1382" s="46"/>
      <c r="S1382" s="46"/>
      <c r="T1382" s="46"/>
      <c r="U1382" s="46"/>
      <c r="V1382" s="46"/>
      <c r="W1382" s="46">
        <v>2</v>
      </c>
      <c r="X1382" s="46">
        <v>2</v>
      </c>
      <c r="Y1382" s="46">
        <v>2</v>
      </c>
      <c r="Z1382" s="46"/>
      <c r="AA1382" s="46"/>
      <c r="AB1382" s="46"/>
      <c r="AC1382" s="46">
        <v>2</v>
      </c>
      <c r="AD1382" s="46"/>
      <c r="AE1382" s="46"/>
      <c r="AF1382" s="46"/>
      <c r="AG1382" s="46">
        <v>0</v>
      </c>
      <c r="AH1382" s="46"/>
      <c r="AI1382" s="46"/>
      <c r="AJ1382" s="46"/>
      <c r="AK1382" s="46"/>
      <c r="AL1382" s="46"/>
      <c r="AM1382" s="1"/>
      <c r="AN1382" s="1"/>
      <c r="AO1382" s="1"/>
      <c r="AP1382" s="1"/>
      <c r="AQ1382" s="1"/>
      <c r="AR1382" s="1"/>
      <c r="AS1382" s="1"/>
      <c r="AT1382" s="1"/>
      <c r="AU1382" s="1"/>
      <c r="AV1382" s="1"/>
      <c r="AW1382" s="1"/>
      <c r="AX1382" s="1"/>
      <c r="AY1382" s="1"/>
    </row>
    <row r="1383" ht="16" customHeight="1" spans="1:51" x14ac:dyDescent="0.25">
      <c r="A1383" s="45"/>
      <c r="B1383" s="46" t="s">
        <v>1435</v>
      </c>
      <c r="C1383" s="46" t="s">
        <v>1436</v>
      </c>
      <c r="D1383" s="46" t="s">
        <v>29</v>
      </c>
      <c r="E1383" s="46" t="s">
        <v>46</v>
      </c>
      <c r="F1383" s="46" t="s">
        <v>46</v>
      </c>
      <c r="G1383" s="46" t="s">
        <v>46</v>
      </c>
      <c r="H1383" s="46" t="s">
        <v>46</v>
      </c>
      <c r="I1383" s="46" t="s">
        <v>46</v>
      </c>
      <c r="J1383" s="46" t="s">
        <v>36</v>
      </c>
      <c r="K1383" s="46" t="s">
        <v>37</v>
      </c>
      <c r="L1383" s="46" t="s">
        <v>46</v>
      </c>
      <c r="M1383" s="46" t="s">
        <v>46</v>
      </c>
      <c r="N1383" s="46" t="s">
        <v>46</v>
      </c>
      <c r="O1383" s="46" t="s">
        <v>46</v>
      </c>
      <c r="P1383" s="46" t="s">
        <v>46</v>
      </c>
      <c r="Q1383" s="46" t="s">
        <v>46</v>
      </c>
      <c r="R1383" s="46" t="s">
        <v>37</v>
      </c>
      <c r="S1383" s="46" t="s">
        <v>46</v>
      </c>
      <c r="T1383" s="46" t="s">
        <v>46</v>
      </c>
      <c r="U1383" s="46" t="s">
        <v>46</v>
      </c>
      <c r="V1383" s="46" t="s">
        <v>46</v>
      </c>
      <c r="W1383" s="46" t="s">
        <v>36</v>
      </c>
      <c r="X1383" s="46" t="s">
        <v>46</v>
      </c>
      <c r="Y1383" s="46" t="s">
        <v>37</v>
      </c>
      <c r="Z1383" s="46" t="s">
        <v>46</v>
      </c>
      <c r="AA1383" s="46" t="s">
        <v>46</v>
      </c>
      <c r="AB1383" s="46" t="s">
        <v>37</v>
      </c>
      <c r="AC1383" s="46" t="s">
        <v>46</v>
      </c>
      <c r="AD1383" s="46" t="s">
        <v>46</v>
      </c>
      <c r="AE1383" s="46" t="s">
        <v>46</v>
      </c>
      <c r="AF1383" s="46" t="s">
        <v>46</v>
      </c>
      <c r="AG1383" s="46" t="s">
        <v>36</v>
      </c>
      <c r="AH1383" s="46" t="s">
        <v>43</v>
      </c>
      <c r="AI1383" s="46" t="s">
        <v>36</v>
      </c>
      <c r="AJ1383" s="46">
        <f>=SUM(E1384:AI1384)</f>
      </c>
      <c r="AK1383" s="46">
        <f>=+AY1383</f>
      </c>
      <c r="AL1383" s="46"/>
      <c r="AM1383" s="1"/>
      <c r="AN1383" s="1">
        <f>=COUNTIF(E1383:AI1383,"A")+COUNTIF(E1383:AI1383,"B")+COUNTIF(E1383:AI1383,"C")+COUNTIF(E1383:AI1383,"D")+COUNTIF(E1383:AI1383,"E")+COUNTIF(E1383:AI1383,"F")+COUNTIF(E1383:AI1383,"M")+COUNTIF(E1383:AI1383,"AB")+COUNTIF(E1383:AI1383,"UZ")+COUNTIF(E1383:AI1383,"G")+(COUNTIF(E1383:AI1383,"RT.")/2)+(COUNTIF(E1383:AI1383,"ÇRT.")/2)</f>
      </c>
      <c r="AO1383" s="1">
        <f>=COUNTIF(E1383:AI1383,"O")</f>
      </c>
      <c r="AP1383" s="1">
        <f>=COUNTIF(E1383:AI1383,"RT")+(COUNTIF(E1383:AI1383,"RT.")/2)</f>
      </c>
      <c r="AQ1383" s="1">
        <f>=COUNTIF(E1383:AI1383,"ÇRT")+(COUNTIF(E1383:AI1383,"ÇRT.")/2)</f>
      </c>
      <c r="AR1383" s="1">
        <f>=COUNTIF(E1383:AI1383,"ÇHT")</f>
      </c>
      <c r="AS1383" s="1">
        <f>=COUNTIF(E1383:AI1383,"Ö")+COUNTIF(E1383:AI1383,"T")</f>
      </c>
      <c r="AT1383" s="1">
        <f>=COUNTIF(E1383:AI1383,"Y")</f>
      </c>
      <c r="AU1383" s="1">
        <f>=COUNTIF(E1383:AI1383,"R.")</f>
      </c>
      <c r="AV1383" s="1">
        <f>=COUNTIF(E1383:AI1383,"Ü")</f>
      </c>
      <c r="AW1383" s="1">
        <f>=COUNTIF(E1383:AI1383,"R")</f>
      </c>
      <c r="AX1383" s="1">
        <f>=COUNTIF(E1383:AI1383,"DV")</f>
      </c>
      <c r="AY1383" s="1">
        <f>=+AN1383+AO1383+AP1383+AQ1383+AR1383+AS1383+AT1383+AU1383</f>
      </c>
    </row>
    <row r="1384" ht="16" customHeight="1" spans="1:51" x14ac:dyDescent="0.25">
      <c r="A1384" s="45"/>
      <c r="B1384" s="46"/>
      <c r="C1384" s="46"/>
      <c r="D1384" s="46" t="s">
        <v>33</v>
      </c>
      <c r="E1384" s="46"/>
      <c r="F1384" s="46"/>
      <c r="G1384" s="46"/>
      <c r="H1384" s="46"/>
      <c r="I1384" s="46"/>
      <c r="J1384" s="46"/>
      <c r="K1384" s="46"/>
      <c r="L1384" s="46"/>
      <c r="M1384" s="46"/>
      <c r="N1384" s="46"/>
      <c r="O1384" s="46"/>
      <c r="P1384" s="46">
        <v>2</v>
      </c>
      <c r="Q1384" s="46"/>
      <c r="R1384" s="46"/>
      <c r="S1384" s="46"/>
      <c r="T1384" s="46">
        <v>2</v>
      </c>
      <c r="U1384" s="46">
        <v>2</v>
      </c>
      <c r="V1384" s="46"/>
      <c r="W1384" s="46">
        <v>2</v>
      </c>
      <c r="X1384" s="46"/>
      <c r="Y1384" s="46"/>
      <c r="Z1384" s="46">
        <v>2</v>
      </c>
      <c r="AA1384" s="46"/>
      <c r="AB1384" s="46"/>
      <c r="AC1384" s="46"/>
      <c r="AD1384" s="46"/>
      <c r="AE1384" s="46"/>
      <c r="AF1384" s="46">
        <v>2</v>
      </c>
      <c r="AG1384" s="46">
        <v>2</v>
      </c>
      <c r="AH1384" s="46"/>
      <c r="AI1384" s="46">
        <v>2</v>
      </c>
      <c r="AJ1384" s="46"/>
      <c r="AK1384" s="46"/>
      <c r="AL1384" s="46"/>
      <c r="AM1384" s="1"/>
      <c r="AN1384" s="1"/>
      <c r="AO1384" s="1"/>
      <c r="AP1384" s="1"/>
      <c r="AQ1384" s="1"/>
      <c r="AR1384" s="1"/>
      <c r="AS1384" s="1"/>
      <c r="AT1384" s="1"/>
      <c r="AU1384" s="1"/>
      <c r="AV1384" s="1"/>
      <c r="AW1384" s="1"/>
      <c r="AX1384" s="1"/>
      <c r="AY1384" s="1"/>
    </row>
    <row r="1385" ht="16" customHeight="1" spans="1:51" x14ac:dyDescent="0.25">
      <c r="A1385" s="45"/>
      <c r="B1385" s="46" t="s">
        <v>1437</v>
      </c>
      <c r="C1385" s="46" t="s">
        <v>1438</v>
      </c>
      <c r="D1385" s="46" t="s">
        <v>29</v>
      </c>
      <c r="E1385" s="46" t="s">
        <v>41</v>
      </c>
      <c r="F1385" s="46" t="s">
        <v>41</v>
      </c>
      <c r="G1385" s="46" t="s">
        <v>41</v>
      </c>
      <c r="H1385" s="46" t="s">
        <v>41</v>
      </c>
      <c r="I1385" s="46" t="s">
        <v>41</v>
      </c>
      <c r="J1385" s="46" t="s">
        <v>37</v>
      </c>
      <c r="K1385" s="46" t="s">
        <v>41</v>
      </c>
      <c r="L1385" s="46" t="s">
        <v>41</v>
      </c>
      <c r="M1385" s="46" t="s">
        <v>41</v>
      </c>
      <c r="N1385" s="46" t="s">
        <v>41</v>
      </c>
      <c r="O1385" s="46" t="s">
        <v>41</v>
      </c>
      <c r="P1385" s="46" t="s">
        <v>41</v>
      </c>
      <c r="Q1385" s="46" t="s">
        <v>37</v>
      </c>
      <c r="R1385" s="46" t="s">
        <v>41</v>
      </c>
      <c r="S1385" s="46" t="s">
        <v>41</v>
      </c>
      <c r="T1385" s="46" t="s">
        <v>41</v>
      </c>
      <c r="U1385" s="46" t="s">
        <v>41</v>
      </c>
      <c r="V1385" s="46" t="s">
        <v>41</v>
      </c>
      <c r="W1385" s="46" t="s">
        <v>41</v>
      </c>
      <c r="X1385" s="46" t="s">
        <v>37</v>
      </c>
      <c r="Y1385" s="46" t="s">
        <v>41</v>
      </c>
      <c r="Z1385" s="46" t="s">
        <v>41</v>
      </c>
      <c r="AA1385" s="46" t="s">
        <v>41</v>
      </c>
      <c r="AB1385" s="46" t="s">
        <v>41</v>
      </c>
      <c r="AC1385" s="46" t="s">
        <v>41</v>
      </c>
      <c r="AD1385" s="46" t="s">
        <v>41</v>
      </c>
      <c r="AE1385" s="46" t="s">
        <v>37</v>
      </c>
      <c r="AF1385" s="46" t="s">
        <v>41</v>
      </c>
      <c r="AG1385" s="46" t="s">
        <v>41</v>
      </c>
      <c r="AH1385" s="46" t="s">
        <v>43</v>
      </c>
      <c r="AI1385" s="46" t="s">
        <v>41</v>
      </c>
      <c r="AJ1385" s="46">
        <f>=SUM(E1386:AI1386)</f>
      </c>
      <c r="AK1385" s="46">
        <f>=+AY1385</f>
      </c>
      <c r="AL1385" s="46"/>
      <c r="AM1385" s="1"/>
      <c r="AN1385" s="1">
        <f>=COUNTIF(E1385:AI1385,"A")+COUNTIF(E1385:AI1385,"B")+COUNTIF(E1385:AI1385,"C")+COUNTIF(E1385:AI1385,"D")+COUNTIF(E1385:AI1385,"E")+COUNTIF(E1385:AI1385,"F")+COUNTIF(E1385:AI1385,"M")+COUNTIF(E1385:AI1385,"AB")+COUNTIF(E1385:AI1385,"UZ")+COUNTIF(E1385:AI1385,"G")+(COUNTIF(E1385:AI1385,"RT.")/2)+(COUNTIF(E1385:AI1385,"ÇRT.")/2)</f>
      </c>
      <c r="AO1385" s="1">
        <f>=COUNTIF(E1385:AI1385,"O")</f>
      </c>
      <c r="AP1385" s="1">
        <f>=COUNTIF(E1385:AI1385,"RT")+(COUNTIF(E1385:AI1385,"RT.")/2)</f>
      </c>
      <c r="AQ1385" s="1">
        <f>=COUNTIF(E1385:AI1385,"ÇRT")+(COUNTIF(E1385:AI1385,"ÇRT.")/2)</f>
      </c>
      <c r="AR1385" s="1">
        <f>=COUNTIF(E1385:AI1385,"ÇHT")</f>
      </c>
      <c r="AS1385" s="1">
        <f>=COUNTIF(E1385:AI1385,"Ö")+COUNTIF(E1385:AI1385,"T")</f>
      </c>
      <c r="AT1385" s="1">
        <f>=COUNTIF(E1385:AI1385,"Y")</f>
      </c>
      <c r="AU1385" s="1">
        <f>=COUNTIF(E1385:AI1385,"R.")</f>
      </c>
      <c r="AV1385" s="1">
        <f>=COUNTIF(E1385:AI1385,"Ü")</f>
      </c>
      <c r="AW1385" s="1">
        <f>=COUNTIF(E1385:AI1385,"R")</f>
      </c>
      <c r="AX1385" s="1">
        <f>=COUNTIF(E1385:AI1385,"DV")</f>
      </c>
      <c r="AY1385" s="1">
        <f>=+AN1385+AO1385+AP1385+AQ1385+AR1385+AS1385+AT1385+AU1385</f>
      </c>
    </row>
    <row r="1386" ht="16" customHeight="1" spans="1:51" x14ac:dyDescent="0.25">
      <c r="A1386" s="45"/>
      <c r="B1386" s="46"/>
      <c r="C1386" s="46"/>
      <c r="D1386" s="46" t="s">
        <v>33</v>
      </c>
      <c r="E1386" s="46">
        <v>2</v>
      </c>
      <c r="F1386" s="46">
        <v>2</v>
      </c>
      <c r="G1386" s="46">
        <v>2</v>
      </c>
      <c r="H1386" s="46">
        <v>2</v>
      </c>
      <c r="I1386" s="46">
        <v>2</v>
      </c>
      <c r="J1386" s="46"/>
      <c r="K1386" s="46">
        <v>2</v>
      </c>
      <c r="L1386" s="46">
        <v>2</v>
      </c>
      <c r="M1386" s="46">
        <v>2</v>
      </c>
      <c r="N1386" s="46">
        <v>2</v>
      </c>
      <c r="O1386" s="46">
        <v>2</v>
      </c>
      <c r="P1386" s="46">
        <v>2</v>
      </c>
      <c r="Q1386" s="46"/>
      <c r="R1386" s="46">
        <v>2</v>
      </c>
      <c r="S1386" s="46">
        <v>2</v>
      </c>
      <c r="T1386" s="46">
        <v>2</v>
      </c>
      <c r="U1386" s="46"/>
      <c r="V1386" s="46"/>
      <c r="W1386" s="46"/>
      <c r="X1386" s="46"/>
      <c r="Y1386" s="46"/>
      <c r="Z1386" s="46"/>
      <c r="AA1386" s="46"/>
      <c r="AB1386" s="46">
        <v>2</v>
      </c>
      <c r="AC1386" s="46">
        <v>2</v>
      </c>
      <c r="AD1386" s="46">
        <v>2</v>
      </c>
      <c r="AE1386" s="46"/>
      <c r="AF1386" s="46">
        <v>2</v>
      </c>
      <c r="AG1386" s="46">
        <v>2</v>
      </c>
      <c r="AH1386" s="46">
        <v>2</v>
      </c>
      <c r="AI1386" s="46">
        <v>2</v>
      </c>
      <c r="AJ1386" s="46"/>
      <c r="AK1386" s="46"/>
      <c r="AL1386" s="46"/>
      <c r="AM1386" s="1"/>
      <c r="AN1386" s="1"/>
      <c r="AO1386" s="1"/>
      <c r="AP1386" s="1"/>
      <c r="AQ1386" s="1"/>
      <c r="AR1386" s="1"/>
      <c r="AS1386" s="1"/>
      <c r="AT1386" s="1"/>
      <c r="AU1386" s="1"/>
      <c r="AV1386" s="1"/>
      <c r="AW1386" s="1"/>
      <c r="AX1386" s="1"/>
      <c r="AY1386" s="1"/>
    </row>
    <row r="1387" ht="16" customHeight="1" spans="1:51" x14ac:dyDescent="0.25">
      <c r="A1387" s="45"/>
      <c r="B1387" s="46" t="s">
        <v>1439</v>
      </c>
      <c r="C1387" s="46" t="s">
        <v>1440</v>
      </c>
      <c r="D1387" s="46" t="s">
        <v>29</v>
      </c>
      <c r="E1387" s="46" t="s">
        <v>36</v>
      </c>
      <c r="F1387" s="46" t="s">
        <v>36</v>
      </c>
      <c r="G1387" s="46" t="s">
        <v>36</v>
      </c>
      <c r="H1387" s="46" t="s">
        <v>36</v>
      </c>
      <c r="I1387" s="46" t="s">
        <v>37</v>
      </c>
      <c r="J1387" s="46" t="s">
        <v>36</v>
      </c>
      <c r="K1387" s="46" t="s">
        <v>36</v>
      </c>
      <c r="L1387" s="46" t="s">
        <v>36</v>
      </c>
      <c r="M1387" s="46" t="s">
        <v>36</v>
      </c>
      <c r="N1387" s="46" t="s">
        <v>36</v>
      </c>
      <c r="O1387" s="46" t="s">
        <v>36</v>
      </c>
      <c r="P1387" s="46" t="s">
        <v>37</v>
      </c>
      <c r="Q1387" s="46" t="s">
        <v>36</v>
      </c>
      <c r="R1387" s="46" t="s">
        <v>36</v>
      </c>
      <c r="S1387" s="46" t="s">
        <v>36</v>
      </c>
      <c r="T1387" s="46" t="s">
        <v>36</v>
      </c>
      <c r="U1387" s="46" t="s">
        <v>36</v>
      </c>
      <c r="V1387" s="46" t="s">
        <v>36</v>
      </c>
      <c r="W1387" s="46" t="s">
        <v>37</v>
      </c>
      <c r="X1387" s="46" t="s">
        <v>36</v>
      </c>
      <c r="Y1387" s="46" t="s">
        <v>36</v>
      </c>
      <c r="Z1387" s="46" t="s">
        <v>36</v>
      </c>
      <c r="AA1387" s="46" t="s">
        <v>36</v>
      </c>
      <c r="AB1387" s="46" t="s">
        <v>36</v>
      </c>
      <c r="AC1387" s="46" t="s">
        <v>36</v>
      </c>
      <c r="AD1387" s="46" t="s">
        <v>37</v>
      </c>
      <c r="AE1387" s="46" t="s">
        <v>36</v>
      </c>
      <c r="AF1387" s="46" t="s">
        <v>36</v>
      </c>
      <c r="AG1387" s="46" t="s">
        <v>36</v>
      </c>
      <c r="AH1387" s="46" t="s">
        <v>43</v>
      </c>
      <c r="AI1387" s="46" t="s">
        <v>36</v>
      </c>
      <c r="AJ1387" s="46">
        <f>=SUM(E1388:AI1388)</f>
      </c>
      <c r="AK1387" s="46">
        <f>=+AY1387</f>
      </c>
      <c r="AL1387" s="46"/>
      <c r="AM1387" s="1"/>
      <c r="AN1387" s="1">
        <f>=COUNTIF(E1387:AI1387,"A")+COUNTIF(E1387:AI1387,"B")+COUNTIF(E1387:AI1387,"C")+COUNTIF(E1387:AI1387,"D")+COUNTIF(E1387:AI1387,"E")+COUNTIF(E1387:AI1387,"F")+COUNTIF(E1387:AI1387,"M")+COUNTIF(E1387:AI1387,"AB")+COUNTIF(E1387:AI1387,"UZ")+COUNTIF(E1387:AI1387,"G")+(COUNTIF(E1387:AI1387,"RT.")/2)+(COUNTIF(E1387:AI1387,"ÇRT.")/2)</f>
      </c>
      <c r="AO1387" s="1">
        <f>=COUNTIF(E1387:AI1387,"O")</f>
      </c>
      <c r="AP1387" s="1">
        <f>=COUNTIF(E1387:AI1387,"RT")+(COUNTIF(E1387:AI1387,"RT.")/2)</f>
      </c>
      <c r="AQ1387" s="1">
        <f>=COUNTIF(E1387:AI1387,"ÇRT")+(COUNTIF(E1387:AI1387,"ÇRT.")/2)</f>
      </c>
      <c r="AR1387" s="1">
        <f>=COUNTIF(E1387:AI1387,"ÇHT")</f>
      </c>
      <c r="AS1387" s="1">
        <f>=COUNTIF(E1387:AI1387,"Ö")+COUNTIF(E1387:AI1387,"T")</f>
      </c>
      <c r="AT1387" s="1">
        <f>=COUNTIF(E1387:AI1387,"Y")</f>
      </c>
      <c r="AU1387" s="1">
        <f>=COUNTIF(E1387:AI1387,"R.")</f>
      </c>
      <c r="AV1387" s="1">
        <f>=COUNTIF(E1387:AI1387,"Ü")</f>
      </c>
      <c r="AW1387" s="1">
        <f>=COUNTIF(E1387:AI1387,"R")</f>
      </c>
      <c r="AX1387" s="1">
        <f>=COUNTIF(E1387:AI1387,"DV")</f>
      </c>
      <c r="AY1387" s="1">
        <f>=+AN1387+AO1387+AP1387+AQ1387+AR1387+AS1387+AT1387+AU1387</f>
      </c>
    </row>
    <row r="1388" ht="16" customHeight="1" spans="1:51" x14ac:dyDescent="0.25">
      <c r="A1388" s="45"/>
      <c r="B1388" s="46"/>
      <c r="C1388" s="46"/>
      <c r="D1388" s="46" t="s">
        <v>33</v>
      </c>
      <c r="E1388" s="46"/>
      <c r="F1388" s="46"/>
      <c r="G1388" s="46"/>
      <c r="H1388" s="46"/>
      <c r="I1388" s="46"/>
      <c r="J1388" s="46"/>
      <c r="K1388" s="46"/>
      <c r="L1388" s="46"/>
      <c r="M1388" s="46"/>
      <c r="N1388" s="46"/>
      <c r="O1388" s="46"/>
      <c r="P1388" s="46"/>
      <c r="Q1388" s="46"/>
      <c r="R1388" s="46"/>
      <c r="S1388" s="46"/>
      <c r="T1388" s="46"/>
      <c r="U1388" s="46"/>
      <c r="V1388" s="46"/>
      <c r="W1388" s="46"/>
      <c r="X1388" s="46"/>
      <c r="Y1388" s="46"/>
      <c r="Z1388" s="46"/>
      <c r="AA1388" s="46"/>
      <c r="AB1388" s="46"/>
      <c r="AC1388" s="46"/>
      <c r="AD1388" s="46"/>
      <c r="AE1388" s="46"/>
      <c r="AF1388" s="46"/>
      <c r="AG1388" s="46"/>
      <c r="AH1388" s="46"/>
      <c r="AI1388" s="46"/>
      <c r="AJ1388" s="46"/>
      <c r="AK1388" s="46"/>
      <c r="AL1388" s="46"/>
      <c r="AM1388" s="1"/>
      <c r="AN1388" s="1"/>
      <c r="AO1388" s="1"/>
      <c r="AP1388" s="1"/>
      <c r="AQ1388" s="1"/>
      <c r="AR1388" s="1"/>
      <c r="AS1388" s="1"/>
      <c r="AT1388" s="1"/>
      <c r="AU1388" s="1"/>
      <c r="AV1388" s="1"/>
      <c r="AW1388" s="1"/>
      <c r="AX1388" s="1"/>
      <c r="AY1388" s="1"/>
    </row>
    <row r="1389" ht="16" customHeight="1" spans="1:51" x14ac:dyDescent="0.25">
      <c r="A1389" s="45"/>
      <c r="B1389" s="46" t="s">
        <v>1441</v>
      </c>
      <c r="C1389" s="46" t="s">
        <v>1442</v>
      </c>
      <c r="D1389" s="46" t="s">
        <v>29</v>
      </c>
      <c r="E1389" s="46" t="s">
        <v>299</v>
      </c>
      <c r="F1389" s="46" t="s">
        <v>299</v>
      </c>
      <c r="G1389" s="46" t="s">
        <v>299</v>
      </c>
      <c r="H1389" s="46" t="s">
        <v>299</v>
      </c>
      <c r="I1389" s="46" t="s">
        <v>37</v>
      </c>
      <c r="J1389" s="46" t="s">
        <v>299</v>
      </c>
      <c r="K1389" s="46" t="s">
        <v>299</v>
      </c>
      <c r="L1389" s="46" t="s">
        <v>299</v>
      </c>
      <c r="M1389" s="46" t="s">
        <v>299</v>
      </c>
      <c r="N1389" s="46" t="s">
        <v>299</v>
      </c>
      <c r="O1389" s="46" t="s">
        <v>299</v>
      </c>
      <c r="P1389" s="46" t="s">
        <v>37</v>
      </c>
      <c r="Q1389" s="46" t="s">
        <v>299</v>
      </c>
      <c r="R1389" s="46" t="s">
        <v>299</v>
      </c>
      <c r="S1389" s="46" t="s">
        <v>299</v>
      </c>
      <c r="T1389" s="46" t="s">
        <v>299</v>
      </c>
      <c r="U1389" s="46" t="s">
        <v>299</v>
      </c>
      <c r="V1389" s="46" t="s">
        <v>299</v>
      </c>
      <c r="W1389" s="46" t="s">
        <v>37</v>
      </c>
      <c r="X1389" s="46" t="s">
        <v>299</v>
      </c>
      <c r="Y1389" s="46" t="s">
        <v>299</v>
      </c>
      <c r="Z1389" s="46" t="s">
        <v>299</v>
      </c>
      <c r="AA1389" s="46" t="s">
        <v>299</v>
      </c>
      <c r="AB1389" s="46" t="s">
        <v>299</v>
      </c>
      <c r="AC1389" s="46" t="s">
        <v>299</v>
      </c>
      <c r="AD1389" s="46" t="s">
        <v>37</v>
      </c>
      <c r="AE1389" s="46" t="s">
        <v>299</v>
      </c>
      <c r="AF1389" s="46" t="s">
        <v>299</v>
      </c>
      <c r="AG1389" s="46" t="s">
        <v>299</v>
      </c>
      <c r="AH1389" s="46" t="s">
        <v>43</v>
      </c>
      <c r="AI1389" s="46" t="s">
        <v>299</v>
      </c>
      <c r="AJ1389" s="46">
        <f>=SUM(E1390:AI1390)</f>
      </c>
      <c r="AK1389" s="46">
        <f>=+AY1389</f>
      </c>
      <c r="AL1389" s="46"/>
      <c r="AM1389" s="1"/>
      <c r="AN1389" s="1">
        <f>=COUNTIF(E1389:AI1389,"A")+COUNTIF(E1389:AI1389,"B")+COUNTIF(E1389:AI1389,"C")+COUNTIF(E1389:AI1389,"D")+COUNTIF(E1389:AI1389,"E")+COUNTIF(E1389:AI1389,"F")+COUNTIF(E1389:AI1389,"M")+COUNTIF(E1389:AI1389,"AB")+COUNTIF(E1389:AI1389,"UZ")+COUNTIF(E1389:AI1389,"G")+(COUNTIF(E1389:AI1389,"RT.")/2)+(COUNTIF(E1389:AI1389,"ÇRT.")/2)</f>
      </c>
      <c r="AO1389" s="1">
        <f>=COUNTIF(E1389:AI1389,"O")</f>
      </c>
      <c r="AP1389" s="1">
        <f>=COUNTIF(E1389:AI1389,"RT")+(COUNTIF(E1389:AI1389,"RT.")/2)</f>
      </c>
      <c r="AQ1389" s="1">
        <f>=COUNTIF(E1389:AI1389,"ÇRT")+(COUNTIF(E1389:AI1389,"ÇRT.")/2)</f>
      </c>
      <c r="AR1389" s="1">
        <f>=COUNTIF(E1389:AI1389,"ÇHT")</f>
      </c>
      <c r="AS1389" s="1">
        <f>=COUNTIF(E1389:AI1389,"Ö")+COUNTIF(E1389:AI1389,"T")</f>
      </c>
      <c r="AT1389" s="1">
        <f>=COUNTIF(E1389:AI1389,"Y")</f>
      </c>
      <c r="AU1389" s="1">
        <f>=COUNTIF(E1389:AI1389,"R.")</f>
      </c>
      <c r="AV1389" s="1">
        <f>=COUNTIF(E1389:AI1389,"Ü")</f>
      </c>
      <c r="AW1389" s="1">
        <f>=COUNTIF(E1389:AI1389,"R")</f>
      </c>
      <c r="AX1389" s="1">
        <f>=COUNTIF(E1389:AI1389,"DV")</f>
      </c>
      <c r="AY1389" s="1">
        <f>=+AN1389+AO1389+AP1389+AQ1389+AR1389+AS1389+AT1389+AU1389</f>
      </c>
    </row>
    <row r="1390" ht="16" customHeight="1" spans="1:51" x14ac:dyDescent="0.25">
      <c r="A1390" s="45"/>
      <c r="B1390" s="46"/>
      <c r="C1390" s="46"/>
      <c r="D1390" s="46" t="s">
        <v>33</v>
      </c>
      <c r="E1390" s="46">
        <v>2</v>
      </c>
      <c r="F1390" s="46">
        <v>2</v>
      </c>
      <c r="G1390" s="46">
        <v>2</v>
      </c>
      <c r="H1390" s="46">
        <v>2</v>
      </c>
      <c r="I1390" s="46"/>
      <c r="J1390" s="46">
        <v>2</v>
      </c>
      <c r="K1390" s="46">
        <v>2</v>
      </c>
      <c r="L1390" s="46">
        <v>2</v>
      </c>
      <c r="M1390" s="46">
        <v>2</v>
      </c>
      <c r="N1390" s="46">
        <v>2</v>
      </c>
      <c r="O1390" s="46">
        <v>2</v>
      </c>
      <c r="P1390" s="46"/>
      <c r="Q1390" s="46">
        <v>2</v>
      </c>
      <c r="R1390" s="46">
        <v>2</v>
      </c>
      <c r="S1390" s="46">
        <v>2</v>
      </c>
      <c r="T1390" s="46">
        <v>2</v>
      </c>
      <c r="U1390" s="46">
        <v>2</v>
      </c>
      <c r="V1390" s="46">
        <v>2</v>
      </c>
      <c r="W1390" s="46"/>
      <c r="X1390" s="46">
        <v>2</v>
      </c>
      <c r="Y1390" s="46">
        <v>2</v>
      </c>
      <c r="Z1390" s="46">
        <v>2</v>
      </c>
      <c r="AA1390" s="46">
        <v>2</v>
      </c>
      <c r="AB1390" s="46">
        <v>2</v>
      </c>
      <c r="AC1390" s="46">
        <v>2</v>
      </c>
      <c r="AD1390" s="46"/>
      <c r="AE1390" s="46">
        <v>2</v>
      </c>
      <c r="AF1390" s="46">
        <v>2</v>
      </c>
      <c r="AG1390" s="46">
        <v>2</v>
      </c>
      <c r="AH1390" s="46">
        <v>2</v>
      </c>
      <c r="AI1390" s="46">
        <v>2</v>
      </c>
      <c r="AJ1390" s="46"/>
      <c r="AK1390" s="46"/>
      <c r="AL1390" s="46"/>
      <c r="AM1390" s="1"/>
      <c r="AN1390" s="1"/>
      <c r="AO1390" s="1"/>
      <c r="AP1390" s="1"/>
      <c r="AQ1390" s="1"/>
      <c r="AR1390" s="1"/>
      <c r="AS1390" s="1"/>
      <c r="AT1390" s="1"/>
      <c r="AU1390" s="1"/>
      <c r="AV1390" s="1"/>
      <c r="AW1390" s="1"/>
      <c r="AX1390" s="1"/>
      <c r="AY1390" s="1"/>
    </row>
    <row r="1391" ht="16" customHeight="1" spans="1:51" x14ac:dyDescent="0.25">
      <c r="A1391" s="45"/>
      <c r="B1391" s="46" t="s">
        <v>1443</v>
      </c>
      <c r="C1391" s="46" t="s">
        <v>1444</v>
      </c>
      <c r="D1391" s="46" t="s">
        <v>29</v>
      </c>
      <c r="E1391" s="46"/>
      <c r="F1391" s="46"/>
      <c r="G1391" s="46"/>
      <c r="H1391" s="46"/>
      <c r="I1391" s="46"/>
      <c r="J1391" s="46"/>
      <c r="K1391" s="46"/>
      <c r="L1391" s="46"/>
      <c r="M1391" s="46"/>
      <c r="N1391" s="46"/>
      <c r="O1391" s="46"/>
      <c r="P1391" s="46"/>
      <c r="Q1391" s="46"/>
      <c r="R1391" s="46"/>
      <c r="S1391" s="46"/>
      <c r="T1391" s="46"/>
      <c r="U1391" s="46"/>
      <c r="V1391" s="46"/>
      <c r="W1391" s="46"/>
      <c r="X1391" s="46" t="s">
        <v>36</v>
      </c>
      <c r="Y1391" s="46" t="s">
        <v>36</v>
      </c>
      <c r="Z1391" s="46" t="s">
        <v>36</v>
      </c>
      <c r="AA1391" s="46" t="s">
        <v>36</v>
      </c>
      <c r="AB1391" s="46" t="s">
        <v>36</v>
      </c>
      <c r="AC1391" s="46" t="s">
        <v>36</v>
      </c>
      <c r="AD1391" s="46" t="s">
        <v>36</v>
      </c>
      <c r="AE1391" s="46" t="s">
        <v>37</v>
      </c>
      <c r="AF1391" s="46" t="s">
        <v>36</v>
      </c>
      <c r="AG1391" s="46" t="s">
        <v>36</v>
      </c>
      <c r="AH1391" s="46" t="s">
        <v>43</v>
      </c>
      <c r="AI1391" s="46" t="s">
        <v>36</v>
      </c>
      <c r="AJ1391" s="46">
        <f>=SUM(E1392:AI1392)</f>
      </c>
      <c r="AK1391" s="46">
        <f>=+AY1391</f>
      </c>
      <c r="AL1391" s="46"/>
      <c r="AM1391" s="1"/>
      <c r="AN1391" s="1">
        <f>=COUNTIF(E1391:AI1391,"A")+COUNTIF(E1391:AI1391,"B")+COUNTIF(E1391:AI1391,"C")+COUNTIF(E1391:AI1391,"D")+COUNTIF(E1391:AI1391,"E")+COUNTIF(E1391:AI1391,"F")+COUNTIF(E1391:AI1391,"M")+COUNTIF(E1391:AI1391,"AB")+COUNTIF(E1391:AI1391,"UZ")+COUNTIF(E1391:AI1391,"G")+(COUNTIF(E1391:AI1391,"RT.")/2)+(COUNTIF(E1391:AI1391,"ÇRT.")/2)</f>
      </c>
      <c r="AO1391" s="1">
        <f>=COUNTIF(E1391:AI1391,"O")</f>
      </c>
      <c r="AP1391" s="1">
        <f>=COUNTIF(E1391:AI1391,"RT")+(COUNTIF(E1391:AI1391,"RT.")/2)</f>
      </c>
      <c r="AQ1391" s="1">
        <f>=COUNTIF(E1391:AI1391,"ÇRT")+(COUNTIF(E1391:AI1391,"ÇRT.")/2)</f>
      </c>
      <c r="AR1391" s="1">
        <f>=COUNTIF(E1391:AI1391,"ÇHT")</f>
      </c>
      <c r="AS1391" s="1">
        <f>=COUNTIF(E1391:AI1391,"Ö")+COUNTIF(E1391:AI1391,"T")</f>
      </c>
      <c r="AT1391" s="1">
        <f>=COUNTIF(E1391:AI1391,"Y")</f>
      </c>
      <c r="AU1391" s="1">
        <f>=COUNTIF(E1391:AI1391,"R.")</f>
      </c>
      <c r="AV1391" s="1">
        <f>=COUNTIF(E1391:AI1391,"Ü")</f>
      </c>
      <c r="AW1391" s="1">
        <f>=COUNTIF(E1391:AI1391,"R")</f>
      </c>
      <c r="AX1391" s="1">
        <f>=COUNTIF(E1391:AI1391,"DV")</f>
      </c>
      <c r="AY1391" s="1">
        <f>=+AN1391+AO1391+AP1391+AQ1391+AR1391+AS1391+AT1391+AU1391</f>
      </c>
    </row>
    <row r="1392" ht="16" customHeight="1" spans="1:51" x14ac:dyDescent="0.25">
      <c r="A1392" s="45"/>
      <c r="B1392" s="46"/>
      <c r="C1392" s="46"/>
      <c r="D1392" s="46" t="s">
        <v>33</v>
      </c>
      <c r="E1392" s="46"/>
      <c r="F1392" s="46"/>
      <c r="G1392" s="46"/>
      <c r="H1392" s="46"/>
      <c r="I1392" s="46"/>
      <c r="J1392" s="46"/>
      <c r="K1392" s="46"/>
      <c r="L1392" s="46"/>
      <c r="M1392" s="46"/>
      <c r="N1392" s="46"/>
      <c r="O1392" s="46"/>
      <c r="P1392" s="46"/>
      <c r="Q1392" s="46"/>
      <c r="R1392" s="46"/>
      <c r="S1392" s="46"/>
      <c r="T1392" s="46"/>
      <c r="U1392" s="46"/>
      <c r="V1392" s="46"/>
      <c r="W1392" s="46"/>
      <c r="X1392" s="46"/>
      <c r="Y1392" s="46"/>
      <c r="Z1392" s="46"/>
      <c r="AA1392" s="46"/>
      <c r="AB1392" s="46"/>
      <c r="AC1392" s="46"/>
      <c r="AD1392" s="46"/>
      <c r="AE1392" s="46"/>
      <c r="AF1392" s="46"/>
      <c r="AG1392" s="46"/>
      <c r="AH1392" s="46">
        <v>1</v>
      </c>
      <c r="AI1392" s="46"/>
      <c r="AJ1392" s="46"/>
      <c r="AK1392" s="46"/>
      <c r="AL1392" s="46"/>
      <c r="AM1392" s="1"/>
      <c r="AN1392" s="1"/>
      <c r="AO1392" s="1"/>
      <c r="AP1392" s="1"/>
      <c r="AQ1392" s="1"/>
      <c r="AR1392" s="1"/>
      <c r="AS1392" s="1"/>
      <c r="AT1392" s="1"/>
      <c r="AU1392" s="1"/>
      <c r="AV1392" s="1"/>
      <c r="AW1392" s="1"/>
      <c r="AX1392" s="1"/>
      <c r="AY1392" s="1"/>
    </row>
    <row r="1393" ht="16" customHeight="1" spans="1:51" x14ac:dyDescent="0.25">
      <c r="A1393" s="45"/>
      <c r="B1393" s="46" t="s">
        <v>1445</v>
      </c>
      <c r="C1393" s="46" t="s">
        <v>1446</v>
      </c>
      <c r="D1393" s="46" t="s">
        <v>29</v>
      </c>
      <c r="E1393" s="46"/>
      <c r="F1393" s="46"/>
      <c r="G1393" s="46"/>
      <c r="H1393" s="46"/>
      <c r="I1393" s="46"/>
      <c r="J1393" s="46"/>
      <c r="K1393" s="46"/>
      <c r="L1393" s="46"/>
      <c r="M1393" s="46"/>
      <c r="N1393" s="46"/>
      <c r="O1393" s="46"/>
      <c r="P1393" s="46"/>
      <c r="Q1393" s="46"/>
      <c r="R1393" s="46"/>
      <c r="S1393" s="46"/>
      <c r="T1393" s="46"/>
      <c r="U1393" s="46"/>
      <c r="V1393" s="46"/>
      <c r="W1393" s="46"/>
      <c r="X1393" s="46"/>
      <c r="Y1393" s="46"/>
      <c r="Z1393" s="46"/>
      <c r="AA1393" s="46"/>
      <c r="AB1393" s="46"/>
      <c r="AC1393" s="46" t="s">
        <v>36</v>
      </c>
      <c r="AD1393" s="46" t="s">
        <v>36</v>
      </c>
      <c r="AE1393" s="46" t="s">
        <v>36</v>
      </c>
      <c r="AF1393" s="46" t="s">
        <v>59</v>
      </c>
      <c r="AG1393" s="46" t="s">
        <v>59</v>
      </c>
      <c r="AH1393" s="46" t="s">
        <v>43</v>
      </c>
      <c r="AI1393" s="46" t="s">
        <v>59</v>
      </c>
      <c r="AJ1393" s="46">
        <f>=SUM(E1394:AI1394)</f>
      </c>
      <c r="AK1393" s="46">
        <f>=+AY1393</f>
      </c>
      <c r="AL1393" s="46"/>
      <c r="AM1393" s="1"/>
      <c r="AN1393" s="1">
        <f>=COUNTIF(E1393:AI1393,"A")+COUNTIF(E1393:AI1393,"B")+COUNTIF(E1393:AI1393,"C")+COUNTIF(E1393:AI1393,"D")+COUNTIF(E1393:AI1393,"E")+COUNTIF(E1393:AI1393,"F")+COUNTIF(E1393:AI1393,"M")+COUNTIF(E1393:AI1393,"AB")+COUNTIF(E1393:AI1393,"UZ")+COUNTIF(E1393:AI1393,"G")+(COUNTIF(E1393:AI1393,"RT.")/2)+(COUNTIF(E1393:AI1393,"ÇRT.")/2)</f>
      </c>
      <c r="AO1393" s="1">
        <f>=COUNTIF(E1393:AI1393,"O")</f>
      </c>
      <c r="AP1393" s="1">
        <f>=COUNTIF(E1393:AI1393,"RT")+(COUNTIF(E1393:AI1393,"RT.")/2)</f>
      </c>
      <c r="AQ1393" s="1">
        <f>=COUNTIF(E1393:AI1393,"ÇRT")+(COUNTIF(E1393:AI1393,"ÇRT.")/2)</f>
      </c>
      <c r="AR1393" s="1">
        <f>=COUNTIF(E1393:AI1393,"ÇHT")</f>
      </c>
      <c r="AS1393" s="1">
        <f>=COUNTIF(E1393:AI1393,"Ö")+COUNTIF(E1393:AI1393,"T")</f>
      </c>
      <c r="AT1393" s="1">
        <f>=COUNTIF(E1393:AI1393,"Y")</f>
      </c>
      <c r="AU1393" s="1">
        <f>=COUNTIF(E1393:AI1393,"R.")</f>
      </c>
      <c r="AV1393" s="1">
        <f>=COUNTIF(E1393:AI1393,"Ü")</f>
      </c>
      <c r="AW1393" s="1">
        <f>=COUNTIF(E1393:AI1393,"R")</f>
      </c>
      <c r="AX1393" s="1">
        <f>=COUNTIF(E1393:AI1393,"DV")</f>
      </c>
      <c r="AY1393" s="1">
        <f>=+AN1393+AO1393+AP1393+AQ1393+AR1393+AS1393+AT1393+AU1393</f>
      </c>
    </row>
    <row r="1394" ht="16" customHeight="1" spans="1:51" x14ac:dyDescent="0.25">
      <c r="A1394" s="45"/>
      <c r="B1394" s="46"/>
      <c r="C1394" s="46"/>
      <c r="D1394" s="46" t="s">
        <v>33</v>
      </c>
      <c r="E1394" s="46"/>
      <c r="F1394" s="46"/>
      <c r="G1394" s="46"/>
      <c r="H1394" s="46"/>
      <c r="I1394" s="46"/>
      <c r="J1394" s="46"/>
      <c r="K1394" s="46"/>
      <c r="L1394" s="46"/>
      <c r="M1394" s="46"/>
      <c r="N1394" s="46"/>
      <c r="O1394" s="46"/>
      <c r="P1394" s="46"/>
      <c r="Q1394" s="46"/>
      <c r="R1394" s="46"/>
      <c r="S1394" s="46"/>
      <c r="T1394" s="46"/>
      <c r="U1394" s="46"/>
      <c r="V1394" s="46"/>
      <c r="W1394" s="46"/>
      <c r="X1394" s="46"/>
      <c r="Y1394" s="46"/>
      <c r="Z1394" s="46"/>
      <c r="AA1394" s="46"/>
      <c r="AB1394" s="46"/>
      <c r="AC1394" s="46"/>
      <c r="AD1394" s="46"/>
      <c r="AE1394" s="46"/>
      <c r="AF1394" s="46"/>
      <c r="AG1394" s="46"/>
      <c r="AH1394" s="46"/>
      <c r="AI1394" s="46"/>
      <c r="AJ1394" s="46"/>
      <c r="AK1394" s="46"/>
      <c r="AL1394" s="46"/>
      <c r="AM1394" s="1"/>
      <c r="AN1394" s="1"/>
      <c r="AO1394" s="1"/>
      <c r="AP1394" s="1"/>
      <c r="AQ1394" s="1"/>
      <c r="AR1394" s="1"/>
      <c r="AS1394" s="1"/>
      <c r="AT1394" s="1"/>
      <c r="AU1394" s="1"/>
      <c r="AV1394" s="1"/>
      <c r="AW1394" s="1"/>
      <c r="AX1394" s="1"/>
      <c r="AY1394" s="1"/>
    </row>
    <row r="1395" ht="16" customHeight="1" spans="1:51" x14ac:dyDescent="0.25">
      <c r="A1395" s="45"/>
      <c r="B1395" s="46" t="s">
        <v>1447</v>
      </c>
      <c r="C1395" s="46" t="s">
        <v>1448</v>
      </c>
      <c r="D1395" s="46" t="s">
        <v>29</v>
      </c>
      <c r="E1395" s="46"/>
      <c r="F1395" s="46"/>
      <c r="G1395" s="46"/>
      <c r="H1395" s="46"/>
      <c r="I1395" s="46"/>
      <c r="J1395" s="46"/>
      <c r="K1395" s="46"/>
      <c r="L1395" s="46"/>
      <c r="M1395" s="46"/>
      <c r="N1395" s="46"/>
      <c r="O1395" s="46"/>
      <c r="P1395" s="46"/>
      <c r="Q1395" s="46"/>
      <c r="R1395" s="46"/>
      <c r="S1395" s="46"/>
      <c r="T1395" s="46"/>
      <c r="U1395" s="46"/>
      <c r="V1395" s="46"/>
      <c r="W1395" s="46"/>
      <c r="X1395" s="46"/>
      <c r="Y1395" s="46"/>
      <c r="Z1395" s="46"/>
      <c r="AA1395" s="46"/>
      <c r="AB1395" s="46"/>
      <c r="AC1395" s="46"/>
      <c r="AD1395" s="46"/>
      <c r="AE1395" s="46"/>
      <c r="AF1395" s="46"/>
      <c r="AG1395" s="46"/>
      <c r="AH1395" s="46"/>
      <c r="AI1395" s="46"/>
      <c r="AJ1395" s="46">
        <f>=SUM(E1396:AI1396)</f>
      </c>
      <c r="AK1395" s="46">
        <f>=+AY1395</f>
      </c>
      <c r="AL1395" s="46"/>
      <c r="AM1395" s="1"/>
      <c r="AN1395" s="1">
        <f>=COUNTIF(E1395:AI1395,"A")+COUNTIF(E1395:AI1395,"B")+COUNTIF(E1395:AI1395,"C")+COUNTIF(E1395:AI1395,"D")+COUNTIF(E1395:AI1395,"E")+COUNTIF(E1395:AI1395,"F")+COUNTIF(E1395:AI1395,"M")+COUNTIF(E1395:AI1395,"AB")+COUNTIF(E1395:AI1395,"UZ")+COUNTIF(E1395:AI1395,"G")+(COUNTIF(E1395:AI1395,"RT.")/2)+(COUNTIF(E1395:AI1395,"ÇRT.")/2)</f>
      </c>
      <c r="AO1395" s="1">
        <f>=COUNTIF(E1395:AI1395,"O")</f>
      </c>
      <c r="AP1395" s="1">
        <f>=COUNTIF(E1395:AI1395,"RT")+(COUNTIF(E1395:AI1395,"RT.")/2)</f>
      </c>
      <c r="AQ1395" s="1">
        <f>=COUNTIF(E1395:AI1395,"ÇRT")+(COUNTIF(E1395:AI1395,"ÇRT.")/2)</f>
      </c>
      <c r="AR1395" s="1">
        <f>=COUNTIF(E1395:AI1395,"ÇHT")</f>
      </c>
      <c r="AS1395" s="1">
        <f>=COUNTIF(E1395:AI1395,"Ö")+COUNTIF(E1395:AI1395,"T")</f>
      </c>
      <c r="AT1395" s="1">
        <f>=COUNTIF(E1395:AI1395,"Y")</f>
      </c>
      <c r="AU1395" s="1">
        <f>=COUNTIF(E1395:AI1395,"R.")</f>
      </c>
      <c r="AV1395" s="1">
        <f>=COUNTIF(E1395:AI1395,"Ü")</f>
      </c>
      <c r="AW1395" s="1">
        <f>=COUNTIF(E1395:AI1395,"R")</f>
      </c>
      <c r="AX1395" s="1">
        <f>=COUNTIF(E1395:AI1395,"DV")</f>
      </c>
      <c r="AY1395" s="1">
        <f>=+AN1395+AO1395+AP1395+AQ1395+AR1395+AS1395+AT1395+AU1395</f>
      </c>
    </row>
    <row r="1396" ht="16" customHeight="1" spans="1:51" x14ac:dyDescent="0.25">
      <c r="A1396" s="45"/>
      <c r="B1396" s="46"/>
      <c r="C1396" s="46"/>
      <c r="D1396" s="46" t="s">
        <v>33</v>
      </c>
      <c r="E1396" s="46"/>
      <c r="F1396" s="46"/>
      <c r="G1396" s="46"/>
      <c r="H1396" s="46"/>
      <c r="I1396" s="46"/>
      <c r="J1396" s="46"/>
      <c r="K1396" s="46"/>
      <c r="L1396" s="46"/>
      <c r="M1396" s="46"/>
      <c r="N1396" s="46"/>
      <c r="O1396" s="46"/>
      <c r="P1396" s="46"/>
      <c r="Q1396" s="46"/>
      <c r="R1396" s="46"/>
      <c r="S1396" s="46"/>
      <c r="T1396" s="46"/>
      <c r="U1396" s="46"/>
      <c r="V1396" s="46"/>
      <c r="W1396" s="46"/>
      <c r="X1396" s="46"/>
      <c r="Y1396" s="46"/>
      <c r="Z1396" s="46"/>
      <c r="AA1396" s="46"/>
      <c r="AB1396" s="46"/>
      <c r="AC1396" s="46"/>
      <c r="AD1396" s="46"/>
      <c r="AE1396" s="46"/>
      <c r="AF1396" s="46"/>
      <c r="AG1396" s="46"/>
      <c r="AH1396" s="46"/>
      <c r="AI1396" s="46"/>
      <c r="AJ1396" s="46"/>
      <c r="AK1396" s="46"/>
      <c r="AL1396" s="46"/>
      <c r="AM1396" s="1"/>
      <c r="AN1396" s="1"/>
      <c r="AO1396" s="1"/>
      <c r="AP1396" s="1"/>
      <c r="AQ1396" s="1"/>
      <c r="AR1396" s="1"/>
      <c r="AS1396" s="1"/>
      <c r="AT1396" s="1"/>
      <c r="AU1396" s="1"/>
      <c r="AV1396" s="1"/>
      <c r="AW1396" s="1"/>
      <c r="AX1396" s="1"/>
      <c r="AY1396" s="1"/>
    </row>
    <row r="1397" ht="16" customHeight="1" spans="1:51" x14ac:dyDescent="0.25">
      <c r="A1397" s="45"/>
      <c r="B1397" s="46" t="s">
        <v>1449</v>
      </c>
      <c r="C1397" s="46" t="s">
        <v>1450</v>
      </c>
      <c r="D1397" s="46" t="s">
        <v>29</v>
      </c>
      <c r="E1397" s="46" t="s">
        <v>59</v>
      </c>
      <c r="F1397" s="46" t="s">
        <v>59</v>
      </c>
      <c r="G1397" s="46" t="s">
        <v>59</v>
      </c>
      <c r="H1397" s="46" t="s">
        <v>59</v>
      </c>
      <c r="I1397" s="46" t="s">
        <v>37</v>
      </c>
      <c r="J1397" s="46" t="s">
        <v>59</v>
      </c>
      <c r="K1397" s="46" t="s">
        <v>59</v>
      </c>
      <c r="L1397" s="46" t="s">
        <v>59</v>
      </c>
      <c r="M1397" s="46" t="s">
        <v>59</v>
      </c>
      <c r="N1397" s="46" t="s">
        <v>59</v>
      </c>
      <c r="O1397" s="46" t="s">
        <v>59</v>
      </c>
      <c r="P1397" s="46" t="s">
        <v>37</v>
      </c>
      <c r="Q1397" s="46" t="s">
        <v>59</v>
      </c>
      <c r="R1397" s="46" t="s">
        <v>59</v>
      </c>
      <c r="S1397" s="46" t="s">
        <v>59</v>
      </c>
      <c r="T1397" s="46" t="s">
        <v>59</v>
      </c>
      <c r="U1397" s="46" t="s">
        <v>59</v>
      </c>
      <c r="V1397" s="46" t="s">
        <v>59</v>
      </c>
      <c r="W1397" s="46" t="s">
        <v>37</v>
      </c>
      <c r="X1397" s="46" t="s">
        <v>59</v>
      </c>
      <c r="Y1397" s="46" t="s">
        <v>59</v>
      </c>
      <c r="Z1397" s="46" t="s">
        <v>59</v>
      </c>
      <c r="AA1397" s="46" t="s">
        <v>59</v>
      </c>
      <c r="AB1397" s="46" t="s">
        <v>59</v>
      </c>
      <c r="AC1397" s="46" t="s">
        <v>59</v>
      </c>
      <c r="AD1397" s="46" t="s">
        <v>37</v>
      </c>
      <c r="AE1397" s="46" t="s">
        <v>59</v>
      </c>
      <c r="AF1397" s="46" t="s">
        <v>59</v>
      </c>
      <c r="AG1397" s="46" t="s">
        <v>59</v>
      </c>
      <c r="AH1397" s="46" t="s">
        <v>31</v>
      </c>
      <c r="AI1397" s="46" t="s">
        <v>31</v>
      </c>
      <c r="AJ1397" s="46">
        <f>=SUM(E1398:AI1398)</f>
      </c>
      <c r="AK1397" s="46">
        <f>=+AY1397</f>
      </c>
      <c r="AL1397" s="46"/>
      <c r="AM1397" s="1"/>
      <c r="AN1397" s="1">
        <f>=COUNTIF(E1397:AI1397,"A")+COUNTIF(E1397:AI1397,"B")+COUNTIF(E1397:AI1397,"C")+COUNTIF(E1397:AI1397,"D")+COUNTIF(E1397:AI1397,"E")+COUNTIF(E1397:AI1397,"F")+COUNTIF(E1397:AI1397,"M")+COUNTIF(E1397:AI1397,"AB")+COUNTIF(E1397:AI1397,"UZ")+COUNTIF(E1397:AI1397,"G")+(COUNTIF(E1397:AI1397,"RT.")/2)+(COUNTIF(E1397:AI1397,"ÇRT.")/2)</f>
      </c>
      <c r="AO1397" s="1">
        <f>=COUNTIF(E1397:AI1397,"O")</f>
      </c>
      <c r="AP1397" s="1">
        <f>=COUNTIF(E1397:AI1397,"RT")+(COUNTIF(E1397:AI1397,"RT.")/2)</f>
      </c>
      <c r="AQ1397" s="1">
        <f>=COUNTIF(E1397:AI1397,"ÇRT")+(COUNTIF(E1397:AI1397,"ÇRT.")/2)</f>
      </c>
      <c r="AR1397" s="1">
        <f>=COUNTIF(E1397:AI1397,"ÇHT")</f>
      </c>
      <c r="AS1397" s="1">
        <f>=COUNTIF(E1397:AI1397,"Ö")+COUNTIF(E1397:AI1397,"T")</f>
      </c>
      <c r="AT1397" s="1">
        <f>=COUNTIF(E1397:AI1397,"Y")</f>
      </c>
      <c r="AU1397" s="1">
        <f>=COUNTIF(E1397:AI1397,"R.")</f>
      </c>
      <c r="AV1397" s="1">
        <f>=COUNTIF(E1397:AI1397,"Ü")</f>
      </c>
      <c r="AW1397" s="1">
        <f>=COUNTIF(E1397:AI1397,"R")</f>
      </c>
      <c r="AX1397" s="1">
        <f>=COUNTIF(E1397:AI1397,"DV")</f>
      </c>
      <c r="AY1397" s="1">
        <f>=+AN1397+AO1397+AP1397+AQ1397+AR1397+AS1397+AT1397+AU1397</f>
      </c>
    </row>
    <row r="1398" ht="16" customHeight="1" spans="1:51" x14ac:dyDescent="0.25">
      <c r="A1398" s="45"/>
      <c r="B1398" s="46"/>
      <c r="C1398" s="46"/>
      <c r="D1398" s="46" t="s">
        <v>33</v>
      </c>
      <c r="E1398" s="46"/>
      <c r="F1398" s="46"/>
      <c r="G1398" s="46"/>
      <c r="H1398" s="46"/>
      <c r="I1398" s="46"/>
      <c r="J1398" s="46"/>
      <c r="K1398" s="46"/>
      <c r="L1398" s="46"/>
      <c r="M1398" s="46"/>
      <c r="N1398" s="46"/>
      <c r="O1398" s="46"/>
      <c r="P1398" s="46"/>
      <c r="Q1398" s="46">
        <v>2</v>
      </c>
      <c r="R1398" s="46">
        <v>2</v>
      </c>
      <c r="S1398" s="46">
        <v>2</v>
      </c>
      <c r="T1398" s="46"/>
      <c r="U1398" s="46"/>
      <c r="V1398" s="46">
        <v>2</v>
      </c>
      <c r="W1398" s="46"/>
      <c r="X1398" s="46"/>
      <c r="Y1398" s="46">
        <v>2</v>
      </c>
      <c r="Z1398" s="46"/>
      <c r="AA1398" s="46">
        <v>2</v>
      </c>
      <c r="AB1398" s="46"/>
      <c r="AC1398" s="46">
        <v>2</v>
      </c>
      <c r="AD1398" s="46"/>
      <c r="AE1398" s="46"/>
      <c r="AF1398" s="46">
        <v>2</v>
      </c>
      <c r="AG1398" s="46"/>
      <c r="AH1398" s="46"/>
      <c r="AI1398" s="46"/>
      <c r="AJ1398" s="46"/>
      <c r="AK1398" s="46"/>
      <c r="AL1398" s="46"/>
      <c r="AM1398" s="1"/>
      <c r="AN1398" s="1"/>
      <c r="AO1398" s="1"/>
      <c r="AP1398" s="1"/>
      <c r="AQ1398" s="1"/>
      <c r="AR1398" s="1"/>
      <c r="AS1398" s="1"/>
      <c r="AT1398" s="1"/>
      <c r="AU1398" s="1"/>
      <c r="AV1398" s="1"/>
      <c r="AW1398" s="1"/>
      <c r="AX1398" s="1"/>
      <c r="AY1398" s="1"/>
    </row>
    <row r="1399" ht="16" customHeight="1" spans="1:51" x14ac:dyDescent="0.25">
      <c r="A1399" s="45"/>
      <c r="B1399" s="46" t="s">
        <v>1451</v>
      </c>
      <c r="C1399" s="46" t="s">
        <v>1452</v>
      </c>
      <c r="D1399" s="46" t="s">
        <v>29</v>
      </c>
      <c r="E1399" s="46" t="s">
        <v>41</v>
      </c>
      <c r="F1399" s="46" t="s">
        <v>41</v>
      </c>
      <c r="G1399" s="46" t="s">
        <v>37</v>
      </c>
      <c r="H1399" s="46" t="s">
        <v>41</v>
      </c>
      <c r="I1399" s="46" t="s">
        <v>41</v>
      </c>
      <c r="J1399" s="46" t="s">
        <v>41</v>
      </c>
      <c r="K1399" s="46" t="s">
        <v>41</v>
      </c>
      <c r="L1399" s="46" t="s">
        <v>41</v>
      </c>
      <c r="M1399" s="46" t="s">
        <v>41</v>
      </c>
      <c r="N1399" s="46" t="s">
        <v>41</v>
      </c>
      <c r="O1399" s="46" t="s">
        <v>41</v>
      </c>
      <c r="P1399" s="46" t="s">
        <v>41</v>
      </c>
      <c r="Q1399" s="46" t="s">
        <v>37</v>
      </c>
      <c r="R1399" s="46" t="s">
        <v>41</v>
      </c>
      <c r="S1399" s="46" t="s">
        <v>41</v>
      </c>
      <c r="T1399" s="46" t="s">
        <v>41</v>
      </c>
      <c r="U1399" s="46" t="s">
        <v>41</v>
      </c>
      <c r="V1399" s="46" t="s">
        <v>41</v>
      </c>
      <c r="W1399" s="46" t="s">
        <v>41</v>
      </c>
      <c r="X1399" s="46" t="s">
        <v>37</v>
      </c>
      <c r="Y1399" s="46" t="s">
        <v>41</v>
      </c>
      <c r="Z1399" s="46" t="s">
        <v>41</v>
      </c>
      <c r="AA1399" s="46" t="s">
        <v>41</v>
      </c>
      <c r="AB1399" s="46" t="s">
        <v>41</v>
      </c>
      <c r="AC1399" s="46" t="s">
        <v>41</v>
      </c>
      <c r="AD1399" s="46" t="s">
        <v>41</v>
      </c>
      <c r="AE1399" s="46" t="s">
        <v>37</v>
      </c>
      <c r="AF1399" s="46" t="s">
        <v>41</v>
      </c>
      <c r="AG1399" s="46" t="s">
        <v>41</v>
      </c>
      <c r="AH1399" s="46" t="s">
        <v>43</v>
      </c>
      <c r="AI1399" s="46" t="s">
        <v>41</v>
      </c>
      <c r="AJ1399" s="46">
        <f>=SUM(E1400:AI1400)</f>
      </c>
      <c r="AK1399" s="46">
        <f>=+AY1399</f>
      </c>
      <c r="AL1399" s="46"/>
      <c r="AM1399" s="1"/>
      <c r="AN1399" s="1">
        <f>=COUNTIF(E1399:AI1399,"A")+COUNTIF(E1399:AI1399,"B")+COUNTIF(E1399:AI1399,"C")+COUNTIF(E1399:AI1399,"D")+COUNTIF(E1399:AI1399,"E")+COUNTIF(E1399:AI1399,"F")+COUNTIF(E1399:AI1399,"M")+COUNTIF(E1399:AI1399,"AB")+COUNTIF(E1399:AI1399,"UZ")+COUNTIF(E1399:AI1399,"G")+(COUNTIF(E1399:AI1399,"RT.")/2)+(COUNTIF(E1399:AI1399,"ÇRT.")/2)</f>
      </c>
      <c r="AO1399" s="1">
        <f>=COUNTIF(E1399:AI1399,"O")</f>
      </c>
      <c r="AP1399" s="1">
        <f>=COUNTIF(E1399:AI1399,"RT")+(COUNTIF(E1399:AI1399,"RT.")/2)</f>
      </c>
      <c r="AQ1399" s="1">
        <f>=COUNTIF(E1399:AI1399,"ÇRT")+(COUNTIF(E1399:AI1399,"ÇRT.")/2)</f>
      </c>
      <c r="AR1399" s="1">
        <f>=COUNTIF(E1399:AI1399,"ÇHT")</f>
      </c>
      <c r="AS1399" s="1">
        <f>=COUNTIF(E1399:AI1399,"Ö")+COUNTIF(E1399:AI1399,"T")</f>
      </c>
      <c r="AT1399" s="1">
        <f>=COUNTIF(E1399:AI1399,"Y")</f>
      </c>
      <c r="AU1399" s="1">
        <f>=COUNTIF(E1399:AI1399,"R.")</f>
      </c>
      <c r="AV1399" s="1">
        <f>=COUNTIF(E1399:AI1399,"Ü")</f>
      </c>
      <c r="AW1399" s="1">
        <f>=COUNTIF(E1399:AI1399,"R")</f>
      </c>
      <c r="AX1399" s="1">
        <f>=COUNTIF(E1399:AI1399,"DV")</f>
      </c>
      <c r="AY1399" s="1">
        <f>=+AN1399+AO1399+AP1399+AQ1399+AR1399+AS1399+AT1399+AU1399</f>
      </c>
    </row>
    <row r="1400" ht="16" customHeight="1" spans="1:51" x14ac:dyDescent="0.25">
      <c r="A1400" s="45"/>
      <c r="B1400" s="46"/>
      <c r="C1400" s="46"/>
      <c r="D1400" s="46" t="s">
        <v>33</v>
      </c>
      <c r="E1400" s="46"/>
      <c r="F1400" s="46"/>
      <c r="G1400" s="46"/>
      <c r="H1400" s="46"/>
      <c r="I1400" s="46"/>
      <c r="J1400" s="46"/>
      <c r="K1400" s="46"/>
      <c r="L1400" s="46"/>
      <c r="M1400" s="46"/>
      <c r="N1400" s="46"/>
      <c r="O1400" s="46"/>
      <c r="P1400" s="46"/>
      <c r="Q1400" s="46"/>
      <c r="R1400" s="46"/>
      <c r="S1400" s="46"/>
      <c r="T1400" s="46"/>
      <c r="U1400" s="46"/>
      <c r="V1400" s="46"/>
      <c r="W1400" s="46"/>
      <c r="X1400" s="46"/>
      <c r="Y1400" s="46"/>
      <c r="Z1400" s="46"/>
      <c r="AA1400" s="46"/>
      <c r="AB1400" s="46"/>
      <c r="AC1400" s="46"/>
      <c r="AD1400" s="46"/>
      <c r="AE1400" s="46"/>
      <c r="AF1400" s="46"/>
      <c r="AG1400" s="46"/>
      <c r="AH1400" s="46"/>
      <c r="AI1400" s="46"/>
      <c r="AJ1400" s="46"/>
      <c r="AK1400" s="46"/>
      <c r="AL1400" s="46"/>
      <c r="AM1400" s="1"/>
      <c r="AN1400" s="1"/>
      <c r="AO1400" s="1"/>
      <c r="AP1400" s="1"/>
      <c r="AQ1400" s="1"/>
      <c r="AR1400" s="1"/>
      <c r="AS1400" s="1"/>
      <c r="AT1400" s="1"/>
      <c r="AU1400" s="1"/>
      <c r="AV1400" s="1"/>
      <c r="AW1400" s="1"/>
      <c r="AX1400" s="1"/>
      <c r="AY1400" s="1"/>
    </row>
    <row r="1401" ht="16" customHeight="1" spans="1:51" x14ac:dyDescent="0.25">
      <c r="A1401" s="45"/>
      <c r="B1401" s="46" t="s">
        <v>1453</v>
      </c>
      <c r="C1401" s="46" t="s">
        <v>1454</v>
      </c>
      <c r="D1401" s="46" t="s">
        <v>29</v>
      </c>
      <c r="E1401" s="46" t="s">
        <v>59</v>
      </c>
      <c r="F1401" s="46" t="s">
        <v>59</v>
      </c>
      <c r="G1401" s="46" t="s">
        <v>59</v>
      </c>
      <c r="H1401" s="46" t="s">
        <v>1348</v>
      </c>
      <c r="I1401" s="46" t="s">
        <v>37</v>
      </c>
      <c r="J1401" s="46" t="s">
        <v>59</v>
      </c>
      <c r="K1401" s="46" t="s">
        <v>59</v>
      </c>
      <c r="L1401" s="46" t="s">
        <v>59</v>
      </c>
      <c r="M1401" s="46" t="s">
        <v>59</v>
      </c>
      <c r="N1401" s="46" t="s">
        <v>59</v>
      </c>
      <c r="O1401" s="46" t="s">
        <v>1348</v>
      </c>
      <c r="P1401" s="46" t="s">
        <v>37</v>
      </c>
      <c r="Q1401" s="46" t="s">
        <v>1348</v>
      </c>
      <c r="R1401" s="46" t="s">
        <v>59</v>
      </c>
      <c r="S1401" s="46" t="s">
        <v>59</v>
      </c>
      <c r="T1401" s="46" t="s">
        <v>59</v>
      </c>
      <c r="U1401" s="46" t="s">
        <v>59</v>
      </c>
      <c r="V1401" s="46" t="s">
        <v>1348</v>
      </c>
      <c r="W1401" s="46" t="s">
        <v>37</v>
      </c>
      <c r="X1401" s="46" t="s">
        <v>1348</v>
      </c>
      <c r="Y1401" s="46" t="s">
        <v>59</v>
      </c>
      <c r="Z1401" s="46" t="s">
        <v>59</v>
      </c>
      <c r="AA1401" s="46" t="s">
        <v>59</v>
      </c>
      <c r="AB1401" s="46" t="s">
        <v>59</v>
      </c>
      <c r="AC1401" s="46" t="s">
        <v>1348</v>
      </c>
      <c r="AD1401" s="46" t="s">
        <v>37</v>
      </c>
      <c r="AE1401" s="46" t="s">
        <v>59</v>
      </c>
      <c r="AF1401" s="46" t="s">
        <v>59</v>
      </c>
      <c r="AG1401" s="46" t="s">
        <v>59</v>
      </c>
      <c r="AH1401" s="46" t="s">
        <v>43</v>
      </c>
      <c r="AI1401" s="46" t="s">
        <v>37</v>
      </c>
      <c r="AJ1401" s="46">
        <f>=SUM(E1402:AI1402)</f>
      </c>
      <c r="AK1401" s="46">
        <f>=+AY1401</f>
      </c>
      <c r="AL1401" s="46"/>
      <c r="AM1401" s="1"/>
      <c r="AN1401" s="1">
        <f>=COUNTIF(E1401:AI1401,"A")+COUNTIF(E1401:AI1401,"B")+COUNTIF(E1401:AI1401,"C")+COUNTIF(E1401:AI1401,"D")+COUNTIF(E1401:AI1401,"E")+COUNTIF(E1401:AI1401,"F")+COUNTIF(E1401:AI1401,"M")+COUNTIF(E1401:AI1401,"AB")+COUNTIF(E1401:AI1401,"UZ")+COUNTIF(E1401:AI1401,"G")+(COUNTIF(E1401:AI1401,"RT.")/2)+(COUNTIF(E1401:AI1401,"ÇRT.")/2)</f>
      </c>
      <c r="AO1401" s="1">
        <f>=COUNTIF(E1401:AI1401,"O")</f>
      </c>
      <c r="AP1401" s="1">
        <f>=COUNTIF(E1401:AI1401,"RT")+(COUNTIF(E1401:AI1401,"RT.")/2)</f>
      </c>
      <c r="AQ1401" s="1">
        <f>=COUNTIF(E1401:AI1401,"ÇRT")+(COUNTIF(E1401:AI1401,"ÇRT.")/2)</f>
      </c>
      <c r="AR1401" s="1">
        <f>=COUNTIF(E1401:AI1401,"ÇHT")</f>
      </c>
      <c r="AS1401" s="1">
        <f>=COUNTIF(E1401:AI1401,"Ö")+COUNTIF(E1401:AI1401,"T")</f>
      </c>
      <c r="AT1401" s="1">
        <f>=COUNTIF(E1401:AI1401,"Y")</f>
      </c>
      <c r="AU1401" s="1">
        <f>=COUNTIF(E1401:AI1401,"R.")</f>
      </c>
      <c r="AV1401" s="1">
        <f>=COUNTIF(E1401:AI1401,"Ü")</f>
      </c>
      <c r="AW1401" s="1">
        <f>=COUNTIF(E1401:AI1401,"R")</f>
      </c>
      <c r="AX1401" s="1">
        <f>=COUNTIF(E1401:AI1401,"DV")</f>
      </c>
      <c r="AY1401" s="1">
        <f>=+AN1401+AO1401+AP1401+AQ1401+AR1401+AS1401+AT1401+AU1401</f>
      </c>
    </row>
    <row r="1402" ht="16" customHeight="1" spans="1:51" x14ac:dyDescent="0.25">
      <c r="A1402" s="45"/>
      <c r="B1402" s="46"/>
      <c r="C1402" s="46"/>
      <c r="D1402" s="46" t="s">
        <v>33</v>
      </c>
      <c r="E1402" s="46">
        <v>2</v>
      </c>
      <c r="F1402" s="46">
        <v>2</v>
      </c>
      <c r="G1402" s="46">
        <v>2</v>
      </c>
      <c r="H1402" s="46"/>
      <c r="I1402" s="46"/>
      <c r="J1402" s="46"/>
      <c r="K1402" s="46">
        <v>2</v>
      </c>
      <c r="L1402" s="46">
        <v>2</v>
      </c>
      <c r="M1402" s="46">
        <v>2</v>
      </c>
      <c r="N1402" s="46">
        <v>2</v>
      </c>
      <c r="O1402" s="46"/>
      <c r="P1402" s="46"/>
      <c r="Q1402" s="46"/>
      <c r="R1402" s="46">
        <v>2</v>
      </c>
      <c r="S1402" s="46">
        <v>2</v>
      </c>
      <c r="T1402" s="46">
        <v>2</v>
      </c>
      <c r="U1402" s="46">
        <v>2</v>
      </c>
      <c r="V1402" s="46"/>
      <c r="W1402" s="46"/>
      <c r="X1402" s="46"/>
      <c r="Y1402" s="46">
        <v>2</v>
      </c>
      <c r="Z1402" s="46">
        <v>2</v>
      </c>
      <c r="AA1402" s="46">
        <v>2</v>
      </c>
      <c r="AB1402" s="46">
        <v>2</v>
      </c>
      <c r="AC1402" s="46">
        <v>2</v>
      </c>
      <c r="AD1402" s="46"/>
      <c r="AE1402" s="46">
        <v>2</v>
      </c>
      <c r="AF1402" s="46">
        <v>2</v>
      </c>
      <c r="AG1402" s="46">
        <v>2</v>
      </c>
      <c r="AH1402" s="46">
        <v>2</v>
      </c>
      <c r="AI1402" s="46"/>
      <c r="AJ1402" s="46"/>
      <c r="AK1402" s="46"/>
      <c r="AL1402" s="46"/>
      <c r="AM1402" s="1"/>
      <c r="AN1402" s="1"/>
      <c r="AO1402" s="1"/>
      <c r="AP1402" s="1"/>
      <c r="AQ1402" s="1"/>
      <c r="AR1402" s="1"/>
      <c r="AS1402" s="1"/>
      <c r="AT1402" s="1"/>
      <c r="AU1402" s="1"/>
      <c r="AV1402" s="1"/>
      <c r="AW1402" s="1"/>
      <c r="AX1402" s="1"/>
      <c r="AY1402" s="1"/>
    </row>
    <row r="1403" ht="16" customHeight="1" spans="1:51" x14ac:dyDescent="0.25">
      <c r="A1403" s="45"/>
      <c r="B1403" s="46" t="s">
        <v>1455</v>
      </c>
      <c r="C1403" s="46" t="s">
        <v>1456</v>
      </c>
      <c r="D1403" s="46" t="s">
        <v>29</v>
      </c>
      <c r="E1403" s="46" t="s">
        <v>36</v>
      </c>
      <c r="F1403" s="46" t="s">
        <v>36</v>
      </c>
      <c r="G1403" s="46" t="s">
        <v>299</v>
      </c>
      <c r="H1403" s="46" t="s">
        <v>36</v>
      </c>
      <c r="I1403" s="46" t="s">
        <v>36</v>
      </c>
      <c r="J1403" s="46" t="s">
        <v>36</v>
      </c>
      <c r="K1403" s="46" t="s">
        <v>37</v>
      </c>
      <c r="L1403" s="46" t="s">
        <v>36</v>
      </c>
      <c r="M1403" s="46" t="s">
        <v>36</v>
      </c>
      <c r="N1403" s="46" t="s">
        <v>299</v>
      </c>
      <c r="O1403" s="46" t="s">
        <v>36</v>
      </c>
      <c r="P1403" s="46" t="s">
        <v>299</v>
      </c>
      <c r="Q1403" s="46" t="s">
        <v>36</v>
      </c>
      <c r="R1403" s="46" t="s">
        <v>37</v>
      </c>
      <c r="S1403" s="46" t="s">
        <v>36</v>
      </c>
      <c r="T1403" s="46" t="s">
        <v>36</v>
      </c>
      <c r="U1403" s="46" t="s">
        <v>299</v>
      </c>
      <c r="V1403" s="46" t="s">
        <v>36</v>
      </c>
      <c r="W1403" s="46" t="s">
        <v>299</v>
      </c>
      <c r="X1403" s="46" t="s">
        <v>36</v>
      </c>
      <c r="Y1403" s="46" t="s">
        <v>37</v>
      </c>
      <c r="Z1403" s="46" t="s">
        <v>36</v>
      </c>
      <c r="AA1403" s="46" t="s">
        <v>36</v>
      </c>
      <c r="AB1403" s="46" t="s">
        <v>299</v>
      </c>
      <c r="AC1403" s="46" t="s">
        <v>36</v>
      </c>
      <c r="AD1403" s="46" t="s">
        <v>299</v>
      </c>
      <c r="AE1403" s="46" t="s">
        <v>36</v>
      </c>
      <c r="AF1403" s="46" t="s">
        <v>37</v>
      </c>
      <c r="AG1403" s="46" t="s">
        <v>36</v>
      </c>
      <c r="AH1403" s="46" t="s">
        <v>43</v>
      </c>
      <c r="AI1403" s="46" t="s">
        <v>299</v>
      </c>
      <c r="AJ1403" s="46">
        <f>=SUM(E1404:AI1404)</f>
      </c>
      <c r="AK1403" s="46">
        <f>=+AY1403</f>
      </c>
      <c r="AL1403" s="46"/>
      <c r="AM1403" s="1"/>
      <c r="AN1403" s="1">
        <f>=COUNTIF(E1403:AI1403,"A")+COUNTIF(E1403:AI1403,"B")+COUNTIF(E1403:AI1403,"C")+COUNTIF(E1403:AI1403,"D")+COUNTIF(E1403:AI1403,"E")+COUNTIF(E1403:AI1403,"F")+COUNTIF(E1403:AI1403,"M")+COUNTIF(E1403:AI1403,"AB")+COUNTIF(E1403:AI1403,"UZ")+COUNTIF(E1403:AI1403,"G")+(COUNTIF(E1403:AI1403,"RT.")/2)+(COUNTIF(E1403:AI1403,"ÇRT.")/2)</f>
      </c>
      <c r="AO1403" s="1">
        <f>=COUNTIF(E1403:AI1403,"O")</f>
      </c>
      <c r="AP1403" s="1">
        <f>=COUNTIF(E1403:AI1403,"RT")+(COUNTIF(E1403:AI1403,"RT.")/2)</f>
      </c>
      <c r="AQ1403" s="1">
        <f>=COUNTIF(E1403:AI1403,"ÇRT")+(COUNTIF(E1403:AI1403,"ÇRT.")/2)</f>
      </c>
      <c r="AR1403" s="1">
        <f>=COUNTIF(E1403:AI1403,"ÇHT")</f>
      </c>
      <c r="AS1403" s="1">
        <f>=COUNTIF(E1403:AI1403,"Ö")+COUNTIF(E1403:AI1403,"T")</f>
      </c>
      <c r="AT1403" s="1">
        <f>=COUNTIF(E1403:AI1403,"Y")</f>
      </c>
      <c r="AU1403" s="1">
        <f>=COUNTIF(E1403:AI1403,"R.")</f>
      </c>
      <c r="AV1403" s="1">
        <f>=COUNTIF(E1403:AI1403,"Ü")</f>
      </c>
      <c r="AW1403" s="1">
        <f>=COUNTIF(E1403:AI1403,"R")</f>
      </c>
      <c r="AX1403" s="1">
        <f>=COUNTIF(E1403:AI1403,"DV")</f>
      </c>
      <c r="AY1403" s="1">
        <f>=+AN1403+AO1403+AP1403+AQ1403+AR1403+AS1403+AT1403+AU1403</f>
      </c>
    </row>
    <row r="1404" ht="16" customHeight="1" spans="1:51" x14ac:dyDescent="0.25">
      <c r="A1404" s="45"/>
      <c r="B1404" s="46"/>
      <c r="C1404" s="46"/>
      <c r="D1404" s="46" t="s">
        <v>33</v>
      </c>
      <c r="E1404" s="46"/>
      <c r="F1404" s="46"/>
      <c r="G1404" s="46">
        <v>2</v>
      </c>
      <c r="H1404" s="46"/>
      <c r="I1404" s="46">
        <v>2</v>
      </c>
      <c r="J1404" s="46"/>
      <c r="K1404" s="46"/>
      <c r="L1404" s="46"/>
      <c r="M1404" s="46"/>
      <c r="N1404" s="46">
        <v>2</v>
      </c>
      <c r="O1404" s="46"/>
      <c r="P1404" s="46">
        <v>2</v>
      </c>
      <c r="Q1404" s="46"/>
      <c r="R1404" s="46"/>
      <c r="S1404" s="46"/>
      <c r="T1404" s="46"/>
      <c r="U1404" s="46">
        <v>2</v>
      </c>
      <c r="V1404" s="46"/>
      <c r="W1404" s="46">
        <v>2</v>
      </c>
      <c r="X1404" s="46"/>
      <c r="Y1404" s="46"/>
      <c r="Z1404" s="46"/>
      <c r="AA1404" s="46"/>
      <c r="AB1404" s="46">
        <v>2</v>
      </c>
      <c r="AC1404" s="46"/>
      <c r="AD1404" s="46">
        <v>2</v>
      </c>
      <c r="AE1404" s="46"/>
      <c r="AF1404" s="46"/>
      <c r="AG1404" s="46"/>
      <c r="AH1404" s="46">
        <v>1</v>
      </c>
      <c r="AI1404" s="46">
        <v>2</v>
      </c>
      <c r="AJ1404" s="46"/>
      <c r="AK1404" s="46"/>
      <c r="AL1404" s="46"/>
      <c r="AM1404" s="1"/>
      <c r="AN1404" s="1"/>
      <c r="AO1404" s="1"/>
      <c r="AP1404" s="1"/>
      <c r="AQ1404" s="1"/>
      <c r="AR1404" s="1"/>
      <c r="AS1404" s="1"/>
      <c r="AT1404" s="1"/>
      <c r="AU1404" s="1"/>
      <c r="AV1404" s="1"/>
      <c r="AW1404" s="1"/>
      <c r="AX1404" s="1"/>
      <c r="AY1404" s="1"/>
    </row>
    <row r="1405" ht="16" customHeight="1" spans="1:51" x14ac:dyDescent="0.25">
      <c r="A1405" s="45"/>
      <c r="B1405" s="46" t="s">
        <v>1457</v>
      </c>
      <c r="C1405" s="46" t="s">
        <v>1458</v>
      </c>
      <c r="D1405" s="46" t="s">
        <v>29</v>
      </c>
      <c r="E1405" s="46" t="s">
        <v>59</v>
      </c>
      <c r="F1405" s="46" t="s">
        <v>59</v>
      </c>
      <c r="G1405" s="46" t="s">
        <v>46</v>
      </c>
      <c r="H1405" s="46" t="s">
        <v>299</v>
      </c>
      <c r="I1405" s="46" t="s">
        <v>299</v>
      </c>
      <c r="J1405" s="46" t="s">
        <v>36</v>
      </c>
      <c r="K1405" s="46" t="s">
        <v>37</v>
      </c>
      <c r="L1405" s="46" t="s">
        <v>36</v>
      </c>
      <c r="M1405" s="46" t="s">
        <v>299</v>
      </c>
      <c r="N1405" s="46" t="s">
        <v>299</v>
      </c>
      <c r="O1405" s="46" t="s">
        <v>299</v>
      </c>
      <c r="P1405" s="46" t="s">
        <v>299</v>
      </c>
      <c r="Q1405" s="46" t="s">
        <v>36</v>
      </c>
      <c r="R1405" s="46" t="s">
        <v>37</v>
      </c>
      <c r="S1405" s="46" t="s">
        <v>31</v>
      </c>
      <c r="T1405" s="46" t="s">
        <v>36</v>
      </c>
      <c r="U1405" s="46" t="s">
        <v>299</v>
      </c>
      <c r="V1405" s="46" t="s">
        <v>299</v>
      </c>
      <c r="W1405" s="46" t="s">
        <v>299</v>
      </c>
      <c r="X1405" s="46" t="s">
        <v>299</v>
      </c>
      <c r="Y1405" s="46" t="s">
        <v>37</v>
      </c>
      <c r="Z1405" s="46" t="s">
        <v>36</v>
      </c>
      <c r="AA1405" s="46" t="s">
        <v>36</v>
      </c>
      <c r="AB1405" s="46" t="s">
        <v>299</v>
      </c>
      <c r="AC1405" s="46" t="s">
        <v>299</v>
      </c>
      <c r="AD1405" s="46" t="s">
        <v>299</v>
      </c>
      <c r="AE1405" s="46" t="s">
        <v>36</v>
      </c>
      <c r="AF1405" s="46" t="s">
        <v>37</v>
      </c>
      <c r="AG1405" s="46" t="s">
        <v>36</v>
      </c>
      <c r="AH1405" s="46" t="s">
        <v>43</v>
      </c>
      <c r="AI1405" s="46" t="s">
        <v>299</v>
      </c>
      <c r="AJ1405" s="46">
        <f>=SUM(E1406:AI1406)</f>
      </c>
      <c r="AK1405" s="46">
        <f>=+AY1405</f>
      </c>
      <c r="AL1405" s="46"/>
      <c r="AM1405" s="1"/>
      <c r="AN1405" s="1">
        <f>=COUNTIF(E1405:AI1405,"A")+COUNTIF(E1405:AI1405,"B")+COUNTIF(E1405:AI1405,"C")+COUNTIF(E1405:AI1405,"D")+COUNTIF(E1405:AI1405,"E")+COUNTIF(E1405:AI1405,"F")+COUNTIF(E1405:AI1405,"M")+COUNTIF(E1405:AI1405,"AB")+COUNTIF(E1405:AI1405,"UZ")+COUNTIF(E1405:AI1405,"G")+(COUNTIF(E1405:AI1405,"RT.")/2)+(COUNTIF(E1405:AI1405,"ÇRT.")/2)</f>
      </c>
      <c r="AO1405" s="1">
        <f>=COUNTIF(E1405:AI1405,"O")</f>
      </c>
      <c r="AP1405" s="1">
        <f>=COUNTIF(E1405:AI1405,"RT")+(COUNTIF(E1405:AI1405,"RT.")/2)</f>
      </c>
      <c r="AQ1405" s="1">
        <f>=COUNTIF(E1405:AI1405,"ÇRT")+(COUNTIF(E1405:AI1405,"ÇRT.")/2)</f>
      </c>
      <c r="AR1405" s="1">
        <f>=COUNTIF(E1405:AI1405,"ÇHT")</f>
      </c>
      <c r="AS1405" s="1">
        <f>=COUNTIF(E1405:AI1405,"Ö")+COUNTIF(E1405:AI1405,"T")</f>
      </c>
      <c r="AT1405" s="1">
        <f>=COUNTIF(E1405:AI1405,"Y")</f>
      </c>
      <c r="AU1405" s="1">
        <f>=COUNTIF(E1405:AI1405,"R.")</f>
      </c>
      <c r="AV1405" s="1">
        <f>=COUNTIF(E1405:AI1405,"Ü")</f>
      </c>
      <c r="AW1405" s="1">
        <f>=COUNTIF(E1405:AI1405,"R")</f>
      </c>
      <c r="AX1405" s="1">
        <f>=COUNTIF(E1405:AI1405,"DV")</f>
      </c>
      <c r="AY1405" s="1">
        <f>=+AN1405+AO1405+AP1405+AQ1405+AR1405+AS1405+AT1405+AU1405</f>
      </c>
    </row>
    <row r="1406" ht="16" customHeight="1" spans="1:51" x14ac:dyDescent="0.25">
      <c r="A1406" s="45"/>
      <c r="B1406" s="46"/>
      <c r="C1406" s="46"/>
      <c r="D1406" s="46" t="s">
        <v>33</v>
      </c>
      <c r="E1406" s="46">
        <v>1</v>
      </c>
      <c r="F1406" s="46"/>
      <c r="G1406" s="46">
        <v>2</v>
      </c>
      <c r="H1406" s="46">
        <v>2</v>
      </c>
      <c r="I1406" s="46">
        <v>2</v>
      </c>
      <c r="J1406" s="46"/>
      <c r="K1406" s="46"/>
      <c r="L1406" s="46"/>
      <c r="M1406" s="46"/>
      <c r="N1406" s="46">
        <v>2</v>
      </c>
      <c r="O1406" s="46">
        <v>2</v>
      </c>
      <c r="P1406" s="46">
        <v>2</v>
      </c>
      <c r="Q1406" s="46"/>
      <c r="R1406" s="46"/>
      <c r="S1406" s="46"/>
      <c r="T1406" s="46"/>
      <c r="U1406" s="46">
        <v>2</v>
      </c>
      <c r="V1406" s="46">
        <v>2</v>
      </c>
      <c r="W1406" s="46">
        <v>2</v>
      </c>
      <c r="X1406" s="46">
        <v>2</v>
      </c>
      <c r="Y1406" s="46"/>
      <c r="Z1406" s="46"/>
      <c r="AA1406" s="46"/>
      <c r="AB1406" s="46">
        <v>2</v>
      </c>
      <c r="AC1406" s="46">
        <v>2</v>
      </c>
      <c r="AD1406" s="46">
        <v>2</v>
      </c>
      <c r="AE1406" s="46"/>
      <c r="AF1406" s="46"/>
      <c r="AG1406" s="46"/>
      <c r="AH1406" s="46"/>
      <c r="AI1406" s="46">
        <v>2</v>
      </c>
      <c r="AJ1406" s="46"/>
      <c r="AK1406" s="46"/>
      <c r="AL1406" s="46"/>
      <c r="AM1406" s="1"/>
      <c r="AN1406" s="1"/>
      <c r="AO1406" s="1"/>
      <c r="AP1406" s="1"/>
      <c r="AQ1406" s="1"/>
      <c r="AR1406" s="1"/>
      <c r="AS1406" s="1"/>
      <c r="AT1406" s="1"/>
      <c r="AU1406" s="1"/>
      <c r="AV1406" s="1"/>
      <c r="AW1406" s="1"/>
      <c r="AX1406" s="1"/>
      <c r="AY1406" s="1"/>
    </row>
    <row r="1407" ht="16" customHeight="1" spans="1:51" x14ac:dyDescent="0.25">
      <c r="A1407" s="45"/>
      <c r="B1407" s="46" t="s">
        <v>1459</v>
      </c>
      <c r="C1407" s="46" t="s">
        <v>1460</v>
      </c>
      <c r="D1407" s="46" t="s">
        <v>29</v>
      </c>
      <c r="E1407" s="46" t="s">
        <v>59</v>
      </c>
      <c r="F1407" s="46" t="s">
        <v>59</v>
      </c>
      <c r="G1407" s="46" t="s">
        <v>46</v>
      </c>
      <c r="H1407" s="46" t="s">
        <v>299</v>
      </c>
      <c r="I1407" s="46" t="s">
        <v>36</v>
      </c>
      <c r="J1407" s="46" t="s">
        <v>36</v>
      </c>
      <c r="K1407" s="46" t="s">
        <v>37</v>
      </c>
      <c r="L1407" s="46" t="s">
        <v>36</v>
      </c>
      <c r="M1407" s="46" t="s">
        <v>36</v>
      </c>
      <c r="N1407" s="46"/>
      <c r="O1407" s="46"/>
      <c r="P1407" s="46"/>
      <c r="Q1407" s="46"/>
      <c r="R1407" s="46"/>
      <c r="S1407" s="46"/>
      <c r="T1407" s="46"/>
      <c r="U1407" s="46"/>
      <c r="V1407" s="46"/>
      <c r="W1407" s="46"/>
      <c r="X1407" s="46"/>
      <c r="Y1407" s="46"/>
      <c r="Z1407" s="46"/>
      <c r="AA1407" s="46"/>
      <c r="AB1407" s="46"/>
      <c r="AC1407" s="46"/>
      <c r="AD1407" s="46"/>
      <c r="AE1407" s="46"/>
      <c r="AF1407" s="46"/>
      <c r="AG1407" s="46"/>
      <c r="AH1407" s="46"/>
      <c r="AI1407" s="46"/>
      <c r="AJ1407" s="46">
        <f>=SUM(E1408:AI1408)</f>
      </c>
      <c r="AK1407" s="46">
        <f>=+AY1407</f>
      </c>
      <c r="AL1407" s="46"/>
      <c r="AM1407" s="1"/>
      <c r="AN1407" s="1">
        <f>=COUNTIF(E1407:AI1407,"A")+COUNTIF(E1407:AI1407,"B")+COUNTIF(E1407:AI1407,"C")+COUNTIF(E1407:AI1407,"D")+COUNTIF(E1407:AI1407,"E")+COUNTIF(E1407:AI1407,"F")+COUNTIF(E1407:AI1407,"M")+COUNTIF(E1407:AI1407,"AB")+COUNTIF(E1407:AI1407,"UZ")+COUNTIF(E1407:AI1407,"G")+(COUNTIF(E1407:AI1407,"RT.")/2)+(COUNTIF(E1407:AI1407,"ÇRT.")/2)</f>
      </c>
      <c r="AO1407" s="1">
        <f>=COUNTIF(E1407:AI1407,"O")</f>
      </c>
      <c r="AP1407" s="1">
        <f>=COUNTIF(E1407:AI1407,"RT")+(COUNTIF(E1407:AI1407,"RT.")/2)</f>
      </c>
      <c r="AQ1407" s="1">
        <f>=COUNTIF(E1407:AI1407,"ÇRT")+(COUNTIF(E1407:AI1407,"ÇRT.")/2)</f>
      </c>
      <c r="AR1407" s="1">
        <f>=COUNTIF(E1407:AI1407,"ÇHT")</f>
      </c>
      <c r="AS1407" s="1">
        <f>=COUNTIF(E1407:AI1407,"Ö")+COUNTIF(E1407:AI1407,"T")</f>
      </c>
      <c r="AT1407" s="1">
        <f>=COUNTIF(E1407:AI1407,"Y")</f>
      </c>
      <c r="AU1407" s="1">
        <f>=COUNTIF(E1407:AI1407,"R.")</f>
      </c>
      <c r="AV1407" s="1">
        <f>=COUNTIF(E1407:AI1407,"Ü")</f>
      </c>
      <c r="AW1407" s="1">
        <f>=COUNTIF(E1407:AI1407,"R")</f>
      </c>
      <c r="AX1407" s="1">
        <f>=COUNTIF(E1407:AI1407,"DV")</f>
      </c>
      <c r="AY1407" s="1">
        <f>=+AN1407+AO1407+AP1407+AQ1407+AR1407+AS1407+AT1407+AU1407</f>
      </c>
    </row>
    <row r="1408" ht="16" customHeight="1" spans="1:51" x14ac:dyDescent="0.25">
      <c r="A1408" s="45"/>
      <c r="B1408" s="46"/>
      <c r="C1408" s="46"/>
      <c r="D1408" s="46" t="s">
        <v>33</v>
      </c>
      <c r="E1408" s="46"/>
      <c r="F1408" s="46"/>
      <c r="G1408" s="46">
        <v>2</v>
      </c>
      <c r="H1408" s="46">
        <v>2</v>
      </c>
      <c r="I1408" s="46"/>
      <c r="J1408" s="46"/>
      <c r="K1408" s="46"/>
      <c r="L1408" s="46"/>
      <c r="M1408" s="46">
        <v>2</v>
      </c>
      <c r="N1408" s="46"/>
      <c r="O1408" s="46"/>
      <c r="P1408" s="46"/>
      <c r="Q1408" s="46"/>
      <c r="R1408" s="46"/>
      <c r="S1408" s="46"/>
      <c r="T1408" s="46"/>
      <c r="U1408" s="46"/>
      <c r="V1408" s="46"/>
      <c r="W1408" s="46"/>
      <c r="X1408" s="46"/>
      <c r="Y1408" s="46"/>
      <c r="Z1408" s="46"/>
      <c r="AA1408" s="46"/>
      <c r="AB1408" s="46"/>
      <c r="AC1408" s="46"/>
      <c r="AD1408" s="46"/>
      <c r="AE1408" s="46"/>
      <c r="AF1408" s="46"/>
      <c r="AG1408" s="46"/>
      <c r="AH1408" s="46"/>
      <c r="AI1408" s="46"/>
      <c r="AJ1408" s="46"/>
      <c r="AK1408" s="46"/>
      <c r="AL1408" s="46"/>
      <c r="AM1408" s="1"/>
      <c r="AN1408" s="1"/>
      <c r="AO1408" s="1"/>
      <c r="AP1408" s="1"/>
      <c r="AQ1408" s="1"/>
      <c r="AR1408" s="1"/>
      <c r="AS1408" s="1"/>
      <c r="AT1408" s="1"/>
      <c r="AU1408" s="1"/>
      <c r="AV1408" s="1"/>
      <c r="AW1408" s="1"/>
      <c r="AX1408" s="1"/>
      <c r="AY1408" s="1"/>
    </row>
    <row r="1409" ht="16" customHeight="1" spans="1:51" x14ac:dyDescent="0.25">
      <c r="A1409" s="45"/>
      <c r="B1409" s="46" t="s">
        <v>1461</v>
      </c>
      <c r="C1409" s="46" t="s">
        <v>1462</v>
      </c>
      <c r="D1409" s="46" t="s">
        <v>29</v>
      </c>
      <c r="E1409" s="46" t="s">
        <v>31</v>
      </c>
      <c r="F1409" s="46" t="s">
        <v>31</v>
      </c>
      <c r="G1409" s="46" t="s">
        <v>32</v>
      </c>
      <c r="H1409" s="46" t="s">
        <v>32</v>
      </c>
      <c r="I1409" s="46" t="s">
        <v>32</v>
      </c>
      <c r="J1409" s="46" t="s">
        <v>31</v>
      </c>
      <c r="K1409" s="46" t="s">
        <v>31</v>
      </c>
      <c r="L1409" s="46" t="s">
        <v>32</v>
      </c>
      <c r="M1409" s="46" t="s">
        <v>32</v>
      </c>
      <c r="N1409" s="46" t="s">
        <v>32</v>
      </c>
      <c r="O1409" s="46" t="s">
        <v>31</v>
      </c>
      <c r="P1409" s="46" t="s">
        <v>31</v>
      </c>
      <c r="Q1409" s="46" t="s">
        <v>32</v>
      </c>
      <c r="R1409" s="46" t="s">
        <v>36</v>
      </c>
      <c r="S1409" s="46"/>
      <c r="T1409" s="46"/>
      <c r="U1409" s="46"/>
      <c r="V1409" s="46"/>
      <c r="W1409" s="46"/>
      <c r="X1409" s="46"/>
      <c r="Y1409" s="46"/>
      <c r="Z1409" s="46"/>
      <c r="AA1409" s="46"/>
      <c r="AB1409" s="46"/>
      <c r="AC1409" s="46"/>
      <c r="AD1409" s="46"/>
      <c r="AE1409" s="46"/>
      <c r="AF1409" s="46"/>
      <c r="AG1409" s="46"/>
      <c r="AH1409" s="46"/>
      <c r="AI1409" s="46"/>
      <c r="AJ1409" s="46">
        <f>=SUM(E1410:AI1410)</f>
      </c>
      <c r="AK1409" s="46">
        <f>=+AY1409</f>
      </c>
      <c r="AL1409" s="46"/>
      <c r="AM1409" s="1"/>
      <c r="AN1409" s="1">
        <f>=COUNTIF(E1409:AI1409,"A")+COUNTIF(E1409:AI1409,"B")+COUNTIF(E1409:AI1409,"C")+COUNTIF(E1409:AI1409,"D")+COUNTIF(E1409:AI1409,"E")+COUNTIF(E1409:AI1409,"F")+COUNTIF(E1409:AI1409,"M")+COUNTIF(E1409:AI1409,"AB")+COUNTIF(E1409:AI1409,"UZ")+COUNTIF(E1409:AI1409,"G")+(COUNTIF(E1409:AI1409,"RT.")/2)+(COUNTIF(E1409:AI1409,"ÇRT.")/2)</f>
      </c>
      <c r="AO1409" s="1">
        <f>=COUNTIF(E1409:AI1409,"O")</f>
      </c>
      <c r="AP1409" s="1">
        <f>=COUNTIF(E1409:AI1409,"RT")+(COUNTIF(E1409:AI1409,"RT.")/2)</f>
      </c>
      <c r="AQ1409" s="1">
        <f>=COUNTIF(E1409:AI1409,"ÇRT")+(COUNTIF(E1409:AI1409,"ÇRT.")/2)</f>
      </c>
      <c r="AR1409" s="1">
        <f>=COUNTIF(E1409:AI1409,"ÇHT")</f>
      </c>
      <c r="AS1409" s="1">
        <f>=COUNTIF(E1409:AI1409,"Ö")+COUNTIF(E1409:AI1409,"T")</f>
      </c>
      <c r="AT1409" s="1">
        <f>=COUNTIF(E1409:AI1409,"Y")</f>
      </c>
      <c r="AU1409" s="1">
        <f>=COUNTIF(E1409:AI1409,"R.")</f>
      </c>
      <c r="AV1409" s="1">
        <f>=COUNTIF(E1409:AI1409,"Ü")</f>
      </c>
      <c r="AW1409" s="1">
        <f>=COUNTIF(E1409:AI1409,"R")</f>
      </c>
      <c r="AX1409" s="1">
        <f>=COUNTIF(E1409:AI1409,"DV")</f>
      </c>
      <c r="AY1409" s="1">
        <f>=+AN1409+AO1409+AP1409+AQ1409+AR1409+AS1409+AT1409+AU1409</f>
      </c>
    </row>
    <row r="1410" ht="16" customHeight="1" spans="1:51" x14ac:dyDescent="0.25">
      <c r="A1410" s="45"/>
      <c r="B1410" s="46"/>
      <c r="C1410" s="46"/>
      <c r="D1410" s="46" t="s">
        <v>33</v>
      </c>
      <c r="E1410" s="46"/>
      <c r="F1410" s="46"/>
      <c r="G1410" s="46"/>
      <c r="H1410" s="46"/>
      <c r="I1410" s="46"/>
      <c r="J1410" s="46"/>
      <c r="K1410" s="46"/>
      <c r="L1410" s="46"/>
      <c r="M1410" s="46"/>
      <c r="N1410" s="46"/>
      <c r="O1410" s="46"/>
      <c r="P1410" s="46"/>
      <c r="Q1410" s="46"/>
      <c r="R1410" s="46"/>
      <c r="S1410" s="46"/>
      <c r="T1410" s="46"/>
      <c r="U1410" s="46"/>
      <c r="V1410" s="46"/>
      <c r="W1410" s="46"/>
      <c r="X1410" s="46"/>
      <c r="Y1410" s="46"/>
      <c r="Z1410" s="46"/>
      <c r="AA1410" s="46"/>
      <c r="AB1410" s="46"/>
      <c r="AC1410" s="46"/>
      <c r="AD1410" s="46"/>
      <c r="AE1410" s="46"/>
      <c r="AF1410" s="46"/>
      <c r="AG1410" s="46"/>
      <c r="AH1410" s="46"/>
      <c r="AI1410" s="46"/>
      <c r="AJ1410" s="46"/>
      <c r="AK1410" s="46"/>
      <c r="AL1410" s="46"/>
      <c r="AM1410" s="1"/>
      <c r="AN1410" s="1"/>
      <c r="AO1410" s="1"/>
      <c r="AP1410" s="1"/>
      <c r="AQ1410" s="1"/>
      <c r="AR1410" s="1"/>
      <c r="AS1410" s="1"/>
      <c r="AT1410" s="1"/>
      <c r="AU1410" s="1"/>
      <c r="AV1410" s="1"/>
      <c r="AW1410" s="1"/>
      <c r="AX1410" s="1"/>
      <c r="AY1410" s="1"/>
    </row>
    <row r="1411" ht="16" customHeight="1" spans="1:51" x14ac:dyDescent="0.25">
      <c r="A1411" s="45"/>
      <c r="B1411" s="46" t="s">
        <v>1463</v>
      </c>
      <c r="C1411" s="46" t="s">
        <v>1464</v>
      </c>
      <c r="D1411" s="46" t="s">
        <v>29</v>
      </c>
      <c r="E1411" s="46" t="s">
        <v>36</v>
      </c>
      <c r="F1411" s="46" t="s">
        <v>36</v>
      </c>
      <c r="G1411" s="46" t="s">
        <v>36</v>
      </c>
      <c r="H1411" s="46" t="s">
        <v>36</v>
      </c>
      <c r="I1411" s="46" t="s">
        <v>37</v>
      </c>
      <c r="J1411" s="46" t="s">
        <v>36</v>
      </c>
      <c r="K1411" s="46" t="s">
        <v>36</v>
      </c>
      <c r="L1411" s="46" t="s">
        <v>36</v>
      </c>
      <c r="M1411" s="46" t="s">
        <v>36</v>
      </c>
      <c r="N1411" s="46" t="s">
        <v>36</v>
      </c>
      <c r="O1411" s="46" t="s">
        <v>36</v>
      </c>
      <c r="P1411" s="46" t="s">
        <v>37</v>
      </c>
      <c r="Q1411" s="46" t="s">
        <v>36</v>
      </c>
      <c r="R1411" s="46" t="s">
        <v>36</v>
      </c>
      <c r="S1411" s="46" t="s">
        <v>36</v>
      </c>
      <c r="T1411" s="46" t="s">
        <v>36</v>
      </c>
      <c r="U1411" s="46" t="s">
        <v>36</v>
      </c>
      <c r="V1411" s="46" t="s">
        <v>36</v>
      </c>
      <c r="W1411" s="46" t="s">
        <v>37</v>
      </c>
      <c r="X1411" s="46" t="s">
        <v>36</v>
      </c>
      <c r="Y1411" s="46" t="s">
        <v>36</v>
      </c>
      <c r="Z1411" s="46" t="s">
        <v>36</v>
      </c>
      <c r="AA1411" s="46" t="s">
        <v>36</v>
      </c>
      <c r="AB1411" s="46" t="s">
        <v>36</v>
      </c>
      <c r="AC1411" s="46" t="s">
        <v>36</v>
      </c>
      <c r="AD1411" s="46" t="s">
        <v>37</v>
      </c>
      <c r="AE1411" s="46" t="s">
        <v>36</v>
      </c>
      <c r="AF1411" s="46" t="s">
        <v>36</v>
      </c>
      <c r="AG1411" s="46" t="s">
        <v>36</v>
      </c>
      <c r="AH1411" s="46" t="s">
        <v>43</v>
      </c>
      <c r="AI1411" s="46" t="s">
        <v>46</v>
      </c>
      <c r="AJ1411" s="46">
        <f>=SUM(E1412:AI1412)</f>
      </c>
      <c r="AK1411" s="46">
        <f>=+AY1411</f>
      </c>
      <c r="AL1411" s="46"/>
      <c r="AM1411" s="1"/>
      <c r="AN1411" s="1">
        <f>=COUNTIF(E1411:AI1411,"A")+COUNTIF(E1411:AI1411,"B")+COUNTIF(E1411:AI1411,"C")+COUNTIF(E1411:AI1411,"D")+COUNTIF(E1411:AI1411,"E")+COUNTIF(E1411:AI1411,"F")+COUNTIF(E1411:AI1411,"M")+COUNTIF(E1411:AI1411,"AB")+COUNTIF(E1411:AI1411,"UZ")+COUNTIF(E1411:AI1411,"G")+(COUNTIF(E1411:AI1411,"RT.")/2)+(COUNTIF(E1411:AI1411,"ÇRT.")/2)</f>
      </c>
      <c r="AO1411" s="1">
        <f>=COUNTIF(E1411:AI1411,"O")</f>
      </c>
      <c r="AP1411" s="1">
        <f>=COUNTIF(E1411:AI1411,"RT")+(COUNTIF(E1411:AI1411,"RT.")/2)</f>
      </c>
      <c r="AQ1411" s="1">
        <f>=COUNTIF(E1411:AI1411,"ÇRT")+(COUNTIF(E1411:AI1411,"ÇRT.")/2)</f>
      </c>
      <c r="AR1411" s="1">
        <f>=COUNTIF(E1411:AI1411,"ÇHT")</f>
      </c>
      <c r="AS1411" s="1">
        <f>=COUNTIF(E1411:AI1411,"Ö")+COUNTIF(E1411:AI1411,"T")</f>
      </c>
      <c r="AT1411" s="1">
        <f>=COUNTIF(E1411:AI1411,"Y")</f>
      </c>
      <c r="AU1411" s="1">
        <f>=COUNTIF(E1411:AI1411,"R.")</f>
      </c>
      <c r="AV1411" s="1">
        <f>=COUNTIF(E1411:AI1411,"Ü")</f>
      </c>
      <c r="AW1411" s="1">
        <f>=COUNTIF(E1411:AI1411,"R")</f>
      </c>
      <c r="AX1411" s="1">
        <f>=COUNTIF(E1411:AI1411,"DV")</f>
      </c>
      <c r="AY1411" s="1">
        <f>=+AN1411+AO1411+AP1411+AQ1411+AR1411+AS1411+AT1411+AU1411</f>
      </c>
    </row>
    <row r="1412" ht="16" customHeight="1" spans="1:51" x14ac:dyDescent="0.25">
      <c r="A1412" s="45"/>
      <c r="B1412" s="46"/>
      <c r="C1412" s="46"/>
      <c r="D1412" s="46" t="s">
        <v>33</v>
      </c>
      <c r="E1412" s="46">
        <v>2</v>
      </c>
      <c r="F1412" s="46"/>
      <c r="G1412" s="46">
        <v>2</v>
      </c>
      <c r="H1412" s="46"/>
      <c r="I1412" s="46"/>
      <c r="J1412" s="46">
        <v>2</v>
      </c>
      <c r="K1412" s="46"/>
      <c r="L1412" s="46">
        <v>2</v>
      </c>
      <c r="M1412" s="46"/>
      <c r="N1412" s="46">
        <v>2</v>
      </c>
      <c r="O1412" s="46"/>
      <c r="P1412" s="46"/>
      <c r="Q1412" s="46">
        <v>2</v>
      </c>
      <c r="R1412" s="46"/>
      <c r="S1412" s="46">
        <v>2</v>
      </c>
      <c r="T1412" s="46"/>
      <c r="U1412" s="46">
        <v>2</v>
      </c>
      <c r="V1412" s="46"/>
      <c r="W1412" s="46"/>
      <c r="X1412" s="46">
        <v>2</v>
      </c>
      <c r="Y1412" s="46"/>
      <c r="Z1412" s="46">
        <v>2</v>
      </c>
      <c r="AA1412" s="46"/>
      <c r="AB1412" s="46">
        <v>2</v>
      </c>
      <c r="AC1412" s="46"/>
      <c r="AD1412" s="46"/>
      <c r="AE1412" s="46">
        <v>2</v>
      </c>
      <c r="AF1412" s="46"/>
      <c r="AG1412" s="46">
        <v>2</v>
      </c>
      <c r="AH1412" s="46"/>
      <c r="AI1412" s="46">
        <v>2</v>
      </c>
      <c r="AJ1412" s="46"/>
      <c r="AK1412" s="46"/>
      <c r="AL1412" s="46"/>
      <c r="AM1412" s="1"/>
      <c r="AN1412" s="1"/>
      <c r="AO1412" s="1"/>
      <c r="AP1412" s="1"/>
      <c r="AQ1412" s="1"/>
      <c r="AR1412" s="1"/>
      <c r="AS1412" s="1"/>
      <c r="AT1412" s="1"/>
      <c r="AU1412" s="1"/>
      <c r="AV1412" s="1"/>
      <c r="AW1412" s="1"/>
      <c r="AX1412" s="1"/>
      <c r="AY1412" s="1"/>
    </row>
    <row r="1413" ht="16" customHeight="1" spans="1:51" x14ac:dyDescent="0.25">
      <c r="A1413" s="45"/>
      <c r="B1413" s="46" t="s">
        <v>1465</v>
      </c>
      <c r="C1413" s="46" t="s">
        <v>1466</v>
      </c>
      <c r="D1413" s="46" t="s">
        <v>29</v>
      </c>
      <c r="E1413" s="46"/>
      <c r="F1413" s="46"/>
      <c r="G1413" s="46"/>
      <c r="H1413" s="46" t="s">
        <v>36</v>
      </c>
      <c r="I1413" s="46" t="s">
        <v>36</v>
      </c>
      <c r="J1413" s="46" t="s">
        <v>59</v>
      </c>
      <c r="K1413" s="46" t="s">
        <v>59</v>
      </c>
      <c r="L1413" s="46" t="s">
        <v>59</v>
      </c>
      <c r="M1413" s="46" t="s">
        <v>37</v>
      </c>
      <c r="N1413" s="46" t="s">
        <v>59</v>
      </c>
      <c r="O1413" s="46" t="s">
        <v>59</v>
      </c>
      <c r="P1413" s="46" t="s">
        <v>59</v>
      </c>
      <c r="Q1413" s="46" t="s">
        <v>59</v>
      </c>
      <c r="R1413" s="46" t="s">
        <v>59</v>
      </c>
      <c r="S1413" s="46" t="s">
        <v>59</v>
      </c>
      <c r="T1413" s="46" t="s">
        <v>37</v>
      </c>
      <c r="U1413" s="46" t="s">
        <v>59</v>
      </c>
      <c r="V1413" s="46" t="s">
        <v>59</v>
      </c>
      <c r="W1413" s="46" t="s">
        <v>59</v>
      </c>
      <c r="X1413" s="46" t="s">
        <v>59</v>
      </c>
      <c r="Y1413" s="46" t="s">
        <v>59</v>
      </c>
      <c r="Z1413" s="46" t="s">
        <v>59</v>
      </c>
      <c r="AA1413" s="46" t="s">
        <v>37</v>
      </c>
      <c r="AB1413" s="46" t="s">
        <v>37</v>
      </c>
      <c r="AC1413" s="46" t="s">
        <v>59</v>
      </c>
      <c r="AD1413" s="46" t="s">
        <v>59</v>
      </c>
      <c r="AE1413" s="46" t="s">
        <v>59</v>
      </c>
      <c r="AF1413" s="46" t="s">
        <v>59</v>
      </c>
      <c r="AG1413" s="46" t="s">
        <v>59</v>
      </c>
      <c r="AH1413" s="46" t="s">
        <v>43</v>
      </c>
      <c r="AI1413" s="46" t="s">
        <v>37</v>
      </c>
      <c r="AJ1413" s="46">
        <f>=SUM(E1414:AI1414)</f>
      </c>
      <c r="AK1413" s="46">
        <f>=+AY1413</f>
      </c>
      <c r="AL1413" s="46"/>
      <c r="AM1413" s="1"/>
      <c r="AN1413" s="1">
        <f>=COUNTIF(E1413:AI1413,"A")+COUNTIF(E1413:AI1413,"B")+COUNTIF(E1413:AI1413,"C")+COUNTIF(E1413:AI1413,"D")+COUNTIF(E1413:AI1413,"E")+COUNTIF(E1413:AI1413,"F")+COUNTIF(E1413:AI1413,"M")+COUNTIF(E1413:AI1413,"AB")+COUNTIF(E1413:AI1413,"UZ")+COUNTIF(E1413:AI1413,"G")+(COUNTIF(E1413:AI1413,"RT.")/2)+(COUNTIF(E1413:AI1413,"ÇRT.")/2)</f>
      </c>
      <c r="AO1413" s="1">
        <f>=COUNTIF(E1413:AI1413,"O")</f>
      </c>
      <c r="AP1413" s="1">
        <f>=COUNTIF(E1413:AI1413,"RT")+(COUNTIF(E1413:AI1413,"RT.")/2)</f>
      </c>
      <c r="AQ1413" s="1">
        <f>=COUNTIF(E1413:AI1413,"ÇRT")+(COUNTIF(E1413:AI1413,"ÇRT.")/2)</f>
      </c>
      <c r="AR1413" s="1">
        <f>=COUNTIF(E1413:AI1413,"ÇHT")</f>
      </c>
      <c r="AS1413" s="1">
        <f>=COUNTIF(E1413:AI1413,"Ö")+COUNTIF(E1413:AI1413,"T")</f>
      </c>
      <c r="AT1413" s="1">
        <f>=COUNTIF(E1413:AI1413,"Y")</f>
      </c>
      <c r="AU1413" s="1">
        <f>=COUNTIF(E1413:AI1413,"R.")</f>
      </c>
      <c r="AV1413" s="1">
        <f>=COUNTIF(E1413:AI1413,"Ü")</f>
      </c>
      <c r="AW1413" s="1">
        <f>=COUNTIF(E1413:AI1413,"R")</f>
      </c>
      <c r="AX1413" s="1">
        <f>=COUNTIF(E1413:AI1413,"DV")</f>
      </c>
      <c r="AY1413" s="1">
        <f>=+AN1413+AO1413+AP1413+AQ1413+AR1413+AS1413+AT1413+AU1413</f>
      </c>
    </row>
    <row r="1414" ht="16" customHeight="1" spans="1:51" x14ac:dyDescent="0.25">
      <c r="A1414" s="45"/>
      <c r="B1414" s="46"/>
      <c r="C1414" s="46"/>
      <c r="D1414" s="46" t="s">
        <v>33</v>
      </c>
      <c r="E1414" s="46"/>
      <c r="F1414" s="46"/>
      <c r="G1414" s="46"/>
      <c r="H1414" s="46"/>
      <c r="I1414" s="46"/>
      <c r="J1414" s="46"/>
      <c r="K1414" s="46"/>
      <c r="L1414" s="46"/>
      <c r="M1414" s="46"/>
      <c r="N1414" s="46"/>
      <c r="O1414" s="46">
        <v>2</v>
      </c>
      <c r="P1414" s="46"/>
      <c r="Q1414" s="46"/>
      <c r="R1414" s="46">
        <v>2</v>
      </c>
      <c r="S1414" s="46"/>
      <c r="T1414" s="46"/>
      <c r="U1414" s="46"/>
      <c r="V1414" s="46">
        <v>2</v>
      </c>
      <c r="W1414" s="46"/>
      <c r="X1414" s="46">
        <v>2</v>
      </c>
      <c r="Y1414" s="46">
        <v>2</v>
      </c>
      <c r="Z1414" s="46">
        <v>2</v>
      </c>
      <c r="AA1414" s="46"/>
      <c r="AB1414" s="46"/>
      <c r="AC1414" s="46"/>
      <c r="AD1414" s="46"/>
      <c r="AE1414" s="46">
        <v>2</v>
      </c>
      <c r="AF1414" s="46">
        <v>2</v>
      </c>
      <c r="AG1414" s="46"/>
      <c r="AH1414" s="46">
        <v>2</v>
      </c>
      <c r="AI1414" s="46"/>
      <c r="AJ1414" s="46"/>
      <c r="AK1414" s="46"/>
      <c r="AL1414" s="46"/>
      <c r="AM1414" s="1"/>
      <c r="AN1414" s="1"/>
      <c r="AO1414" s="1"/>
      <c r="AP1414" s="1"/>
      <c r="AQ1414" s="1"/>
      <c r="AR1414" s="1"/>
      <c r="AS1414" s="1"/>
      <c r="AT1414" s="1"/>
      <c r="AU1414" s="1"/>
      <c r="AV1414" s="1"/>
      <c r="AW1414" s="1"/>
      <c r="AX1414" s="1"/>
      <c r="AY1414" s="1"/>
    </row>
    <row r="1415" ht="16" customHeight="1" spans="1:51" x14ac:dyDescent="0.25">
      <c r="A1415" s="45"/>
      <c r="B1415" s="46" t="s">
        <v>1467</v>
      </c>
      <c r="C1415" s="46" t="s">
        <v>1468</v>
      </c>
      <c r="D1415" s="46" t="s">
        <v>29</v>
      </c>
      <c r="E1415" s="46" t="s">
        <v>36</v>
      </c>
      <c r="F1415" s="46" t="s">
        <v>36</v>
      </c>
      <c r="G1415" s="46" t="s">
        <v>36</v>
      </c>
      <c r="H1415" s="46" t="s">
        <v>36</v>
      </c>
      <c r="I1415" s="46" t="s">
        <v>36</v>
      </c>
      <c r="J1415" s="46" t="s">
        <v>36</v>
      </c>
      <c r="K1415" s="46" t="s">
        <v>37</v>
      </c>
      <c r="L1415" s="46" t="s">
        <v>36</v>
      </c>
      <c r="M1415" s="46" t="s">
        <v>36</v>
      </c>
      <c r="N1415" s="46" t="s">
        <v>36</v>
      </c>
      <c r="O1415" s="46" t="s">
        <v>36</v>
      </c>
      <c r="P1415" s="46" t="s">
        <v>36</v>
      </c>
      <c r="Q1415" s="46" t="s">
        <v>36</v>
      </c>
      <c r="R1415" s="46" t="s">
        <v>37</v>
      </c>
      <c r="S1415" s="46" t="s">
        <v>36</v>
      </c>
      <c r="T1415" s="46" t="s">
        <v>36</v>
      </c>
      <c r="U1415" s="46" t="s">
        <v>36</v>
      </c>
      <c r="V1415" s="46" t="s">
        <v>36</v>
      </c>
      <c r="W1415" s="46" t="s">
        <v>36</v>
      </c>
      <c r="X1415" s="46" t="s">
        <v>36</v>
      </c>
      <c r="Y1415" s="46" t="s">
        <v>37</v>
      </c>
      <c r="Z1415" s="46" t="s">
        <v>337</v>
      </c>
      <c r="AA1415" s="46" t="s">
        <v>337</v>
      </c>
      <c r="AB1415" s="46" t="s">
        <v>36</v>
      </c>
      <c r="AC1415" s="46" t="s">
        <v>36</v>
      </c>
      <c r="AD1415" s="46" t="s">
        <v>36</v>
      </c>
      <c r="AE1415" s="46" t="s">
        <v>36</v>
      </c>
      <c r="AF1415" s="46" t="s">
        <v>37</v>
      </c>
      <c r="AG1415" s="46" t="s">
        <v>36</v>
      </c>
      <c r="AH1415" s="46" t="s">
        <v>43</v>
      </c>
      <c r="AI1415" s="46" t="s">
        <v>36</v>
      </c>
      <c r="AJ1415" s="46">
        <f>=SUM(E1416:AI1416)</f>
      </c>
      <c r="AK1415" s="46">
        <f>=+AY1415</f>
      </c>
      <c r="AL1415" s="46"/>
      <c r="AM1415" s="1"/>
      <c r="AN1415" s="1">
        <f>=COUNTIF(E1415:AI1415,"A")+COUNTIF(E1415:AI1415,"B")+COUNTIF(E1415:AI1415,"C")+COUNTIF(E1415:AI1415,"D")+COUNTIF(E1415:AI1415,"E")+COUNTIF(E1415:AI1415,"F")+COUNTIF(E1415:AI1415,"M")+COUNTIF(E1415:AI1415,"AB")+COUNTIF(E1415:AI1415,"UZ")+COUNTIF(E1415:AI1415,"G")+(COUNTIF(E1415:AI1415,"RT.")/2)+(COUNTIF(E1415:AI1415,"ÇRT.")/2)</f>
      </c>
      <c r="AO1415" s="1">
        <f>=COUNTIF(E1415:AI1415,"O")</f>
      </c>
      <c r="AP1415" s="1">
        <f>=COUNTIF(E1415:AI1415,"RT")+(COUNTIF(E1415:AI1415,"RT.")/2)</f>
      </c>
      <c r="AQ1415" s="1">
        <f>=COUNTIF(E1415:AI1415,"ÇRT")+(COUNTIF(E1415:AI1415,"ÇRT.")/2)</f>
      </c>
      <c r="AR1415" s="1">
        <f>=COUNTIF(E1415:AI1415,"ÇHT")</f>
      </c>
      <c r="AS1415" s="1">
        <f>=COUNTIF(E1415:AI1415,"Ö")+COUNTIF(E1415:AI1415,"T")</f>
      </c>
      <c r="AT1415" s="1">
        <f>=COUNTIF(E1415:AI1415,"Y")</f>
      </c>
      <c r="AU1415" s="1">
        <f>=COUNTIF(E1415:AI1415,"R.")</f>
      </c>
      <c r="AV1415" s="1">
        <f>=COUNTIF(E1415:AI1415,"Ü")</f>
      </c>
      <c r="AW1415" s="1">
        <f>=COUNTIF(E1415:AI1415,"R")</f>
      </c>
      <c r="AX1415" s="1">
        <f>=COUNTIF(E1415:AI1415,"DV")</f>
      </c>
      <c r="AY1415" s="1">
        <f>=+AN1415+AO1415+AP1415+AQ1415+AR1415+AS1415+AT1415+AU1415</f>
      </c>
    </row>
    <row r="1416" ht="16" customHeight="1" spans="1:51" x14ac:dyDescent="0.25">
      <c r="A1416" s="45"/>
      <c r="B1416" s="46"/>
      <c r="C1416" s="46"/>
      <c r="D1416" s="46" t="s">
        <v>33</v>
      </c>
      <c r="E1416" s="46">
        <v>3</v>
      </c>
      <c r="F1416" s="46">
        <v>3</v>
      </c>
      <c r="G1416" s="46">
        <v>2</v>
      </c>
      <c r="H1416" s="46">
        <v>2</v>
      </c>
      <c r="I1416" s="46">
        <v>2</v>
      </c>
      <c r="J1416" s="46">
        <v>2</v>
      </c>
      <c r="K1416" s="46"/>
      <c r="L1416" s="46">
        <v>2</v>
      </c>
      <c r="M1416" s="46">
        <v>2</v>
      </c>
      <c r="N1416" s="46">
        <v>2</v>
      </c>
      <c r="O1416" s="46">
        <v>2</v>
      </c>
      <c r="P1416" s="46">
        <v>2</v>
      </c>
      <c r="Q1416" s="46">
        <v>2</v>
      </c>
      <c r="R1416" s="46"/>
      <c r="S1416" s="46">
        <v>2</v>
      </c>
      <c r="T1416" s="46">
        <v>2</v>
      </c>
      <c r="U1416" s="46">
        <v>2</v>
      </c>
      <c r="V1416" s="46">
        <v>2</v>
      </c>
      <c r="W1416" s="46">
        <v>2</v>
      </c>
      <c r="X1416" s="46">
        <v>2</v>
      </c>
      <c r="Y1416" s="46"/>
      <c r="Z1416" s="46"/>
      <c r="AA1416" s="46"/>
      <c r="AB1416" s="46">
        <v>2</v>
      </c>
      <c r="AC1416" s="46">
        <v>2</v>
      </c>
      <c r="AD1416" s="46">
        <v>2</v>
      </c>
      <c r="AE1416" s="46">
        <v>2</v>
      </c>
      <c r="AF1416" s="46"/>
      <c r="AG1416" s="46">
        <v>2</v>
      </c>
      <c r="AH1416" s="46">
        <v>2</v>
      </c>
      <c r="AI1416" s="46">
        <v>2</v>
      </c>
      <c r="AJ1416" s="46"/>
      <c r="AK1416" s="46"/>
      <c r="AL1416" s="46"/>
      <c r="AM1416" s="1"/>
      <c r="AN1416" s="1"/>
      <c r="AO1416" s="1"/>
      <c r="AP1416" s="1"/>
      <c r="AQ1416" s="1"/>
      <c r="AR1416" s="1"/>
      <c r="AS1416" s="1"/>
      <c r="AT1416" s="1"/>
      <c r="AU1416" s="1"/>
      <c r="AV1416" s="1"/>
      <c r="AW1416" s="1"/>
      <c r="AX1416" s="1"/>
      <c r="AY1416" s="1"/>
    </row>
    <row r="1417" ht="16" customHeight="1" spans="1:51" x14ac:dyDescent="0.25">
      <c r="A1417" s="45"/>
      <c r="B1417" s="46" t="s">
        <v>1469</v>
      </c>
      <c r="C1417" s="46" t="s">
        <v>1470</v>
      </c>
      <c r="D1417" s="46" t="s">
        <v>29</v>
      </c>
      <c r="E1417" s="46" t="s">
        <v>299</v>
      </c>
      <c r="F1417" s="46" t="s">
        <v>299</v>
      </c>
      <c r="G1417" s="46" t="s">
        <v>299</v>
      </c>
      <c r="H1417" s="46" t="s">
        <v>299</v>
      </c>
      <c r="I1417" s="46" t="s">
        <v>299</v>
      </c>
      <c r="J1417" s="46" t="s">
        <v>37</v>
      </c>
      <c r="K1417" s="46" t="s">
        <v>299</v>
      </c>
      <c r="L1417" s="46" t="s">
        <v>299</v>
      </c>
      <c r="M1417" s="46" t="s">
        <v>299</v>
      </c>
      <c r="N1417" s="46" t="s">
        <v>299</v>
      </c>
      <c r="O1417" s="46" t="s">
        <v>299</v>
      </c>
      <c r="P1417" s="46" t="s">
        <v>299</v>
      </c>
      <c r="Q1417" s="46" t="s">
        <v>37</v>
      </c>
      <c r="R1417" s="46" t="s">
        <v>299</v>
      </c>
      <c r="S1417" s="46" t="s">
        <v>299</v>
      </c>
      <c r="T1417" s="46" t="s">
        <v>299</v>
      </c>
      <c r="U1417" s="46" t="s">
        <v>299</v>
      </c>
      <c r="V1417" s="46" t="s">
        <v>299</v>
      </c>
      <c r="W1417" s="46" t="s">
        <v>299</v>
      </c>
      <c r="X1417" s="46" t="s">
        <v>37</v>
      </c>
      <c r="Y1417" s="46" t="s">
        <v>299</v>
      </c>
      <c r="Z1417" s="46" t="s">
        <v>299</v>
      </c>
      <c r="AA1417" s="46" t="s">
        <v>299</v>
      </c>
      <c r="AB1417" s="46" t="s">
        <v>299</v>
      </c>
      <c r="AC1417" s="46" t="s">
        <v>299</v>
      </c>
      <c r="AD1417" s="46" t="s">
        <v>299</v>
      </c>
      <c r="AE1417" s="46" t="s">
        <v>37</v>
      </c>
      <c r="AF1417" s="46" t="s">
        <v>299</v>
      </c>
      <c r="AG1417" s="46" t="s">
        <v>299</v>
      </c>
      <c r="AH1417" s="46" t="s">
        <v>43</v>
      </c>
      <c r="AI1417" s="46" t="s">
        <v>299</v>
      </c>
      <c r="AJ1417" s="46">
        <f>=SUM(E1418:AI1418)</f>
      </c>
      <c r="AK1417" s="46">
        <f>=+AY1417</f>
      </c>
      <c r="AL1417" s="46"/>
      <c r="AM1417" s="1"/>
      <c r="AN1417" s="1">
        <f>=COUNTIF(E1417:AI1417,"A")+COUNTIF(E1417:AI1417,"B")+COUNTIF(E1417:AI1417,"C")+COUNTIF(E1417:AI1417,"D")+COUNTIF(E1417:AI1417,"E")+COUNTIF(E1417:AI1417,"F")+COUNTIF(E1417:AI1417,"M")+COUNTIF(E1417:AI1417,"AB")+COUNTIF(E1417:AI1417,"UZ")+COUNTIF(E1417:AI1417,"G")+(COUNTIF(E1417:AI1417,"RT.")/2)+(COUNTIF(E1417:AI1417,"ÇRT.")/2)</f>
      </c>
      <c r="AO1417" s="1">
        <f>=COUNTIF(E1417:AI1417,"O")</f>
      </c>
      <c r="AP1417" s="1">
        <f>=COUNTIF(E1417:AI1417,"RT")+(COUNTIF(E1417:AI1417,"RT.")/2)</f>
      </c>
      <c r="AQ1417" s="1">
        <f>=COUNTIF(E1417:AI1417,"ÇRT")+(COUNTIF(E1417:AI1417,"ÇRT.")/2)</f>
      </c>
      <c r="AR1417" s="1">
        <f>=COUNTIF(E1417:AI1417,"ÇHT")</f>
      </c>
      <c r="AS1417" s="1">
        <f>=COUNTIF(E1417:AI1417,"Ö")+COUNTIF(E1417:AI1417,"T")</f>
      </c>
      <c r="AT1417" s="1">
        <f>=COUNTIF(E1417:AI1417,"Y")</f>
      </c>
      <c r="AU1417" s="1">
        <f>=COUNTIF(E1417:AI1417,"R.")</f>
      </c>
      <c r="AV1417" s="1">
        <f>=COUNTIF(E1417:AI1417,"Ü")</f>
      </c>
      <c r="AW1417" s="1">
        <f>=COUNTIF(E1417:AI1417,"R")</f>
      </c>
      <c r="AX1417" s="1">
        <f>=COUNTIF(E1417:AI1417,"DV")</f>
      </c>
      <c r="AY1417" s="1">
        <f>=+AN1417+AO1417+AP1417+AQ1417+AR1417+AS1417+AT1417+AU1417</f>
      </c>
    </row>
    <row r="1418" ht="16" customHeight="1" spans="1:51" x14ac:dyDescent="0.25">
      <c r="A1418" s="45"/>
      <c r="B1418" s="46"/>
      <c r="C1418" s="46"/>
      <c r="D1418" s="46" t="s">
        <v>33</v>
      </c>
      <c r="E1418" s="46">
        <v>2</v>
      </c>
      <c r="F1418" s="46">
        <v>2</v>
      </c>
      <c r="G1418" s="46">
        <v>2</v>
      </c>
      <c r="H1418" s="46">
        <v>2</v>
      </c>
      <c r="I1418" s="46">
        <v>2</v>
      </c>
      <c r="J1418" s="46"/>
      <c r="K1418" s="46">
        <v>2</v>
      </c>
      <c r="L1418" s="46">
        <v>2</v>
      </c>
      <c r="M1418" s="46">
        <v>2</v>
      </c>
      <c r="N1418" s="46">
        <v>2</v>
      </c>
      <c r="O1418" s="46">
        <v>2</v>
      </c>
      <c r="P1418" s="46">
        <v>2</v>
      </c>
      <c r="Q1418" s="46"/>
      <c r="R1418" s="46">
        <v>2</v>
      </c>
      <c r="S1418" s="46">
        <v>2</v>
      </c>
      <c r="T1418" s="46">
        <v>2</v>
      </c>
      <c r="U1418" s="46">
        <v>2</v>
      </c>
      <c r="V1418" s="46">
        <v>2</v>
      </c>
      <c r="W1418" s="46">
        <v>2</v>
      </c>
      <c r="X1418" s="46"/>
      <c r="Y1418" s="46">
        <v>2</v>
      </c>
      <c r="Z1418" s="46">
        <v>2</v>
      </c>
      <c r="AA1418" s="46">
        <v>2</v>
      </c>
      <c r="AB1418" s="46">
        <v>2</v>
      </c>
      <c r="AC1418" s="46">
        <v>2</v>
      </c>
      <c r="AD1418" s="46">
        <v>2</v>
      </c>
      <c r="AE1418" s="46"/>
      <c r="AF1418" s="46">
        <v>2</v>
      </c>
      <c r="AG1418" s="46">
        <v>2</v>
      </c>
      <c r="AH1418" s="46">
        <v>2</v>
      </c>
      <c r="AI1418" s="46">
        <v>2</v>
      </c>
      <c r="AJ1418" s="46"/>
      <c r="AK1418" s="46"/>
      <c r="AL1418" s="46"/>
      <c r="AM1418" s="1"/>
      <c r="AN1418" s="1"/>
      <c r="AO1418" s="1"/>
      <c r="AP1418" s="1"/>
      <c r="AQ1418" s="1"/>
      <c r="AR1418" s="1"/>
      <c r="AS1418" s="1"/>
      <c r="AT1418" s="1"/>
      <c r="AU1418" s="1"/>
      <c r="AV1418" s="1"/>
      <c r="AW1418" s="1"/>
      <c r="AX1418" s="1"/>
      <c r="AY1418" s="1"/>
    </row>
    <row r="1419" ht="16" customHeight="1" spans="1:51" x14ac:dyDescent="0.25">
      <c r="A1419" s="45"/>
      <c r="B1419" s="46" t="s">
        <v>1471</v>
      </c>
      <c r="C1419" s="46" t="s">
        <v>1472</v>
      </c>
      <c r="D1419" s="46" t="s">
        <v>29</v>
      </c>
      <c r="E1419" s="46" t="s">
        <v>36</v>
      </c>
      <c r="F1419" s="46" t="s">
        <v>299</v>
      </c>
      <c r="G1419" s="46" t="s">
        <v>299</v>
      </c>
      <c r="H1419" s="46" t="s">
        <v>36</v>
      </c>
      <c r="I1419" s="46" t="s">
        <v>37</v>
      </c>
      <c r="J1419" s="46" t="s">
        <v>299</v>
      </c>
      <c r="K1419" s="46" t="s">
        <v>36</v>
      </c>
      <c r="L1419" s="46" t="s">
        <v>299</v>
      </c>
      <c r="M1419" s="46" t="s">
        <v>299</v>
      </c>
      <c r="N1419" s="46" t="s">
        <v>299</v>
      </c>
      <c r="O1419" s="46" t="s">
        <v>36</v>
      </c>
      <c r="P1419" s="46" t="s">
        <v>37</v>
      </c>
      <c r="Q1419" s="46" t="s">
        <v>299</v>
      </c>
      <c r="R1419" s="46" t="s">
        <v>36</v>
      </c>
      <c r="S1419" s="46" t="s">
        <v>299</v>
      </c>
      <c r="T1419" s="46" t="s">
        <v>36</v>
      </c>
      <c r="U1419" s="46" t="s">
        <v>299</v>
      </c>
      <c r="V1419" s="46" t="s">
        <v>36</v>
      </c>
      <c r="W1419" s="46" t="s">
        <v>37</v>
      </c>
      <c r="X1419" s="46" t="s">
        <v>299</v>
      </c>
      <c r="Y1419" s="46" t="s">
        <v>36</v>
      </c>
      <c r="Z1419" s="46" t="s">
        <v>299</v>
      </c>
      <c r="AA1419" s="46" t="s">
        <v>36</v>
      </c>
      <c r="AB1419" s="46" t="s">
        <v>299</v>
      </c>
      <c r="AC1419" s="46" t="s">
        <v>36</v>
      </c>
      <c r="AD1419" s="46" t="s">
        <v>37</v>
      </c>
      <c r="AE1419" s="46" t="s">
        <v>299</v>
      </c>
      <c r="AF1419" s="46" t="s">
        <v>36</v>
      </c>
      <c r="AG1419" s="46" t="s">
        <v>36</v>
      </c>
      <c r="AH1419" s="46" t="s">
        <v>43</v>
      </c>
      <c r="AI1419" s="46"/>
      <c r="AJ1419" s="46">
        <f>=SUM(E1420:AI1420)</f>
      </c>
      <c r="AK1419" s="46">
        <f>=+AY1419</f>
      </c>
      <c r="AL1419" s="46"/>
      <c r="AM1419" s="1"/>
      <c r="AN1419" s="1">
        <f>=COUNTIF(E1419:AI1419,"A")+COUNTIF(E1419:AI1419,"B")+COUNTIF(E1419:AI1419,"C")+COUNTIF(E1419:AI1419,"D")+COUNTIF(E1419:AI1419,"E")+COUNTIF(E1419:AI1419,"F")+COUNTIF(E1419:AI1419,"M")+COUNTIF(E1419:AI1419,"AB")+COUNTIF(E1419:AI1419,"UZ")+COUNTIF(E1419:AI1419,"G")+(COUNTIF(E1419:AI1419,"RT.")/2)+(COUNTIF(E1419:AI1419,"ÇRT.")/2)</f>
      </c>
      <c r="AO1419" s="1">
        <f>=COUNTIF(E1419:AI1419,"O")</f>
      </c>
      <c r="AP1419" s="1">
        <f>=COUNTIF(E1419:AI1419,"RT")+(COUNTIF(E1419:AI1419,"RT.")/2)</f>
      </c>
      <c r="AQ1419" s="1">
        <f>=COUNTIF(E1419:AI1419,"ÇRT")+(COUNTIF(E1419:AI1419,"ÇRT.")/2)</f>
      </c>
      <c r="AR1419" s="1">
        <f>=COUNTIF(E1419:AI1419,"ÇHT")</f>
      </c>
      <c r="AS1419" s="1">
        <f>=COUNTIF(E1419:AI1419,"Ö")+COUNTIF(E1419:AI1419,"T")</f>
      </c>
      <c r="AT1419" s="1">
        <f>=COUNTIF(E1419:AI1419,"Y")</f>
      </c>
      <c r="AU1419" s="1">
        <f>=COUNTIF(E1419:AI1419,"R.")</f>
      </c>
      <c r="AV1419" s="1">
        <f>=COUNTIF(E1419:AI1419,"Ü")</f>
      </c>
      <c r="AW1419" s="1">
        <f>=COUNTIF(E1419:AI1419,"R")</f>
      </c>
      <c r="AX1419" s="1">
        <f>=COUNTIF(E1419:AI1419,"DV")</f>
      </c>
      <c r="AY1419" s="1">
        <f>=+AN1419+AO1419+AP1419+AQ1419+AR1419+AS1419+AT1419+AU1419</f>
      </c>
    </row>
    <row r="1420" ht="16" customHeight="1" spans="1:51" x14ac:dyDescent="0.25">
      <c r="A1420" s="45"/>
      <c r="B1420" s="46"/>
      <c r="C1420" s="46"/>
      <c r="D1420" s="46" t="s">
        <v>33</v>
      </c>
      <c r="E1420" s="46"/>
      <c r="F1420" s="46"/>
      <c r="G1420" s="46">
        <v>2</v>
      </c>
      <c r="H1420" s="46">
        <v>2</v>
      </c>
      <c r="I1420" s="46"/>
      <c r="J1420" s="46">
        <v>2</v>
      </c>
      <c r="K1420" s="46">
        <v>2</v>
      </c>
      <c r="L1420" s="46">
        <v>2</v>
      </c>
      <c r="M1420" s="46">
        <v>2</v>
      </c>
      <c r="N1420" s="46">
        <v>2</v>
      </c>
      <c r="O1420" s="46"/>
      <c r="P1420" s="46"/>
      <c r="Q1420" s="46">
        <v>2</v>
      </c>
      <c r="R1420" s="46"/>
      <c r="S1420" s="46">
        <v>2</v>
      </c>
      <c r="T1420" s="46"/>
      <c r="U1420" s="46">
        <v>2</v>
      </c>
      <c r="V1420" s="46"/>
      <c r="W1420" s="46"/>
      <c r="X1420" s="46">
        <v>2</v>
      </c>
      <c r="Y1420" s="46"/>
      <c r="Z1420" s="46">
        <v>2</v>
      </c>
      <c r="AA1420" s="46"/>
      <c r="AB1420" s="46">
        <v>2</v>
      </c>
      <c r="AC1420" s="46"/>
      <c r="AD1420" s="46"/>
      <c r="AE1420" s="46">
        <v>2</v>
      </c>
      <c r="AF1420" s="46"/>
      <c r="AG1420" s="46">
        <v>2</v>
      </c>
      <c r="AH1420" s="46">
        <v>2</v>
      </c>
      <c r="AI1420" s="46"/>
      <c r="AJ1420" s="46"/>
      <c r="AK1420" s="46"/>
      <c r="AL1420" s="46"/>
      <c r="AM1420" s="1"/>
      <c r="AN1420" s="1"/>
      <c r="AO1420" s="1"/>
      <c r="AP1420" s="1"/>
      <c r="AQ1420" s="1"/>
      <c r="AR1420" s="1"/>
      <c r="AS1420" s="1"/>
      <c r="AT1420" s="1"/>
      <c r="AU1420" s="1"/>
      <c r="AV1420" s="1"/>
      <c r="AW1420" s="1"/>
      <c r="AX1420" s="1"/>
      <c r="AY1420" s="1"/>
    </row>
    <row r="1421" ht="16" customHeight="1" spans="1:51" x14ac:dyDescent="0.25">
      <c r="A1421" s="45"/>
      <c r="B1421" s="46" t="s">
        <v>1473</v>
      </c>
      <c r="C1421" s="46" t="s">
        <v>1474</v>
      </c>
      <c r="D1421" s="46" t="s">
        <v>29</v>
      </c>
      <c r="E1421" s="46" t="s">
        <v>41</v>
      </c>
      <c r="F1421" s="46" t="s">
        <v>41</v>
      </c>
      <c r="G1421" s="46" t="s">
        <v>41</v>
      </c>
      <c r="H1421" s="46" t="s">
        <v>37</v>
      </c>
      <c r="I1421" s="46" t="s">
        <v>41</v>
      </c>
      <c r="J1421" s="46" t="s">
        <v>41</v>
      </c>
      <c r="K1421" s="46" t="s">
        <v>41</v>
      </c>
      <c r="L1421" s="46" t="s">
        <v>41</v>
      </c>
      <c r="M1421" s="46" t="s">
        <v>41</v>
      </c>
      <c r="N1421" s="46" t="s">
        <v>41</v>
      </c>
      <c r="O1421" s="46" t="s">
        <v>37</v>
      </c>
      <c r="P1421" s="46" t="s">
        <v>41</v>
      </c>
      <c r="Q1421" s="46" t="s">
        <v>41</v>
      </c>
      <c r="R1421" s="46" t="s">
        <v>41</v>
      </c>
      <c r="S1421" s="46" t="s">
        <v>41</v>
      </c>
      <c r="T1421" s="46" t="s">
        <v>41</v>
      </c>
      <c r="U1421" s="46" t="s">
        <v>41</v>
      </c>
      <c r="V1421" s="46" t="s">
        <v>37</v>
      </c>
      <c r="W1421" s="46" t="s">
        <v>41</v>
      </c>
      <c r="X1421" s="46" t="s">
        <v>41</v>
      </c>
      <c r="Y1421" s="46" t="s">
        <v>41</v>
      </c>
      <c r="Z1421" s="46" t="s">
        <v>41</v>
      </c>
      <c r="AA1421" s="46" t="s">
        <v>41</v>
      </c>
      <c r="AB1421" s="46" t="s">
        <v>41</v>
      </c>
      <c r="AC1421" s="46" t="s">
        <v>37</v>
      </c>
      <c r="AD1421" s="46" t="s">
        <v>41</v>
      </c>
      <c r="AE1421" s="46" t="s">
        <v>41</v>
      </c>
      <c r="AF1421" s="46" t="s">
        <v>41</v>
      </c>
      <c r="AG1421" s="46" t="s">
        <v>41</v>
      </c>
      <c r="AH1421" s="46" t="s">
        <v>43</v>
      </c>
      <c r="AI1421" s="46"/>
      <c r="AJ1421" s="46">
        <f>=SUM(E1422:AI1422)</f>
      </c>
      <c r="AK1421" s="46">
        <f>=+AY1421</f>
      </c>
      <c r="AL1421" s="46"/>
      <c r="AM1421" s="1"/>
      <c r="AN1421" s="1">
        <f>=COUNTIF(E1421:AI1421,"A")+COUNTIF(E1421:AI1421,"B")+COUNTIF(E1421:AI1421,"C")+COUNTIF(E1421:AI1421,"D")+COUNTIF(E1421:AI1421,"E")+COUNTIF(E1421:AI1421,"F")+COUNTIF(E1421:AI1421,"M")+COUNTIF(E1421:AI1421,"AB")+COUNTIF(E1421:AI1421,"UZ")+COUNTIF(E1421:AI1421,"G")+(COUNTIF(E1421:AI1421,"RT.")/2)+(COUNTIF(E1421:AI1421,"ÇRT.")/2)</f>
      </c>
      <c r="AO1421" s="1">
        <f>=COUNTIF(E1421:AI1421,"O")</f>
      </c>
      <c r="AP1421" s="1">
        <f>=COUNTIF(E1421:AI1421,"RT")+(COUNTIF(E1421:AI1421,"RT.")/2)</f>
      </c>
      <c r="AQ1421" s="1">
        <f>=COUNTIF(E1421:AI1421,"ÇRT")+(COUNTIF(E1421:AI1421,"ÇRT.")/2)</f>
      </c>
      <c r="AR1421" s="1">
        <f>=COUNTIF(E1421:AI1421,"ÇHT")</f>
      </c>
      <c r="AS1421" s="1">
        <f>=COUNTIF(E1421:AI1421,"Ö")+COUNTIF(E1421:AI1421,"T")</f>
      </c>
      <c r="AT1421" s="1">
        <f>=COUNTIF(E1421:AI1421,"Y")</f>
      </c>
      <c r="AU1421" s="1">
        <f>=COUNTIF(E1421:AI1421,"R.")</f>
      </c>
      <c r="AV1421" s="1">
        <f>=COUNTIF(E1421:AI1421,"Ü")</f>
      </c>
      <c r="AW1421" s="1">
        <f>=COUNTIF(E1421:AI1421,"R")</f>
      </c>
      <c r="AX1421" s="1">
        <f>=COUNTIF(E1421:AI1421,"DV")</f>
      </c>
      <c r="AY1421" s="1">
        <f>=+AN1421+AO1421+AP1421+AQ1421+AR1421+AS1421+AT1421+AU1421</f>
      </c>
    </row>
    <row r="1422" ht="16" customHeight="1" spans="1:51" x14ac:dyDescent="0.25">
      <c r="A1422" s="45"/>
      <c r="B1422" s="46"/>
      <c r="C1422" s="46"/>
      <c r="D1422" s="46" t="s">
        <v>33</v>
      </c>
      <c r="E1422" s="46">
        <v>2</v>
      </c>
      <c r="F1422" s="46">
        <v>2</v>
      </c>
      <c r="G1422" s="46">
        <v>2</v>
      </c>
      <c r="H1422" s="46"/>
      <c r="I1422" s="46">
        <v>2</v>
      </c>
      <c r="J1422" s="46">
        <v>2</v>
      </c>
      <c r="K1422" s="46">
        <v>2</v>
      </c>
      <c r="L1422" s="46">
        <v>2</v>
      </c>
      <c r="M1422" s="46">
        <v>2</v>
      </c>
      <c r="N1422" s="46">
        <v>2</v>
      </c>
      <c r="O1422" s="46"/>
      <c r="P1422" s="46">
        <v>2</v>
      </c>
      <c r="Q1422" s="46">
        <v>2</v>
      </c>
      <c r="R1422" s="46">
        <v>2</v>
      </c>
      <c r="S1422" s="46">
        <v>2</v>
      </c>
      <c r="T1422" s="46">
        <v>2</v>
      </c>
      <c r="U1422" s="46">
        <v>2</v>
      </c>
      <c r="V1422" s="46"/>
      <c r="W1422" s="46">
        <v>2</v>
      </c>
      <c r="X1422" s="46">
        <v>2</v>
      </c>
      <c r="Y1422" s="46">
        <v>2</v>
      </c>
      <c r="Z1422" s="46">
        <v>2</v>
      </c>
      <c r="AA1422" s="46">
        <v>2</v>
      </c>
      <c r="AB1422" s="46">
        <v>2</v>
      </c>
      <c r="AC1422" s="46"/>
      <c r="AD1422" s="46">
        <v>2</v>
      </c>
      <c r="AE1422" s="46">
        <v>2</v>
      </c>
      <c r="AF1422" s="46">
        <v>2</v>
      </c>
      <c r="AG1422" s="46">
        <v>2</v>
      </c>
      <c r="AH1422" s="46">
        <v>2</v>
      </c>
      <c r="AI1422" s="46"/>
      <c r="AJ1422" s="46"/>
      <c r="AK1422" s="46"/>
      <c r="AL1422" s="46"/>
      <c r="AM1422" s="1"/>
      <c r="AN1422" s="1"/>
      <c r="AO1422" s="1"/>
      <c r="AP1422" s="1"/>
      <c r="AQ1422" s="1"/>
      <c r="AR1422" s="1"/>
      <c r="AS1422" s="1"/>
      <c r="AT1422" s="1"/>
      <c r="AU1422" s="1"/>
      <c r="AV1422" s="1"/>
      <c r="AW1422" s="1"/>
      <c r="AX1422" s="1"/>
      <c r="AY1422" s="1"/>
    </row>
    <row r="1423" ht="16" customHeight="1" spans="1:51" x14ac:dyDescent="0.25">
      <c r="A1423" s="45"/>
      <c r="B1423" s="46" t="s">
        <v>1475</v>
      </c>
      <c r="C1423" s="46" t="s">
        <v>1476</v>
      </c>
      <c r="D1423" s="46" t="s">
        <v>29</v>
      </c>
      <c r="E1423" s="46" t="s">
        <v>36</v>
      </c>
      <c r="F1423" s="46" t="s">
        <v>36</v>
      </c>
      <c r="G1423" s="46" t="s">
        <v>36</v>
      </c>
      <c r="H1423" s="46" t="s">
        <v>36</v>
      </c>
      <c r="I1423" s="46" t="s">
        <v>36</v>
      </c>
      <c r="J1423" s="46" t="s">
        <v>36</v>
      </c>
      <c r="K1423" s="46" t="s">
        <v>37</v>
      </c>
      <c r="L1423" s="46" t="s">
        <v>36</v>
      </c>
      <c r="M1423" s="46" t="s">
        <v>36</v>
      </c>
      <c r="N1423" s="46" t="s">
        <v>36</v>
      </c>
      <c r="O1423" s="46" t="s">
        <v>36</v>
      </c>
      <c r="P1423" s="46" t="s">
        <v>36</v>
      </c>
      <c r="Q1423" s="46" t="s">
        <v>36</v>
      </c>
      <c r="R1423" s="46" t="s">
        <v>37</v>
      </c>
      <c r="S1423" s="46" t="s">
        <v>36</v>
      </c>
      <c r="T1423" s="46" t="s">
        <v>36</v>
      </c>
      <c r="U1423" s="46" t="s">
        <v>36</v>
      </c>
      <c r="V1423" s="46" t="s">
        <v>36</v>
      </c>
      <c r="W1423" s="46" t="s">
        <v>36</v>
      </c>
      <c r="X1423" s="46" t="s">
        <v>36</v>
      </c>
      <c r="Y1423" s="46" t="s">
        <v>37</v>
      </c>
      <c r="Z1423" s="46" t="s">
        <v>31</v>
      </c>
      <c r="AA1423" s="46" t="s">
        <v>36</v>
      </c>
      <c r="AB1423" s="46" t="s">
        <v>36</v>
      </c>
      <c r="AC1423" s="46" t="s">
        <v>36</v>
      </c>
      <c r="AD1423" s="46" t="s">
        <v>36</v>
      </c>
      <c r="AE1423" s="46" t="s">
        <v>36</v>
      </c>
      <c r="AF1423" s="46" t="s">
        <v>36</v>
      </c>
      <c r="AG1423" s="46" t="s">
        <v>37</v>
      </c>
      <c r="AH1423" s="46" t="s">
        <v>43</v>
      </c>
      <c r="AI1423" s="46"/>
      <c r="AJ1423" s="46">
        <f>=SUM(E1424:AI1424)</f>
      </c>
      <c r="AK1423" s="46">
        <f>=+AY1423</f>
      </c>
      <c r="AL1423" s="46"/>
      <c r="AM1423" s="1"/>
      <c r="AN1423" s="1">
        <f>=COUNTIF(E1423:AI1423,"A")+COUNTIF(E1423:AI1423,"B")+COUNTIF(E1423:AI1423,"C")+COUNTIF(E1423:AI1423,"D")+COUNTIF(E1423:AI1423,"E")+COUNTIF(E1423:AI1423,"F")+COUNTIF(E1423:AI1423,"M")+COUNTIF(E1423:AI1423,"AB")+COUNTIF(E1423:AI1423,"UZ")+COUNTIF(E1423:AI1423,"G")+(COUNTIF(E1423:AI1423,"RT.")/2)+(COUNTIF(E1423:AI1423,"ÇRT.")/2)</f>
      </c>
      <c r="AO1423" s="1">
        <f>=COUNTIF(E1423:AI1423,"O")</f>
      </c>
      <c r="AP1423" s="1">
        <f>=COUNTIF(E1423:AI1423,"RT")+(COUNTIF(E1423:AI1423,"RT.")/2)</f>
      </c>
      <c r="AQ1423" s="1">
        <f>=COUNTIF(E1423:AI1423,"ÇRT")+(COUNTIF(E1423:AI1423,"ÇRT.")/2)</f>
      </c>
      <c r="AR1423" s="1">
        <f>=COUNTIF(E1423:AI1423,"ÇHT")</f>
      </c>
      <c r="AS1423" s="1">
        <f>=COUNTIF(E1423:AI1423,"Ö")+COUNTIF(E1423:AI1423,"T")</f>
      </c>
      <c r="AT1423" s="1">
        <f>=COUNTIF(E1423:AI1423,"Y")</f>
      </c>
      <c r="AU1423" s="1">
        <f>=COUNTIF(E1423:AI1423,"R.")</f>
      </c>
      <c r="AV1423" s="1">
        <f>=COUNTIF(E1423:AI1423,"Ü")</f>
      </c>
      <c r="AW1423" s="1">
        <f>=COUNTIF(E1423:AI1423,"R")</f>
      </c>
      <c r="AX1423" s="1">
        <f>=COUNTIF(E1423:AI1423,"DV")</f>
      </c>
      <c r="AY1423" s="1">
        <f>=+AN1423+AO1423+AP1423+AQ1423+AR1423+AS1423+AT1423+AU1423</f>
      </c>
    </row>
    <row r="1424" ht="16" customHeight="1" spans="1:51" x14ac:dyDescent="0.25">
      <c r="A1424" s="45"/>
      <c r="B1424" s="46"/>
      <c r="C1424" s="46"/>
      <c r="D1424" s="46" t="s">
        <v>33</v>
      </c>
      <c r="E1424" s="46"/>
      <c r="F1424" s="46"/>
      <c r="G1424" s="46"/>
      <c r="H1424" s="46"/>
      <c r="I1424" s="46"/>
      <c r="J1424" s="46"/>
      <c r="K1424" s="46"/>
      <c r="L1424" s="46"/>
      <c r="M1424" s="46"/>
      <c r="N1424" s="46"/>
      <c r="O1424" s="46"/>
      <c r="P1424" s="46"/>
      <c r="Q1424" s="46"/>
      <c r="R1424" s="46"/>
      <c r="S1424" s="46"/>
      <c r="T1424" s="46"/>
      <c r="U1424" s="46"/>
      <c r="V1424" s="46"/>
      <c r="W1424" s="46"/>
      <c r="X1424" s="46"/>
      <c r="Y1424" s="46"/>
      <c r="Z1424" s="46"/>
      <c r="AA1424" s="46"/>
      <c r="AB1424" s="46"/>
      <c r="AC1424" s="46"/>
      <c r="AD1424" s="46"/>
      <c r="AE1424" s="46"/>
      <c r="AF1424" s="46"/>
      <c r="AG1424" s="46"/>
      <c r="AH1424" s="46"/>
      <c r="AI1424" s="46"/>
      <c r="AJ1424" s="46"/>
      <c r="AK1424" s="46"/>
      <c r="AL1424" s="46"/>
      <c r="AM1424" s="1"/>
      <c r="AN1424" s="1"/>
      <c r="AO1424" s="1"/>
      <c r="AP1424" s="1"/>
      <c r="AQ1424" s="1"/>
      <c r="AR1424" s="1"/>
      <c r="AS1424" s="1"/>
      <c r="AT1424" s="1"/>
      <c r="AU1424" s="1"/>
      <c r="AV1424" s="1"/>
      <c r="AW1424" s="1"/>
      <c r="AX1424" s="1"/>
      <c r="AY1424" s="1"/>
    </row>
    <row r="1425" ht="16" customHeight="1" spans="1:51" x14ac:dyDescent="0.25">
      <c r="A1425" s="45"/>
      <c r="B1425" s="46" t="s">
        <v>1477</v>
      </c>
      <c r="C1425" s="46" t="s">
        <v>1478</v>
      </c>
      <c r="D1425" s="46" t="s">
        <v>29</v>
      </c>
      <c r="E1425" s="46" t="s">
        <v>37</v>
      </c>
      <c r="F1425" s="46" t="s">
        <v>36</v>
      </c>
      <c r="G1425" s="46" t="s">
        <v>36</v>
      </c>
      <c r="H1425" s="46" t="s">
        <v>36</v>
      </c>
      <c r="I1425" s="46" t="s">
        <v>36</v>
      </c>
      <c r="J1425" s="46" t="s">
        <v>36</v>
      </c>
      <c r="K1425" s="46" t="s">
        <v>36</v>
      </c>
      <c r="L1425" s="46" t="s">
        <v>37</v>
      </c>
      <c r="M1425" s="46" t="s">
        <v>31</v>
      </c>
      <c r="N1425" s="46" t="s">
        <v>31</v>
      </c>
      <c r="O1425" s="46" t="s">
        <v>31</v>
      </c>
      <c r="P1425" s="46" t="s">
        <v>32</v>
      </c>
      <c r="Q1425" s="46" t="s">
        <v>36</v>
      </c>
      <c r="R1425" s="46" t="s">
        <v>36</v>
      </c>
      <c r="S1425" s="46" t="s">
        <v>37</v>
      </c>
      <c r="T1425" s="46" t="s">
        <v>36</v>
      </c>
      <c r="U1425" s="46" t="s">
        <v>36</v>
      </c>
      <c r="V1425" s="46" t="s">
        <v>36</v>
      </c>
      <c r="W1425" s="46" t="s">
        <v>31</v>
      </c>
      <c r="X1425" s="46" t="s">
        <v>36</v>
      </c>
      <c r="Y1425" s="46" t="s">
        <v>36</v>
      </c>
      <c r="Z1425" s="46" t="s">
        <v>37</v>
      </c>
      <c r="AA1425" s="46" t="s">
        <v>36</v>
      </c>
      <c r="AB1425" s="46" t="s">
        <v>36</v>
      </c>
      <c r="AC1425" s="46" t="s">
        <v>36</v>
      </c>
      <c r="AD1425" s="46" t="s">
        <v>36</v>
      </c>
      <c r="AE1425" s="46" t="s">
        <v>36</v>
      </c>
      <c r="AF1425" s="46" t="s">
        <v>36</v>
      </c>
      <c r="AG1425" s="46" t="s">
        <v>37</v>
      </c>
      <c r="AH1425" s="46" t="s">
        <v>43</v>
      </c>
      <c r="AI1425" s="46" t="s">
        <v>36</v>
      </c>
      <c r="AJ1425" s="46">
        <f>=SUM(E1426:AI1426)</f>
      </c>
      <c r="AK1425" s="46">
        <f>=+AY1425</f>
      </c>
      <c r="AL1425" s="46"/>
      <c r="AM1425" s="1"/>
      <c r="AN1425" s="1">
        <f>=COUNTIF(E1425:AI1425,"A")+COUNTIF(E1425:AI1425,"B")+COUNTIF(E1425:AI1425,"C")+COUNTIF(E1425:AI1425,"D")+COUNTIF(E1425:AI1425,"E")+COUNTIF(E1425:AI1425,"F")+COUNTIF(E1425:AI1425,"M")+COUNTIF(E1425:AI1425,"AB")+COUNTIF(E1425:AI1425,"UZ")+COUNTIF(E1425:AI1425,"G")+(COUNTIF(E1425:AI1425,"RT.")/2)+(COUNTIF(E1425:AI1425,"ÇRT.")/2)</f>
      </c>
      <c r="AO1425" s="1">
        <f>=COUNTIF(E1425:AI1425,"O")</f>
      </c>
      <c r="AP1425" s="1">
        <f>=COUNTIF(E1425:AI1425,"RT")+(COUNTIF(E1425:AI1425,"RT.")/2)</f>
      </c>
      <c r="AQ1425" s="1">
        <f>=COUNTIF(E1425:AI1425,"ÇRT")+(COUNTIF(E1425:AI1425,"ÇRT.")/2)</f>
      </c>
      <c r="AR1425" s="1">
        <f>=COUNTIF(E1425:AI1425,"ÇHT")</f>
      </c>
      <c r="AS1425" s="1">
        <f>=COUNTIF(E1425:AI1425,"Ö")+COUNTIF(E1425:AI1425,"T")</f>
      </c>
      <c r="AT1425" s="1">
        <f>=COUNTIF(E1425:AI1425,"Y")</f>
      </c>
      <c r="AU1425" s="1">
        <f>=COUNTIF(E1425:AI1425,"R.")</f>
      </c>
      <c r="AV1425" s="1">
        <f>=COUNTIF(E1425:AI1425,"Ü")</f>
      </c>
      <c r="AW1425" s="1">
        <f>=COUNTIF(E1425:AI1425,"R")</f>
      </c>
      <c r="AX1425" s="1">
        <f>=COUNTIF(E1425:AI1425,"DV")</f>
      </c>
      <c r="AY1425" s="1">
        <f>=+AN1425+AO1425+AP1425+AQ1425+AR1425+AS1425+AT1425+AU1425</f>
      </c>
    </row>
    <row r="1426" ht="16" customHeight="1" spans="1:51" x14ac:dyDescent="0.25">
      <c r="A1426" s="45"/>
      <c r="B1426" s="46"/>
      <c r="C1426" s="46"/>
      <c r="D1426" s="46" t="s">
        <v>33</v>
      </c>
      <c r="E1426" s="46"/>
      <c r="F1426" s="46"/>
      <c r="G1426" s="46"/>
      <c r="H1426" s="46"/>
      <c r="I1426" s="46"/>
      <c r="J1426" s="46"/>
      <c r="K1426" s="46"/>
      <c r="L1426" s="46"/>
      <c r="M1426" s="46"/>
      <c r="N1426" s="46"/>
      <c r="O1426" s="46"/>
      <c r="P1426" s="46"/>
      <c r="Q1426" s="46"/>
      <c r="R1426" s="46"/>
      <c r="S1426" s="46"/>
      <c r="T1426" s="46"/>
      <c r="U1426" s="46"/>
      <c r="V1426" s="46"/>
      <c r="W1426" s="46"/>
      <c r="X1426" s="46"/>
      <c r="Y1426" s="46"/>
      <c r="Z1426" s="46"/>
      <c r="AA1426" s="46"/>
      <c r="AB1426" s="46"/>
      <c r="AC1426" s="46"/>
      <c r="AD1426" s="46"/>
      <c r="AE1426" s="46"/>
      <c r="AF1426" s="46"/>
      <c r="AG1426" s="46"/>
      <c r="AH1426" s="46"/>
      <c r="AI1426" s="46"/>
      <c r="AJ1426" s="46"/>
      <c r="AK1426" s="46"/>
      <c r="AL1426" s="46"/>
      <c r="AM1426" s="1"/>
      <c r="AN1426" s="1"/>
      <c r="AO1426" s="1"/>
      <c r="AP1426" s="1"/>
      <c r="AQ1426" s="1"/>
      <c r="AR1426" s="1"/>
      <c r="AS1426" s="1"/>
      <c r="AT1426" s="1"/>
      <c r="AU1426" s="1"/>
      <c r="AV1426" s="1"/>
      <c r="AW1426" s="1"/>
      <c r="AX1426" s="1"/>
      <c r="AY1426" s="1"/>
    </row>
    <row r="1427" ht="16" customHeight="1" spans="1:51" x14ac:dyDescent="0.25">
      <c r="A1427" s="45"/>
      <c r="B1427" s="46" t="s">
        <v>1479</v>
      </c>
      <c r="C1427" s="46" t="s">
        <v>1480</v>
      </c>
      <c r="D1427" s="46" t="s">
        <v>29</v>
      </c>
      <c r="E1427" s="46" t="s">
        <v>46</v>
      </c>
      <c r="F1427" s="46" t="s">
        <v>37</v>
      </c>
      <c r="G1427" s="46" t="s">
        <v>41</v>
      </c>
      <c r="H1427" s="46" t="s">
        <v>41</v>
      </c>
      <c r="I1427" s="46" t="s">
        <v>41</v>
      </c>
      <c r="J1427" s="46" t="s">
        <v>41</v>
      </c>
      <c r="K1427" s="46" t="s">
        <v>41</v>
      </c>
      <c r="L1427" s="46" t="s">
        <v>41</v>
      </c>
      <c r="M1427" s="46" t="s">
        <v>37</v>
      </c>
      <c r="N1427" s="46" t="s">
        <v>59</v>
      </c>
      <c r="O1427" s="46" t="s">
        <v>59</v>
      </c>
      <c r="P1427" s="46" t="s">
        <v>41</v>
      </c>
      <c r="Q1427" s="46" t="s">
        <v>41</v>
      </c>
      <c r="R1427" s="46" t="s">
        <v>41</v>
      </c>
      <c r="S1427" s="46" t="s">
        <v>41</v>
      </c>
      <c r="T1427" s="46" t="s">
        <v>37</v>
      </c>
      <c r="U1427" s="46" t="s">
        <v>41</v>
      </c>
      <c r="V1427" s="46" t="s">
        <v>41</v>
      </c>
      <c r="W1427" s="46" t="s">
        <v>41</v>
      </c>
      <c r="X1427" s="46" t="s">
        <v>41</v>
      </c>
      <c r="Y1427" s="46" t="s">
        <v>59</v>
      </c>
      <c r="Z1427" s="46" t="s">
        <v>41</v>
      </c>
      <c r="AA1427" s="46" t="s">
        <v>37</v>
      </c>
      <c r="AB1427" s="46" t="s">
        <v>59</v>
      </c>
      <c r="AC1427" s="46" t="s">
        <v>41</v>
      </c>
      <c r="AD1427" s="46" t="s">
        <v>59</v>
      </c>
      <c r="AE1427" s="46" t="s">
        <v>59</v>
      </c>
      <c r="AF1427" s="46" t="s">
        <v>41</v>
      </c>
      <c r="AG1427" s="46" t="s">
        <v>41</v>
      </c>
      <c r="AH1427" s="46" t="s">
        <v>37</v>
      </c>
      <c r="AI1427" s="46" t="s">
        <v>41</v>
      </c>
      <c r="AJ1427" s="46">
        <f>=SUM(E1428:AI1428)</f>
      </c>
      <c r="AK1427" s="46">
        <f>=+AY1427</f>
      </c>
      <c r="AL1427" s="46"/>
      <c r="AM1427" s="1"/>
      <c r="AN1427" s="1">
        <f>=COUNTIF(E1427:AI1427,"A")+COUNTIF(E1427:AI1427,"B")+COUNTIF(E1427:AI1427,"C")+COUNTIF(E1427:AI1427,"D")+COUNTIF(E1427:AI1427,"E")+COUNTIF(E1427:AI1427,"F")+COUNTIF(E1427:AI1427,"M")+COUNTIF(E1427:AI1427,"AB")+COUNTIF(E1427:AI1427,"UZ")+COUNTIF(E1427:AI1427,"G")+(COUNTIF(E1427:AI1427,"RT.")/2)+(COUNTIF(E1427:AI1427,"ÇRT.")/2)</f>
      </c>
      <c r="AO1427" s="1">
        <f>=COUNTIF(E1427:AI1427,"O")</f>
      </c>
      <c r="AP1427" s="1">
        <f>=COUNTIF(E1427:AI1427,"RT")+(COUNTIF(E1427:AI1427,"RT.")/2)</f>
      </c>
      <c r="AQ1427" s="1">
        <f>=COUNTIF(E1427:AI1427,"ÇRT")+(COUNTIF(E1427:AI1427,"ÇRT.")/2)</f>
      </c>
      <c r="AR1427" s="1">
        <f>=COUNTIF(E1427:AI1427,"ÇHT")</f>
      </c>
      <c r="AS1427" s="1">
        <f>=COUNTIF(E1427:AI1427,"Ö")+COUNTIF(E1427:AI1427,"T")</f>
      </c>
      <c r="AT1427" s="1">
        <f>=COUNTIF(E1427:AI1427,"Y")</f>
      </c>
      <c r="AU1427" s="1">
        <f>=COUNTIF(E1427:AI1427,"R.")</f>
      </c>
      <c r="AV1427" s="1">
        <f>=COUNTIF(E1427:AI1427,"Ü")</f>
      </c>
      <c r="AW1427" s="1">
        <f>=COUNTIF(E1427:AI1427,"R")</f>
      </c>
      <c r="AX1427" s="1">
        <f>=COUNTIF(E1427:AI1427,"DV")</f>
      </c>
      <c r="AY1427" s="1">
        <f>=+AN1427+AO1427+AP1427+AQ1427+AR1427+AS1427+AT1427+AU1427</f>
      </c>
    </row>
    <row r="1428" ht="16" customHeight="1" spans="1:51" x14ac:dyDescent="0.25">
      <c r="A1428" s="45"/>
      <c r="B1428" s="46"/>
      <c r="C1428" s="46"/>
      <c r="D1428" s="46" t="s">
        <v>33</v>
      </c>
      <c r="E1428" s="46">
        <v>1</v>
      </c>
      <c r="F1428" s="46"/>
      <c r="G1428" s="46">
        <v>2</v>
      </c>
      <c r="H1428" s="46">
        <v>2</v>
      </c>
      <c r="I1428" s="46">
        <v>2</v>
      </c>
      <c r="J1428" s="46">
        <v>2</v>
      </c>
      <c r="K1428" s="46">
        <v>2</v>
      </c>
      <c r="L1428" s="46">
        <v>2</v>
      </c>
      <c r="M1428" s="46"/>
      <c r="N1428" s="46">
        <v>2</v>
      </c>
      <c r="O1428" s="46">
        <v>2</v>
      </c>
      <c r="P1428" s="46">
        <v>2</v>
      </c>
      <c r="Q1428" s="46">
        <v>2</v>
      </c>
      <c r="R1428" s="46">
        <v>2</v>
      </c>
      <c r="S1428" s="46">
        <v>2</v>
      </c>
      <c r="T1428" s="46"/>
      <c r="U1428" s="46"/>
      <c r="V1428" s="46">
        <v>2</v>
      </c>
      <c r="W1428" s="46">
        <v>2</v>
      </c>
      <c r="X1428" s="46">
        <v>2</v>
      </c>
      <c r="Y1428" s="46">
        <v>2</v>
      </c>
      <c r="Z1428" s="46">
        <v>2</v>
      </c>
      <c r="AA1428" s="46"/>
      <c r="AB1428" s="46">
        <v>2</v>
      </c>
      <c r="AC1428" s="46">
        <v>2</v>
      </c>
      <c r="AD1428" s="46">
        <v>2</v>
      </c>
      <c r="AE1428" s="46">
        <v>2</v>
      </c>
      <c r="AF1428" s="46">
        <v>2</v>
      </c>
      <c r="AG1428" s="46">
        <v>2</v>
      </c>
      <c r="AH1428" s="46"/>
      <c r="AI1428" s="46">
        <v>2</v>
      </c>
      <c r="AJ1428" s="46"/>
      <c r="AK1428" s="46"/>
      <c r="AL1428" s="46"/>
      <c r="AM1428" s="1"/>
      <c r="AN1428" s="1"/>
      <c r="AO1428" s="1"/>
      <c r="AP1428" s="1"/>
      <c r="AQ1428" s="1"/>
      <c r="AR1428" s="1"/>
      <c r="AS1428" s="1"/>
      <c r="AT1428" s="1"/>
      <c r="AU1428" s="1"/>
      <c r="AV1428" s="1"/>
      <c r="AW1428" s="1"/>
      <c r="AX1428" s="1"/>
      <c r="AY1428" s="1"/>
    </row>
    <row r="1429" ht="16" customHeight="1" spans="1:51" x14ac:dyDescent="0.25">
      <c r="A1429" s="45"/>
      <c r="B1429" s="46" t="s">
        <v>1481</v>
      </c>
      <c r="C1429" s="46" t="s">
        <v>1482</v>
      </c>
      <c r="D1429" s="46" t="s">
        <v>29</v>
      </c>
      <c r="E1429" s="46" t="s">
        <v>59</v>
      </c>
      <c r="F1429" s="46" t="s">
        <v>59</v>
      </c>
      <c r="G1429" s="46" t="s">
        <v>59</v>
      </c>
      <c r="H1429" s="46" t="s">
        <v>59</v>
      </c>
      <c r="I1429" s="46" t="s">
        <v>59</v>
      </c>
      <c r="J1429" s="46" t="s">
        <v>59</v>
      </c>
      <c r="K1429" s="46" t="s">
        <v>37</v>
      </c>
      <c r="L1429" s="46" t="s">
        <v>59</v>
      </c>
      <c r="M1429" s="46" t="s">
        <v>59</v>
      </c>
      <c r="N1429" s="46" t="s">
        <v>37</v>
      </c>
      <c r="O1429" s="46" t="s">
        <v>59</v>
      </c>
      <c r="P1429" s="46" t="s">
        <v>59</v>
      </c>
      <c r="Q1429" s="46" t="s">
        <v>59</v>
      </c>
      <c r="R1429" s="46" t="s">
        <v>59</v>
      </c>
      <c r="S1429" s="46" t="s">
        <v>59</v>
      </c>
      <c r="T1429" s="46" t="s">
        <v>59</v>
      </c>
      <c r="U1429" s="46" t="s">
        <v>37</v>
      </c>
      <c r="V1429" s="46" t="s">
        <v>59</v>
      </c>
      <c r="W1429" s="46" t="s">
        <v>59</v>
      </c>
      <c r="X1429" s="46" t="s">
        <v>59</v>
      </c>
      <c r="Y1429" s="46" t="s">
        <v>59</v>
      </c>
      <c r="Z1429" s="46" t="s">
        <v>59</v>
      </c>
      <c r="AA1429" s="46" t="s">
        <v>59</v>
      </c>
      <c r="AB1429" s="46" t="s">
        <v>59</v>
      </c>
      <c r="AC1429" s="46" t="s">
        <v>37</v>
      </c>
      <c r="AD1429" s="46" t="s">
        <v>59</v>
      </c>
      <c r="AE1429" s="46" t="s">
        <v>59</v>
      </c>
      <c r="AF1429" s="46" t="s">
        <v>59</v>
      </c>
      <c r="AG1429" s="46" t="s">
        <v>59</v>
      </c>
      <c r="AH1429" s="46" t="s">
        <v>43</v>
      </c>
      <c r="AI1429" s="46" t="s">
        <v>37</v>
      </c>
      <c r="AJ1429" s="46">
        <f>=SUM(E1430:AI1430)</f>
      </c>
      <c r="AK1429" s="46">
        <f>=+AY1429</f>
      </c>
      <c r="AL1429" s="46"/>
      <c r="AM1429" s="1"/>
      <c r="AN1429" s="1">
        <f>=COUNTIF(E1429:AI1429,"A")+COUNTIF(E1429:AI1429,"B")+COUNTIF(E1429:AI1429,"C")+COUNTIF(E1429:AI1429,"D")+COUNTIF(E1429:AI1429,"E")+COUNTIF(E1429:AI1429,"F")+COUNTIF(E1429:AI1429,"M")+COUNTIF(E1429:AI1429,"AB")+COUNTIF(E1429:AI1429,"UZ")+COUNTIF(E1429:AI1429,"G")+(COUNTIF(E1429:AI1429,"RT.")/2)+(COUNTIF(E1429:AI1429,"ÇRT.")/2)</f>
      </c>
      <c r="AO1429" s="1">
        <f>=COUNTIF(E1429:AI1429,"O")</f>
      </c>
      <c r="AP1429" s="1">
        <f>=COUNTIF(E1429:AI1429,"RT")+(COUNTIF(E1429:AI1429,"RT.")/2)</f>
      </c>
      <c r="AQ1429" s="1">
        <f>=COUNTIF(E1429:AI1429,"ÇRT")+(COUNTIF(E1429:AI1429,"ÇRT.")/2)</f>
      </c>
      <c r="AR1429" s="1">
        <f>=COUNTIF(E1429:AI1429,"ÇHT")</f>
      </c>
      <c r="AS1429" s="1">
        <f>=COUNTIF(E1429:AI1429,"Ö")+COUNTIF(E1429:AI1429,"T")</f>
      </c>
      <c r="AT1429" s="1">
        <f>=COUNTIF(E1429:AI1429,"Y")</f>
      </c>
      <c r="AU1429" s="1">
        <f>=COUNTIF(E1429:AI1429,"R.")</f>
      </c>
      <c r="AV1429" s="1">
        <f>=COUNTIF(E1429:AI1429,"Ü")</f>
      </c>
      <c r="AW1429" s="1">
        <f>=COUNTIF(E1429:AI1429,"R")</f>
      </c>
      <c r="AX1429" s="1">
        <f>=COUNTIF(E1429:AI1429,"DV")</f>
      </c>
      <c r="AY1429" s="1">
        <f>=+AN1429+AO1429+AP1429+AQ1429+AR1429+AS1429+AT1429+AU1429</f>
      </c>
    </row>
    <row r="1430" ht="16" customHeight="1" spans="1:51" x14ac:dyDescent="0.25">
      <c r="A1430" s="45"/>
      <c r="B1430" s="46"/>
      <c r="C1430" s="46"/>
      <c r="D1430" s="46" t="s">
        <v>33</v>
      </c>
      <c r="E1430" s="46"/>
      <c r="F1430" s="46"/>
      <c r="G1430" s="46"/>
      <c r="H1430" s="46"/>
      <c r="I1430" s="46">
        <v>2</v>
      </c>
      <c r="J1430" s="46"/>
      <c r="K1430" s="46"/>
      <c r="L1430" s="46"/>
      <c r="M1430" s="46"/>
      <c r="N1430" s="46"/>
      <c r="O1430" s="46"/>
      <c r="P1430" s="46"/>
      <c r="Q1430" s="46"/>
      <c r="R1430" s="46">
        <v>2</v>
      </c>
      <c r="S1430" s="46"/>
      <c r="T1430" s="46"/>
      <c r="U1430" s="46"/>
      <c r="V1430" s="46"/>
      <c r="W1430" s="46"/>
      <c r="X1430" s="46"/>
      <c r="Y1430" s="46">
        <v>2</v>
      </c>
      <c r="Z1430" s="46"/>
      <c r="AA1430" s="46"/>
      <c r="AB1430" s="46"/>
      <c r="AC1430" s="46"/>
      <c r="AD1430" s="46">
        <v>2</v>
      </c>
      <c r="AE1430" s="46"/>
      <c r="AF1430" s="46">
        <v>2</v>
      </c>
      <c r="AG1430" s="46"/>
      <c r="AH1430" s="46">
        <v>2</v>
      </c>
      <c r="AI1430" s="46"/>
      <c r="AJ1430" s="46"/>
      <c r="AK1430" s="46"/>
      <c r="AL1430" s="46"/>
      <c r="AM1430" s="1"/>
      <c r="AN1430" s="1"/>
      <c r="AO1430" s="1"/>
      <c r="AP1430" s="1"/>
      <c r="AQ1430" s="1"/>
      <c r="AR1430" s="1"/>
      <c r="AS1430" s="1"/>
      <c r="AT1430" s="1"/>
      <c r="AU1430" s="1"/>
      <c r="AV1430" s="1"/>
      <c r="AW1430" s="1"/>
      <c r="AX1430" s="1"/>
      <c r="AY1430" s="1"/>
    </row>
    <row r="1431" ht="16" customHeight="1" spans="1:51" x14ac:dyDescent="0.25">
      <c r="A1431" s="45"/>
      <c r="B1431" s="46" t="s">
        <v>1483</v>
      </c>
      <c r="C1431" s="46" t="s">
        <v>1484</v>
      </c>
      <c r="D1431" s="46" t="s">
        <v>29</v>
      </c>
      <c r="E1431" s="46" t="s">
        <v>59</v>
      </c>
      <c r="F1431" s="46" t="s">
        <v>59</v>
      </c>
      <c r="G1431" s="46" t="s">
        <v>59</v>
      </c>
      <c r="H1431" s="46" t="s">
        <v>59</v>
      </c>
      <c r="I1431" s="46" t="s">
        <v>37</v>
      </c>
      <c r="J1431" s="46" t="s">
        <v>59</v>
      </c>
      <c r="K1431" s="46" t="s">
        <v>59</v>
      </c>
      <c r="L1431" s="46" t="s">
        <v>59</v>
      </c>
      <c r="M1431" s="46" t="s">
        <v>59</v>
      </c>
      <c r="N1431" s="46" t="s">
        <v>59</v>
      </c>
      <c r="O1431" s="46" t="s">
        <v>59</v>
      </c>
      <c r="P1431" s="46" t="s">
        <v>37</v>
      </c>
      <c r="Q1431" s="46" t="s">
        <v>59</v>
      </c>
      <c r="R1431" s="46" t="s">
        <v>59</v>
      </c>
      <c r="S1431" s="46" t="s">
        <v>59</v>
      </c>
      <c r="T1431" s="46" t="s">
        <v>59</v>
      </c>
      <c r="U1431" s="46" t="s">
        <v>59</v>
      </c>
      <c r="V1431" s="46" t="s">
        <v>59</v>
      </c>
      <c r="W1431" s="46" t="s">
        <v>37</v>
      </c>
      <c r="X1431" s="46" t="s">
        <v>59</v>
      </c>
      <c r="Y1431" s="46" t="s">
        <v>59</v>
      </c>
      <c r="Z1431" s="46" t="s">
        <v>59</v>
      </c>
      <c r="AA1431" s="46" t="s">
        <v>59</v>
      </c>
      <c r="AB1431" s="46" t="s">
        <v>59</v>
      </c>
      <c r="AC1431" s="46" t="s">
        <v>59</v>
      </c>
      <c r="AD1431" s="46" t="s">
        <v>37</v>
      </c>
      <c r="AE1431" s="46" t="s">
        <v>59</v>
      </c>
      <c r="AF1431" s="46" t="s">
        <v>59</v>
      </c>
      <c r="AG1431" s="46" t="s">
        <v>59</v>
      </c>
      <c r="AH1431" s="46" t="s">
        <v>43</v>
      </c>
      <c r="AI1431" s="46" t="s">
        <v>59</v>
      </c>
      <c r="AJ1431" s="46">
        <f>=SUM(E1432:AI1432)</f>
      </c>
      <c r="AK1431" s="46">
        <f>=+AY1431</f>
      </c>
      <c r="AL1431" s="46"/>
      <c r="AM1431" s="1"/>
      <c r="AN1431" s="1">
        <f>=COUNTIF(E1431:AI1431,"A")+COUNTIF(E1431:AI1431,"B")+COUNTIF(E1431:AI1431,"C")+COUNTIF(E1431:AI1431,"D")+COUNTIF(E1431:AI1431,"E")+COUNTIF(E1431:AI1431,"F")+COUNTIF(E1431:AI1431,"M")+COUNTIF(E1431:AI1431,"AB")+COUNTIF(E1431:AI1431,"UZ")+COUNTIF(E1431:AI1431,"G")+(COUNTIF(E1431:AI1431,"RT.")/2)+(COUNTIF(E1431:AI1431,"ÇRT.")/2)</f>
      </c>
      <c r="AO1431" s="1">
        <f>=COUNTIF(E1431:AI1431,"O")</f>
      </c>
      <c r="AP1431" s="1">
        <f>=COUNTIF(E1431:AI1431,"RT")+(COUNTIF(E1431:AI1431,"RT.")/2)</f>
      </c>
      <c r="AQ1431" s="1">
        <f>=COUNTIF(E1431:AI1431,"ÇRT")+(COUNTIF(E1431:AI1431,"ÇRT.")/2)</f>
      </c>
      <c r="AR1431" s="1">
        <f>=COUNTIF(E1431:AI1431,"ÇHT")</f>
      </c>
      <c r="AS1431" s="1">
        <f>=COUNTIF(E1431:AI1431,"Ö")+COUNTIF(E1431:AI1431,"T")</f>
      </c>
      <c r="AT1431" s="1">
        <f>=COUNTIF(E1431:AI1431,"Y")</f>
      </c>
      <c r="AU1431" s="1">
        <f>=COUNTIF(E1431:AI1431,"R.")</f>
      </c>
      <c r="AV1431" s="1">
        <f>=COUNTIF(E1431:AI1431,"Ü")</f>
      </c>
      <c r="AW1431" s="1">
        <f>=COUNTIF(E1431:AI1431,"R")</f>
      </c>
      <c r="AX1431" s="1">
        <f>=COUNTIF(E1431:AI1431,"DV")</f>
      </c>
      <c r="AY1431" s="1">
        <f>=+AN1431+AO1431+AP1431+AQ1431+AR1431+AS1431+AT1431+AU1431</f>
      </c>
    </row>
    <row r="1432" ht="16" customHeight="1" spans="1:51" x14ac:dyDescent="0.25">
      <c r="A1432" s="45"/>
      <c r="B1432" s="46"/>
      <c r="C1432" s="46"/>
      <c r="D1432" s="46" t="s">
        <v>33</v>
      </c>
      <c r="E1432" s="46"/>
      <c r="F1432" s="46"/>
      <c r="G1432" s="46"/>
      <c r="H1432" s="46"/>
      <c r="I1432" s="46"/>
      <c r="J1432" s="46"/>
      <c r="K1432" s="46"/>
      <c r="L1432" s="46"/>
      <c r="M1432" s="46"/>
      <c r="N1432" s="46"/>
      <c r="O1432" s="46"/>
      <c r="P1432" s="46"/>
      <c r="Q1432" s="46"/>
      <c r="R1432" s="46"/>
      <c r="S1432" s="46"/>
      <c r="T1432" s="46"/>
      <c r="U1432" s="46">
        <v>2</v>
      </c>
      <c r="V1432" s="46">
        <v>2</v>
      </c>
      <c r="W1432" s="46"/>
      <c r="X1432" s="46"/>
      <c r="Y1432" s="46">
        <v>2</v>
      </c>
      <c r="Z1432" s="46">
        <v>2</v>
      </c>
      <c r="AA1432" s="46">
        <v>2</v>
      </c>
      <c r="AB1432" s="46"/>
      <c r="AC1432" s="46">
        <v>2</v>
      </c>
      <c r="AD1432" s="46"/>
      <c r="AE1432" s="46"/>
      <c r="AF1432" s="46"/>
      <c r="AG1432" s="46"/>
      <c r="AH1432" s="46"/>
      <c r="AI1432" s="46"/>
      <c r="AJ1432" s="46"/>
      <c r="AK1432" s="46"/>
      <c r="AL1432" s="46"/>
      <c r="AM1432" s="1"/>
      <c r="AN1432" s="1"/>
      <c r="AO1432" s="1"/>
      <c r="AP1432" s="1"/>
      <c r="AQ1432" s="1"/>
      <c r="AR1432" s="1"/>
      <c r="AS1432" s="1"/>
      <c r="AT1432" s="1"/>
      <c r="AU1432" s="1"/>
      <c r="AV1432" s="1"/>
      <c r="AW1432" s="1"/>
      <c r="AX1432" s="1"/>
      <c r="AY1432" s="1"/>
    </row>
    <row r="1433" ht="16" customHeight="1" spans="1:51" x14ac:dyDescent="0.25">
      <c r="A1433" s="45"/>
      <c r="B1433" s="46" t="s">
        <v>1485</v>
      </c>
      <c r="C1433" s="46" t="s">
        <v>1486</v>
      </c>
      <c r="D1433" s="46" t="s">
        <v>29</v>
      </c>
      <c r="E1433" s="46"/>
      <c r="F1433" s="46"/>
      <c r="G1433" s="46"/>
      <c r="H1433" s="46"/>
      <c r="I1433" s="46"/>
      <c r="J1433" s="46"/>
      <c r="K1433" s="46"/>
      <c r="L1433" s="46"/>
      <c r="M1433" s="46"/>
      <c r="N1433" s="46"/>
      <c r="O1433" s="46"/>
      <c r="P1433" s="46"/>
      <c r="Q1433" s="46"/>
      <c r="R1433" s="46"/>
      <c r="S1433" s="46"/>
      <c r="T1433" s="46"/>
      <c r="U1433" s="46"/>
      <c r="V1433" s="46"/>
      <c r="W1433" s="46"/>
      <c r="X1433" s="46"/>
      <c r="Y1433" s="46"/>
      <c r="Z1433" s="46"/>
      <c r="AA1433" s="46"/>
      <c r="AB1433" s="46"/>
      <c r="AC1433" s="46"/>
      <c r="AD1433" s="46"/>
      <c r="AE1433" s="46"/>
      <c r="AF1433" s="46"/>
      <c r="AG1433" s="46"/>
      <c r="AH1433" s="46"/>
      <c r="AI1433" s="46"/>
      <c r="AJ1433" s="46">
        <f>=SUM(E1434:AI1434)</f>
      </c>
      <c r="AK1433" s="46">
        <f>=+AY1433</f>
      </c>
      <c r="AL1433" s="46"/>
      <c r="AM1433" s="1"/>
      <c r="AN1433" s="1">
        <f>=COUNTIF(E1433:AI1433,"A")+COUNTIF(E1433:AI1433,"B")+COUNTIF(E1433:AI1433,"C")+COUNTIF(E1433:AI1433,"D")+COUNTIF(E1433:AI1433,"E")+COUNTIF(E1433:AI1433,"F")+COUNTIF(E1433:AI1433,"M")+COUNTIF(E1433:AI1433,"AB")+COUNTIF(E1433:AI1433,"UZ")+COUNTIF(E1433:AI1433,"G")+(COUNTIF(E1433:AI1433,"RT.")/2)+(COUNTIF(E1433:AI1433,"ÇRT.")/2)</f>
      </c>
      <c r="AO1433" s="1">
        <f>=COUNTIF(E1433:AI1433,"O")</f>
      </c>
      <c r="AP1433" s="1">
        <f>=COUNTIF(E1433:AI1433,"RT")+(COUNTIF(E1433:AI1433,"RT.")/2)</f>
      </c>
      <c r="AQ1433" s="1">
        <f>=COUNTIF(E1433:AI1433,"ÇRT")+(COUNTIF(E1433:AI1433,"ÇRT.")/2)</f>
      </c>
      <c r="AR1433" s="1">
        <f>=COUNTIF(E1433:AI1433,"ÇHT")</f>
      </c>
      <c r="AS1433" s="1">
        <f>=COUNTIF(E1433:AI1433,"Ö")+COUNTIF(E1433:AI1433,"T")</f>
      </c>
      <c r="AT1433" s="1">
        <f>=COUNTIF(E1433:AI1433,"Y")</f>
      </c>
      <c r="AU1433" s="1">
        <f>=COUNTIF(E1433:AI1433,"R.")</f>
      </c>
      <c r="AV1433" s="1">
        <f>=COUNTIF(E1433:AI1433,"Ü")</f>
      </c>
      <c r="AW1433" s="1">
        <f>=COUNTIF(E1433:AI1433,"R")</f>
      </c>
      <c r="AX1433" s="1">
        <f>=COUNTIF(E1433:AI1433,"DV")</f>
      </c>
      <c r="AY1433" s="1">
        <f>=+AN1433+AO1433+AP1433+AQ1433+AR1433+AS1433+AT1433+AU1433</f>
      </c>
    </row>
    <row r="1434" ht="16" customHeight="1" spans="1:51" x14ac:dyDescent="0.25">
      <c r="A1434" s="45"/>
      <c r="B1434" s="46"/>
      <c r="C1434" s="46"/>
      <c r="D1434" s="46" t="s">
        <v>33</v>
      </c>
      <c r="E1434" s="46"/>
      <c r="F1434" s="46"/>
      <c r="G1434" s="46"/>
      <c r="H1434" s="46"/>
      <c r="I1434" s="46"/>
      <c r="J1434" s="46"/>
      <c r="K1434" s="46"/>
      <c r="L1434" s="46"/>
      <c r="M1434" s="46"/>
      <c r="N1434" s="46"/>
      <c r="O1434" s="46"/>
      <c r="P1434" s="46"/>
      <c r="Q1434" s="46"/>
      <c r="R1434" s="46"/>
      <c r="S1434" s="46"/>
      <c r="T1434" s="46"/>
      <c r="U1434" s="46"/>
      <c r="V1434" s="46"/>
      <c r="W1434" s="46"/>
      <c r="X1434" s="46"/>
      <c r="Y1434" s="46"/>
      <c r="Z1434" s="46"/>
      <c r="AA1434" s="46"/>
      <c r="AB1434" s="46"/>
      <c r="AC1434" s="46"/>
      <c r="AD1434" s="46"/>
      <c r="AE1434" s="46"/>
      <c r="AF1434" s="46"/>
      <c r="AG1434" s="46"/>
      <c r="AH1434" s="46"/>
      <c r="AI1434" s="46"/>
      <c r="AJ1434" s="46"/>
      <c r="AK1434" s="46"/>
      <c r="AL1434" s="46"/>
      <c r="AM1434" s="1"/>
      <c r="AN1434" s="1"/>
      <c r="AO1434" s="1"/>
      <c r="AP1434" s="1"/>
      <c r="AQ1434" s="1"/>
      <c r="AR1434" s="1"/>
      <c r="AS1434" s="1"/>
      <c r="AT1434" s="1"/>
      <c r="AU1434" s="1"/>
      <c r="AV1434" s="1"/>
      <c r="AW1434" s="1"/>
      <c r="AX1434" s="1"/>
      <c r="AY1434" s="1"/>
    </row>
    <row r="1435" ht="16" customHeight="1" spans="1:51" x14ac:dyDescent="0.25">
      <c r="A1435" s="45"/>
      <c r="B1435" s="46" t="s">
        <v>1487</v>
      </c>
      <c r="C1435" s="46" t="s">
        <v>1488</v>
      </c>
      <c r="D1435" s="46" t="s">
        <v>29</v>
      </c>
      <c r="E1435" s="46"/>
      <c r="F1435" s="46"/>
      <c r="G1435" s="46"/>
      <c r="H1435" s="46"/>
      <c r="I1435" s="46"/>
      <c r="J1435" s="46"/>
      <c r="K1435" s="46"/>
      <c r="L1435" s="46"/>
      <c r="M1435" s="46"/>
      <c r="N1435" s="46"/>
      <c r="O1435" s="46"/>
      <c r="P1435" s="46"/>
      <c r="Q1435" s="46"/>
      <c r="R1435" s="46"/>
      <c r="S1435" s="46"/>
      <c r="T1435" s="46"/>
      <c r="U1435" s="46"/>
      <c r="V1435" s="46"/>
      <c r="W1435" s="46"/>
      <c r="X1435" s="46"/>
      <c r="Y1435" s="46"/>
      <c r="Z1435" s="46"/>
      <c r="AA1435" s="46"/>
      <c r="AB1435" s="46"/>
      <c r="AC1435" s="46" t="s">
        <v>36</v>
      </c>
      <c r="AD1435" s="46" t="s">
        <v>36</v>
      </c>
      <c r="AE1435" s="46" t="s">
        <v>36</v>
      </c>
      <c r="AF1435" s="46" t="s">
        <v>36</v>
      </c>
      <c r="AG1435" s="46" t="s">
        <v>36</v>
      </c>
      <c r="AH1435" s="46" t="s">
        <v>37</v>
      </c>
      <c r="AI1435" s="46" t="s">
        <v>36</v>
      </c>
      <c r="AJ1435" s="46">
        <f>=SUM(E1436:AI1436)</f>
      </c>
      <c r="AK1435" s="46">
        <f>=+AY1435</f>
      </c>
      <c r="AL1435" s="46"/>
      <c r="AM1435" s="1"/>
      <c r="AN1435" s="1">
        <f>=COUNTIF(E1435:AI1435,"A")+COUNTIF(E1435:AI1435,"B")+COUNTIF(E1435:AI1435,"C")+COUNTIF(E1435:AI1435,"D")+COUNTIF(E1435:AI1435,"E")+COUNTIF(E1435:AI1435,"F")+COUNTIF(E1435:AI1435,"M")+COUNTIF(E1435:AI1435,"AB")+COUNTIF(E1435:AI1435,"UZ")+COUNTIF(E1435:AI1435,"G")+(COUNTIF(E1435:AI1435,"RT.")/2)+(COUNTIF(E1435:AI1435,"ÇRT.")/2)</f>
      </c>
      <c r="AO1435" s="1">
        <f>=COUNTIF(E1435:AI1435,"O")</f>
      </c>
      <c r="AP1435" s="1">
        <f>=COUNTIF(E1435:AI1435,"RT")+(COUNTIF(E1435:AI1435,"RT.")/2)</f>
      </c>
      <c r="AQ1435" s="1">
        <f>=COUNTIF(E1435:AI1435,"ÇRT")+(COUNTIF(E1435:AI1435,"ÇRT.")/2)</f>
      </c>
      <c r="AR1435" s="1">
        <f>=COUNTIF(E1435:AI1435,"ÇHT")</f>
      </c>
      <c r="AS1435" s="1">
        <f>=COUNTIF(E1435:AI1435,"Ö")+COUNTIF(E1435:AI1435,"T")</f>
      </c>
      <c r="AT1435" s="1">
        <f>=COUNTIF(E1435:AI1435,"Y")</f>
      </c>
      <c r="AU1435" s="1">
        <f>=COUNTIF(E1435:AI1435,"R.")</f>
      </c>
      <c r="AV1435" s="1">
        <f>=COUNTIF(E1435:AI1435,"Ü")</f>
      </c>
      <c r="AW1435" s="1">
        <f>=COUNTIF(E1435:AI1435,"R")</f>
      </c>
      <c r="AX1435" s="1">
        <f>=COUNTIF(E1435:AI1435,"DV")</f>
      </c>
      <c r="AY1435" s="1">
        <f>=+AN1435+AO1435+AP1435+AQ1435+AR1435+AS1435+AT1435+AU1435</f>
      </c>
    </row>
    <row r="1436" ht="16" customHeight="1" spans="1:51" x14ac:dyDescent="0.25">
      <c r="A1436" s="45"/>
      <c r="B1436" s="46"/>
      <c r="C1436" s="46"/>
      <c r="D1436" s="46" t="s">
        <v>33</v>
      </c>
      <c r="E1436" s="46"/>
      <c r="F1436" s="46"/>
      <c r="G1436" s="46"/>
      <c r="H1436" s="46"/>
      <c r="I1436" s="46"/>
      <c r="J1436" s="46"/>
      <c r="K1436" s="46"/>
      <c r="L1436" s="46"/>
      <c r="M1436" s="46"/>
      <c r="N1436" s="46"/>
      <c r="O1436" s="46"/>
      <c r="P1436" s="46"/>
      <c r="Q1436" s="46"/>
      <c r="R1436" s="46"/>
      <c r="S1436" s="46"/>
      <c r="T1436" s="46"/>
      <c r="U1436" s="46"/>
      <c r="V1436" s="46"/>
      <c r="W1436" s="46"/>
      <c r="X1436" s="46"/>
      <c r="Y1436" s="46"/>
      <c r="Z1436" s="46"/>
      <c r="AA1436" s="46"/>
      <c r="AB1436" s="46"/>
      <c r="AC1436" s="46"/>
      <c r="AD1436" s="46"/>
      <c r="AE1436" s="46"/>
      <c r="AF1436" s="46"/>
      <c r="AG1436" s="46"/>
      <c r="AH1436" s="46"/>
      <c r="AI1436" s="46"/>
      <c r="AJ1436" s="46"/>
      <c r="AK1436" s="46"/>
      <c r="AL1436" s="46"/>
      <c r="AM1436" s="1"/>
      <c r="AN1436" s="1"/>
      <c r="AO1436" s="1"/>
      <c r="AP1436" s="1"/>
      <c r="AQ1436" s="1"/>
      <c r="AR1436" s="1"/>
      <c r="AS1436" s="1"/>
      <c r="AT1436" s="1"/>
      <c r="AU1436" s="1"/>
      <c r="AV1436" s="1"/>
      <c r="AW1436" s="1"/>
      <c r="AX1436" s="1"/>
      <c r="AY1436" s="1"/>
    </row>
    <row r="1437" ht="16" customHeight="1" spans="1:51" x14ac:dyDescent="0.25">
      <c r="A1437" s="45"/>
      <c r="B1437" s="46" t="s">
        <v>1489</v>
      </c>
      <c r="C1437" s="46" t="s">
        <v>1490</v>
      </c>
      <c r="D1437" s="46" t="s">
        <v>29</v>
      </c>
      <c r="E1437" s="46" t="s">
        <v>59</v>
      </c>
      <c r="F1437" s="46" t="s">
        <v>59</v>
      </c>
      <c r="G1437" s="46" t="s">
        <v>59</v>
      </c>
      <c r="H1437" s="46" t="s">
        <v>37</v>
      </c>
      <c r="I1437" s="46" t="s">
        <v>59</v>
      </c>
      <c r="J1437" s="46" t="s">
        <v>59</v>
      </c>
      <c r="K1437" s="46" t="s">
        <v>59</v>
      </c>
      <c r="L1437" s="46" t="s">
        <v>59</v>
      </c>
      <c r="M1437" s="46" t="s">
        <v>59</v>
      </c>
      <c r="N1437" s="46" t="s">
        <v>59</v>
      </c>
      <c r="O1437" s="46" t="s">
        <v>37</v>
      </c>
      <c r="P1437" s="46" t="s">
        <v>59</v>
      </c>
      <c r="Q1437" s="46" t="s">
        <v>1348</v>
      </c>
      <c r="R1437" s="46" t="s">
        <v>59</v>
      </c>
      <c r="S1437" s="46" t="s">
        <v>59</v>
      </c>
      <c r="T1437" s="46" t="s">
        <v>59</v>
      </c>
      <c r="U1437" s="46" t="s">
        <v>37</v>
      </c>
      <c r="V1437" s="46" t="s">
        <v>30</v>
      </c>
      <c r="W1437" s="46" t="s">
        <v>30</v>
      </c>
      <c r="X1437" s="46" t="s">
        <v>30</v>
      </c>
      <c r="Y1437" s="46" t="s">
        <v>30</v>
      </c>
      <c r="Z1437" s="46" t="s">
        <v>30</v>
      </c>
      <c r="AA1437" s="46" t="s">
        <v>30</v>
      </c>
      <c r="AB1437" s="46" t="s">
        <v>30</v>
      </c>
      <c r="AC1437" s="46" t="s">
        <v>37</v>
      </c>
      <c r="AD1437" s="46" t="s">
        <v>30</v>
      </c>
      <c r="AE1437" s="46" t="s">
        <v>30</v>
      </c>
      <c r="AF1437" s="46" t="s">
        <v>30</v>
      </c>
      <c r="AG1437" s="46" t="s">
        <v>30</v>
      </c>
      <c r="AH1437" s="46" t="s">
        <v>43</v>
      </c>
      <c r="AI1437" s="46" t="s">
        <v>30</v>
      </c>
      <c r="AJ1437" s="46">
        <f>=SUM(E1438:AI1438)</f>
      </c>
      <c r="AK1437" s="46">
        <f>=+AY1437</f>
      </c>
      <c r="AL1437" s="46"/>
      <c r="AM1437" s="1"/>
      <c r="AN1437" s="1">
        <f>=COUNTIF(E1437:AI1437,"A")+COUNTIF(E1437:AI1437,"B")+COUNTIF(E1437:AI1437,"C")+COUNTIF(E1437:AI1437,"D")+COUNTIF(E1437:AI1437,"E")+COUNTIF(E1437:AI1437,"F")+COUNTIF(E1437:AI1437,"M")+COUNTIF(E1437:AI1437,"AB")+COUNTIF(E1437:AI1437,"UZ")+COUNTIF(E1437:AI1437,"G")+(COUNTIF(E1437:AI1437,"RT.")/2)+(COUNTIF(E1437:AI1437,"ÇRT.")/2)</f>
      </c>
      <c r="AO1437" s="1">
        <f>=COUNTIF(E1437:AI1437,"O")</f>
      </c>
      <c r="AP1437" s="1">
        <f>=COUNTIF(E1437:AI1437,"RT")+(COUNTIF(E1437:AI1437,"RT.")/2)</f>
      </c>
      <c r="AQ1437" s="1">
        <f>=COUNTIF(E1437:AI1437,"ÇRT")+(COUNTIF(E1437:AI1437,"ÇRT.")/2)</f>
      </c>
      <c r="AR1437" s="1">
        <f>=COUNTIF(E1437:AI1437,"ÇHT")</f>
      </c>
      <c r="AS1437" s="1">
        <f>=COUNTIF(E1437:AI1437,"Ö")+COUNTIF(E1437:AI1437,"T")</f>
      </c>
      <c r="AT1437" s="1">
        <f>=COUNTIF(E1437:AI1437,"Y")</f>
      </c>
      <c r="AU1437" s="1">
        <f>=COUNTIF(E1437:AI1437,"R.")</f>
      </c>
      <c r="AV1437" s="1">
        <f>=COUNTIF(E1437:AI1437,"Ü")</f>
      </c>
      <c r="AW1437" s="1">
        <f>=COUNTIF(E1437:AI1437,"R")</f>
      </c>
      <c r="AX1437" s="1">
        <f>=COUNTIF(E1437:AI1437,"DV")</f>
      </c>
      <c r="AY1437" s="1">
        <f>=+AN1437+AO1437+AP1437+AQ1437+AR1437+AS1437+AT1437+AU1437</f>
      </c>
    </row>
    <row r="1438" ht="16" customHeight="1" spans="1:51" x14ac:dyDescent="0.25">
      <c r="A1438" s="45"/>
      <c r="B1438" s="46"/>
      <c r="C1438" s="46"/>
      <c r="D1438" s="46" t="s">
        <v>33</v>
      </c>
      <c r="E1438" s="46"/>
      <c r="F1438" s="46"/>
      <c r="G1438" s="46"/>
      <c r="H1438" s="46"/>
      <c r="I1438" s="46"/>
      <c r="J1438" s="46"/>
      <c r="K1438" s="46">
        <v>2</v>
      </c>
      <c r="L1438" s="46"/>
      <c r="M1438" s="46">
        <v>2</v>
      </c>
      <c r="N1438" s="46">
        <v>2</v>
      </c>
      <c r="O1438" s="46"/>
      <c r="P1438" s="46">
        <v>2</v>
      </c>
      <c r="Q1438" s="46">
        <v>2</v>
      </c>
      <c r="R1438" s="46"/>
      <c r="S1438" s="46">
        <v>2</v>
      </c>
      <c r="T1438" s="46"/>
      <c r="U1438" s="46"/>
      <c r="V1438" s="46"/>
      <c r="W1438" s="46"/>
      <c r="X1438" s="46"/>
      <c r="Y1438" s="46"/>
      <c r="Z1438" s="46"/>
      <c r="AA1438" s="46"/>
      <c r="AB1438" s="46"/>
      <c r="AC1438" s="46"/>
      <c r="AD1438" s="46"/>
      <c r="AE1438" s="46"/>
      <c r="AF1438" s="46"/>
      <c r="AG1438" s="46"/>
      <c r="AH1438" s="46"/>
      <c r="AI1438" s="46"/>
      <c r="AJ1438" s="46"/>
      <c r="AK1438" s="46"/>
      <c r="AL1438" s="46"/>
      <c r="AM1438" s="1"/>
      <c r="AN1438" s="1"/>
      <c r="AO1438" s="1"/>
      <c r="AP1438" s="1"/>
      <c r="AQ1438" s="1"/>
      <c r="AR1438" s="1"/>
      <c r="AS1438" s="1"/>
      <c r="AT1438" s="1"/>
      <c r="AU1438" s="1"/>
      <c r="AV1438" s="1"/>
      <c r="AW1438" s="1"/>
      <c r="AX1438" s="1"/>
      <c r="AY1438" s="1"/>
    </row>
    <row r="1439" ht="16" customHeight="1" spans="1:51" x14ac:dyDescent="0.25">
      <c r="A1439" s="45"/>
      <c r="B1439" s="46" t="s">
        <v>1491</v>
      </c>
      <c r="C1439" s="46" t="s">
        <v>1492</v>
      </c>
      <c r="D1439" s="46" t="s">
        <v>29</v>
      </c>
      <c r="E1439" s="46" t="s">
        <v>36</v>
      </c>
      <c r="F1439" s="46" t="s">
        <v>37</v>
      </c>
      <c r="G1439" s="46" t="s">
        <v>37</v>
      </c>
      <c r="H1439" s="46" t="s">
        <v>36</v>
      </c>
      <c r="I1439" s="46" t="s">
        <v>36</v>
      </c>
      <c r="J1439" s="46" t="s">
        <v>36</v>
      </c>
      <c r="K1439" s="46" t="s">
        <v>36</v>
      </c>
      <c r="L1439" s="46" t="s">
        <v>36</v>
      </c>
      <c r="M1439" s="46" t="s">
        <v>36</v>
      </c>
      <c r="N1439" s="46" t="s">
        <v>36</v>
      </c>
      <c r="O1439" s="46" t="s">
        <v>1080</v>
      </c>
      <c r="P1439" s="46" t="s">
        <v>37</v>
      </c>
      <c r="Q1439" s="46" t="s">
        <v>36</v>
      </c>
      <c r="R1439" s="46" t="s">
        <v>36</v>
      </c>
      <c r="S1439" s="46" t="s">
        <v>36</v>
      </c>
      <c r="T1439" s="46" t="s">
        <v>36</v>
      </c>
      <c r="U1439" s="46" t="s">
        <v>36</v>
      </c>
      <c r="V1439" s="46" t="s">
        <v>37</v>
      </c>
      <c r="W1439" s="46" t="s">
        <v>299</v>
      </c>
      <c r="X1439" s="46" t="s">
        <v>299</v>
      </c>
      <c r="Y1439" s="46" t="s">
        <v>299</v>
      </c>
      <c r="Z1439" s="46" t="s">
        <v>36</v>
      </c>
      <c r="AA1439" s="46" t="s">
        <v>36</v>
      </c>
      <c r="AB1439" s="46" t="s">
        <v>36</v>
      </c>
      <c r="AC1439" s="46" t="s">
        <v>36</v>
      </c>
      <c r="AD1439" s="46" t="s">
        <v>36</v>
      </c>
      <c r="AE1439" s="46" t="s">
        <v>37</v>
      </c>
      <c r="AF1439" s="46" t="s">
        <v>36</v>
      </c>
      <c r="AG1439" s="46" t="s">
        <v>36</v>
      </c>
      <c r="AH1439" s="46" t="s">
        <v>43</v>
      </c>
      <c r="AI1439" s="46" t="s">
        <v>36</v>
      </c>
      <c r="AJ1439" s="46">
        <f>=SUM(E1440:AI1440)</f>
      </c>
      <c r="AK1439" s="46">
        <f>=+AY1439</f>
      </c>
      <c r="AL1439" s="46"/>
      <c r="AM1439" s="1"/>
      <c r="AN1439" s="1">
        <f>=COUNTIF(E1439:AI1439,"A")+COUNTIF(E1439:AI1439,"B")+COUNTIF(E1439:AI1439,"C")+COUNTIF(E1439:AI1439,"D")+COUNTIF(E1439:AI1439,"E")+COUNTIF(E1439:AI1439,"F")+COUNTIF(E1439:AI1439,"M")+COUNTIF(E1439:AI1439,"AB")+COUNTIF(E1439:AI1439,"UZ")+COUNTIF(E1439:AI1439,"G")+(COUNTIF(E1439:AI1439,"RT.")/2)+(COUNTIF(E1439:AI1439,"ÇRT.")/2)</f>
      </c>
      <c r="AO1439" s="1">
        <f>=COUNTIF(E1439:AI1439,"O")</f>
      </c>
      <c r="AP1439" s="1">
        <f>=COUNTIF(E1439:AI1439,"RT")+(COUNTIF(E1439:AI1439,"RT.")/2)</f>
      </c>
      <c r="AQ1439" s="1">
        <f>=COUNTIF(E1439:AI1439,"ÇRT")+(COUNTIF(E1439:AI1439,"ÇRT.")/2)</f>
      </c>
      <c r="AR1439" s="1">
        <f>=COUNTIF(E1439:AI1439,"ÇHT")</f>
      </c>
      <c r="AS1439" s="1">
        <f>=COUNTIF(E1439:AI1439,"Ö")+COUNTIF(E1439:AI1439,"T")</f>
      </c>
      <c r="AT1439" s="1">
        <f>=COUNTIF(E1439:AI1439,"Y")</f>
      </c>
      <c r="AU1439" s="1">
        <f>=COUNTIF(E1439:AI1439,"R.")</f>
      </c>
      <c r="AV1439" s="1">
        <f>=COUNTIF(E1439:AI1439,"Ü")</f>
      </c>
      <c r="AW1439" s="1">
        <f>=COUNTIF(E1439:AI1439,"R")</f>
      </c>
      <c r="AX1439" s="1">
        <f>=COUNTIF(E1439:AI1439,"DV")</f>
      </c>
      <c r="AY1439" s="1">
        <f>=+AN1439+AO1439+AP1439+AQ1439+AR1439+AS1439+AT1439+AU1439</f>
      </c>
    </row>
    <row r="1440" ht="16" customHeight="1" spans="1:51" x14ac:dyDescent="0.25">
      <c r="A1440" s="45"/>
      <c r="B1440" s="46"/>
      <c r="C1440" s="46"/>
      <c r="D1440" s="46" t="s">
        <v>33</v>
      </c>
      <c r="E1440" s="46"/>
      <c r="F1440" s="46"/>
      <c r="G1440" s="46"/>
      <c r="H1440" s="46">
        <v>3</v>
      </c>
      <c r="I1440" s="46">
        <v>3</v>
      </c>
      <c r="J1440" s="46">
        <v>3</v>
      </c>
      <c r="K1440" s="46">
        <v>3</v>
      </c>
      <c r="L1440" s="46">
        <v>3</v>
      </c>
      <c r="M1440" s="46">
        <v>3</v>
      </c>
      <c r="N1440" s="46">
        <v>3</v>
      </c>
      <c r="O1440" s="46">
        <v>3</v>
      </c>
      <c r="P1440" s="46"/>
      <c r="Q1440" s="46">
        <v>3</v>
      </c>
      <c r="R1440" s="46">
        <v>3</v>
      </c>
      <c r="S1440" s="46">
        <v>3</v>
      </c>
      <c r="T1440" s="46">
        <v>3</v>
      </c>
      <c r="U1440" s="46"/>
      <c r="V1440" s="46"/>
      <c r="W1440" s="46">
        <v>2</v>
      </c>
      <c r="X1440" s="46">
        <v>2</v>
      </c>
      <c r="Y1440" s="46">
        <v>2</v>
      </c>
      <c r="Z1440" s="46">
        <v>3</v>
      </c>
      <c r="AA1440" s="46">
        <v>3</v>
      </c>
      <c r="AB1440" s="46">
        <v>3</v>
      </c>
      <c r="AC1440" s="46">
        <v>3</v>
      </c>
      <c r="AD1440" s="46">
        <v>3</v>
      </c>
      <c r="AE1440" s="46"/>
      <c r="AF1440" s="46"/>
      <c r="AG1440" s="46">
        <v>3</v>
      </c>
      <c r="AH1440" s="46">
        <v>3</v>
      </c>
      <c r="AI1440" s="46">
        <v>3</v>
      </c>
      <c r="AJ1440" s="46"/>
      <c r="AK1440" s="46"/>
      <c r="AL1440" s="46"/>
      <c r="AM1440" s="1"/>
      <c r="AN1440" s="1"/>
      <c r="AO1440" s="1"/>
      <c r="AP1440" s="1"/>
      <c r="AQ1440" s="1"/>
      <c r="AR1440" s="1"/>
      <c r="AS1440" s="1"/>
      <c r="AT1440" s="1"/>
      <c r="AU1440" s="1"/>
      <c r="AV1440" s="1"/>
      <c r="AW1440" s="1"/>
      <c r="AX1440" s="1"/>
      <c r="AY1440" s="1"/>
    </row>
    <row r="1441" ht="16" customHeight="1" spans="1:51" x14ac:dyDescent="0.25">
      <c r="A1441" s="45"/>
      <c r="B1441" s="46" t="s">
        <v>1493</v>
      </c>
      <c r="C1441" s="46" t="s">
        <v>1494</v>
      </c>
      <c r="D1441" s="46" t="s">
        <v>29</v>
      </c>
      <c r="E1441" s="46"/>
      <c r="F1441" s="46"/>
      <c r="G1441" s="46"/>
      <c r="H1441" s="46"/>
      <c r="I1441" s="46"/>
      <c r="J1441" s="46"/>
      <c r="K1441" s="46"/>
      <c r="L1441" s="46"/>
      <c r="M1441" s="46"/>
      <c r="N1441" s="46"/>
      <c r="O1441" s="46"/>
      <c r="P1441" s="46"/>
      <c r="Q1441" s="46"/>
      <c r="R1441" s="46"/>
      <c r="S1441" s="46"/>
      <c r="T1441" s="46"/>
      <c r="U1441" s="46"/>
      <c r="V1441" s="46"/>
      <c r="W1441" s="46"/>
      <c r="X1441" s="46"/>
      <c r="Y1441" s="46"/>
      <c r="Z1441" s="46"/>
      <c r="AA1441" s="46"/>
      <c r="AB1441" s="46"/>
      <c r="AC1441" s="46" t="s">
        <v>36</v>
      </c>
      <c r="AD1441" s="46" t="s">
        <v>36</v>
      </c>
      <c r="AE1441" s="46" t="s">
        <v>36</v>
      </c>
      <c r="AF1441" s="46" t="s">
        <v>37</v>
      </c>
      <c r="AG1441" s="46" t="s">
        <v>36</v>
      </c>
      <c r="AH1441" s="46" t="s">
        <v>43</v>
      </c>
      <c r="AI1441" s="46" t="s">
        <v>31</v>
      </c>
      <c r="AJ1441" s="46">
        <f>=SUM(E1442:AI1442)</f>
      </c>
      <c r="AK1441" s="46">
        <f>=+AY1441</f>
      </c>
      <c r="AL1441" s="46"/>
      <c r="AM1441" s="1"/>
      <c r="AN1441" s="1">
        <f>=COUNTIF(E1441:AI1441,"A")+COUNTIF(E1441:AI1441,"B")+COUNTIF(E1441:AI1441,"C")+COUNTIF(E1441:AI1441,"D")+COUNTIF(E1441:AI1441,"E")+COUNTIF(E1441:AI1441,"F")+COUNTIF(E1441:AI1441,"M")+COUNTIF(E1441:AI1441,"AB")+COUNTIF(E1441:AI1441,"UZ")+COUNTIF(E1441:AI1441,"G")+(COUNTIF(E1441:AI1441,"RT.")/2)+(COUNTIF(E1441:AI1441,"ÇRT.")/2)</f>
      </c>
      <c r="AO1441" s="1">
        <f>=COUNTIF(E1441:AI1441,"O")</f>
      </c>
      <c r="AP1441" s="1">
        <f>=COUNTIF(E1441:AI1441,"RT")+(COUNTIF(E1441:AI1441,"RT.")/2)</f>
      </c>
      <c r="AQ1441" s="1">
        <f>=COUNTIF(E1441:AI1441,"ÇRT")+(COUNTIF(E1441:AI1441,"ÇRT.")/2)</f>
      </c>
      <c r="AR1441" s="1">
        <f>=COUNTIF(E1441:AI1441,"ÇHT")</f>
      </c>
      <c r="AS1441" s="1">
        <f>=COUNTIF(E1441:AI1441,"Ö")+COUNTIF(E1441:AI1441,"T")</f>
      </c>
      <c r="AT1441" s="1">
        <f>=COUNTIF(E1441:AI1441,"Y")</f>
      </c>
      <c r="AU1441" s="1">
        <f>=COUNTIF(E1441:AI1441,"R.")</f>
      </c>
      <c r="AV1441" s="1">
        <f>=COUNTIF(E1441:AI1441,"Ü")</f>
      </c>
      <c r="AW1441" s="1">
        <f>=COUNTIF(E1441:AI1441,"R")</f>
      </c>
      <c r="AX1441" s="1">
        <f>=COUNTIF(E1441:AI1441,"DV")</f>
      </c>
      <c r="AY1441" s="1">
        <f>=+AN1441+AO1441+AP1441+AQ1441+AR1441+AS1441+AT1441+AU1441</f>
      </c>
    </row>
    <row r="1442" ht="16" customHeight="1" spans="1:51" x14ac:dyDescent="0.25">
      <c r="A1442" s="45"/>
      <c r="B1442" s="46"/>
      <c r="C1442" s="46"/>
      <c r="D1442" s="46" t="s">
        <v>33</v>
      </c>
      <c r="E1442" s="46"/>
      <c r="F1442" s="46"/>
      <c r="G1442" s="46"/>
      <c r="H1442" s="46"/>
      <c r="I1442" s="46"/>
      <c r="J1442" s="46"/>
      <c r="K1442" s="46"/>
      <c r="L1442" s="46"/>
      <c r="M1442" s="46"/>
      <c r="N1442" s="46"/>
      <c r="O1442" s="46"/>
      <c r="P1442" s="46"/>
      <c r="Q1442" s="46"/>
      <c r="R1442" s="46"/>
      <c r="S1442" s="46"/>
      <c r="T1442" s="46"/>
      <c r="U1442" s="46"/>
      <c r="V1442" s="46"/>
      <c r="W1442" s="46"/>
      <c r="X1442" s="46"/>
      <c r="Y1442" s="46"/>
      <c r="Z1442" s="46"/>
      <c r="AA1442" s="46"/>
      <c r="AB1442" s="46"/>
      <c r="AC1442" s="46"/>
      <c r="AD1442" s="46"/>
      <c r="AE1442" s="46"/>
      <c r="AF1442" s="46"/>
      <c r="AG1442" s="46"/>
      <c r="AH1442" s="46"/>
      <c r="AI1442" s="46"/>
      <c r="AJ1442" s="46"/>
      <c r="AK1442" s="46"/>
      <c r="AL1442" s="46"/>
      <c r="AM1442" s="1"/>
      <c r="AN1442" s="1"/>
      <c r="AO1442" s="1"/>
      <c r="AP1442" s="1"/>
      <c r="AQ1442" s="1"/>
      <c r="AR1442" s="1"/>
      <c r="AS1442" s="1"/>
      <c r="AT1442" s="1"/>
      <c r="AU1442" s="1"/>
      <c r="AV1442" s="1"/>
      <c r="AW1442" s="1"/>
      <c r="AX1442" s="1"/>
      <c r="AY1442" s="1"/>
    </row>
    <row r="1443" ht="16" customHeight="1" spans="1:51" x14ac:dyDescent="0.25">
      <c r="A1443" s="45"/>
      <c r="B1443" s="46" t="s">
        <v>1495</v>
      </c>
      <c r="C1443" s="46" t="s">
        <v>1496</v>
      </c>
      <c r="D1443" s="46" t="s">
        <v>29</v>
      </c>
      <c r="E1443" s="46" t="s">
        <v>37</v>
      </c>
      <c r="F1443" s="46" t="s">
        <v>299</v>
      </c>
      <c r="G1443" s="46" t="s">
        <v>299</v>
      </c>
      <c r="H1443" s="46" t="s">
        <v>299</v>
      </c>
      <c r="I1443" s="46" t="s">
        <v>299</v>
      </c>
      <c r="J1443" s="46" t="s">
        <v>299</v>
      </c>
      <c r="K1443" s="46" t="s">
        <v>36</v>
      </c>
      <c r="L1443" s="46" t="s">
        <v>37</v>
      </c>
      <c r="M1443" s="46" t="s">
        <v>299</v>
      </c>
      <c r="N1443" s="46" t="s">
        <v>299</v>
      </c>
      <c r="O1443" s="46" t="s">
        <v>299</v>
      </c>
      <c r="P1443" s="46" t="s">
        <v>299</v>
      </c>
      <c r="Q1443" s="46" t="s">
        <v>299</v>
      </c>
      <c r="R1443" s="46" t="s">
        <v>36</v>
      </c>
      <c r="S1443" s="46" t="s">
        <v>37</v>
      </c>
      <c r="T1443" s="46" t="s">
        <v>299</v>
      </c>
      <c r="U1443" s="46" t="s">
        <v>299</v>
      </c>
      <c r="V1443" s="46" t="s">
        <v>299</v>
      </c>
      <c r="W1443" s="46" t="s">
        <v>299</v>
      </c>
      <c r="X1443" s="46" t="s">
        <v>299</v>
      </c>
      <c r="Y1443" s="46" t="s">
        <v>36</v>
      </c>
      <c r="Z1443" s="46" t="s">
        <v>37</v>
      </c>
      <c r="AA1443" s="46" t="s">
        <v>299</v>
      </c>
      <c r="AB1443" s="46" t="s">
        <v>299</v>
      </c>
      <c r="AC1443" s="46" t="s">
        <v>299</v>
      </c>
      <c r="AD1443" s="46" t="s">
        <v>299</v>
      </c>
      <c r="AE1443" s="46" t="s">
        <v>299</v>
      </c>
      <c r="AF1443" s="46" t="s">
        <v>36</v>
      </c>
      <c r="AG1443" s="46" t="s">
        <v>37</v>
      </c>
      <c r="AH1443" s="46" t="s">
        <v>43</v>
      </c>
      <c r="AI1443" s="46" t="s">
        <v>299</v>
      </c>
      <c r="AJ1443" s="46">
        <f>=SUM(E1444:AI1444)</f>
      </c>
      <c r="AK1443" s="46">
        <f>=+AY1443</f>
      </c>
      <c r="AL1443" s="46"/>
      <c r="AM1443" s="1"/>
      <c r="AN1443" s="1">
        <f>=COUNTIF(E1443:AI1443,"A")+COUNTIF(E1443:AI1443,"B")+COUNTIF(E1443:AI1443,"C")+COUNTIF(E1443:AI1443,"D")+COUNTIF(E1443:AI1443,"E")+COUNTIF(E1443:AI1443,"F")+COUNTIF(E1443:AI1443,"M")+COUNTIF(E1443:AI1443,"AB")+COUNTIF(E1443:AI1443,"UZ")+COUNTIF(E1443:AI1443,"G")+(COUNTIF(E1443:AI1443,"RT.")/2)+(COUNTIF(E1443:AI1443,"ÇRT.")/2)</f>
      </c>
      <c r="AO1443" s="1">
        <f>=COUNTIF(E1443:AI1443,"O")</f>
      </c>
      <c r="AP1443" s="1">
        <f>=COUNTIF(E1443:AI1443,"RT")+(COUNTIF(E1443:AI1443,"RT.")/2)</f>
      </c>
      <c r="AQ1443" s="1">
        <f>=COUNTIF(E1443:AI1443,"ÇRT")+(COUNTIF(E1443:AI1443,"ÇRT.")/2)</f>
      </c>
      <c r="AR1443" s="1">
        <f>=COUNTIF(E1443:AI1443,"ÇHT")</f>
      </c>
      <c r="AS1443" s="1">
        <f>=COUNTIF(E1443:AI1443,"Ö")+COUNTIF(E1443:AI1443,"T")</f>
      </c>
      <c r="AT1443" s="1">
        <f>=COUNTIF(E1443:AI1443,"Y")</f>
      </c>
      <c r="AU1443" s="1">
        <f>=COUNTIF(E1443:AI1443,"R.")</f>
      </c>
      <c r="AV1443" s="1">
        <f>=COUNTIF(E1443:AI1443,"Ü")</f>
      </c>
      <c r="AW1443" s="1">
        <f>=COUNTIF(E1443:AI1443,"R")</f>
      </c>
      <c r="AX1443" s="1">
        <f>=COUNTIF(E1443:AI1443,"DV")</f>
      </c>
      <c r="AY1443" s="1">
        <f>=+AN1443+AO1443+AP1443+AQ1443+AR1443+AS1443+AT1443+AU1443</f>
      </c>
    </row>
    <row r="1444" ht="16" customHeight="1" spans="1:51" x14ac:dyDescent="0.25">
      <c r="A1444" s="45"/>
      <c r="B1444" s="46"/>
      <c r="C1444" s="46"/>
      <c r="D1444" s="46" t="s">
        <v>33</v>
      </c>
      <c r="E1444" s="46"/>
      <c r="F1444" s="46">
        <v>2</v>
      </c>
      <c r="G1444" s="46">
        <v>2</v>
      </c>
      <c r="H1444" s="46">
        <v>2</v>
      </c>
      <c r="I1444" s="46">
        <v>2</v>
      </c>
      <c r="J1444" s="46">
        <v>2</v>
      </c>
      <c r="K1444" s="46"/>
      <c r="L1444" s="46"/>
      <c r="M1444" s="46">
        <v>2</v>
      </c>
      <c r="N1444" s="46">
        <v>2</v>
      </c>
      <c r="O1444" s="46">
        <v>2</v>
      </c>
      <c r="P1444" s="46">
        <v>2</v>
      </c>
      <c r="Q1444" s="46">
        <v>2</v>
      </c>
      <c r="R1444" s="46"/>
      <c r="S1444" s="46"/>
      <c r="T1444" s="46">
        <v>2</v>
      </c>
      <c r="U1444" s="46">
        <v>2</v>
      </c>
      <c r="V1444" s="46">
        <v>2</v>
      </c>
      <c r="W1444" s="46">
        <v>2</v>
      </c>
      <c r="X1444" s="46">
        <v>2</v>
      </c>
      <c r="Y1444" s="46"/>
      <c r="Z1444" s="46"/>
      <c r="AA1444" s="46">
        <v>2</v>
      </c>
      <c r="AB1444" s="46">
        <v>2</v>
      </c>
      <c r="AC1444" s="46">
        <v>2</v>
      </c>
      <c r="AD1444" s="46">
        <v>2</v>
      </c>
      <c r="AE1444" s="46">
        <v>2</v>
      </c>
      <c r="AF1444" s="46"/>
      <c r="AG1444" s="46"/>
      <c r="AH1444" s="46">
        <v>2</v>
      </c>
      <c r="AI1444" s="46">
        <v>2</v>
      </c>
      <c r="AJ1444" s="46"/>
      <c r="AK1444" s="46"/>
      <c r="AL1444" s="46"/>
      <c r="AM1444" s="1"/>
      <c r="AN1444" s="1"/>
      <c r="AO1444" s="1"/>
      <c r="AP1444" s="1"/>
      <c r="AQ1444" s="1"/>
      <c r="AR1444" s="1"/>
      <c r="AS1444" s="1"/>
      <c r="AT1444" s="1"/>
      <c r="AU1444" s="1"/>
      <c r="AV1444" s="1"/>
      <c r="AW1444" s="1"/>
      <c r="AX1444" s="1"/>
      <c r="AY1444" s="1"/>
    </row>
    <row r="1445" ht="16" customHeight="1" spans="1:51" x14ac:dyDescent="0.25">
      <c r="A1445" s="45"/>
      <c r="B1445" s="46" t="s">
        <v>1497</v>
      </c>
      <c r="C1445" s="46" t="s">
        <v>1498</v>
      </c>
      <c r="D1445" s="46" t="s">
        <v>29</v>
      </c>
      <c r="E1445" s="46" t="s">
        <v>41</v>
      </c>
      <c r="F1445" s="46" t="s">
        <v>41</v>
      </c>
      <c r="G1445" s="46" t="s">
        <v>41</v>
      </c>
      <c r="H1445" s="46" t="s">
        <v>37</v>
      </c>
      <c r="I1445" s="46" t="s">
        <v>41</v>
      </c>
      <c r="J1445" s="46" t="s">
        <v>59</v>
      </c>
      <c r="K1445" s="46" t="s">
        <v>41</v>
      </c>
      <c r="L1445" s="46" t="s">
        <v>41</v>
      </c>
      <c r="M1445" s="46" t="s">
        <v>41</v>
      </c>
      <c r="N1445" s="46" t="s">
        <v>41</v>
      </c>
      <c r="O1445" s="46" t="s">
        <v>37</v>
      </c>
      <c r="P1445" s="46" t="s">
        <v>41</v>
      </c>
      <c r="Q1445" s="46" t="s">
        <v>41</v>
      </c>
      <c r="R1445" s="46" t="s">
        <v>41</v>
      </c>
      <c r="S1445" s="46" t="s">
        <v>41</v>
      </c>
      <c r="T1445" s="46" t="s">
        <v>41</v>
      </c>
      <c r="U1445" s="46" t="s">
        <v>41</v>
      </c>
      <c r="V1445" s="46" t="s">
        <v>37</v>
      </c>
      <c r="W1445" s="46" t="s">
        <v>41</v>
      </c>
      <c r="X1445" s="46" t="s">
        <v>41</v>
      </c>
      <c r="Y1445" s="46" t="s">
        <v>41</v>
      </c>
      <c r="Z1445" s="46" t="s">
        <v>41</v>
      </c>
      <c r="AA1445" s="46" t="s">
        <v>41</v>
      </c>
      <c r="AB1445" s="46" t="s">
        <v>41</v>
      </c>
      <c r="AC1445" s="46" t="s">
        <v>37</v>
      </c>
      <c r="AD1445" s="46" t="s">
        <v>41</v>
      </c>
      <c r="AE1445" s="46" t="s">
        <v>41</v>
      </c>
      <c r="AF1445" s="46" t="s">
        <v>41</v>
      </c>
      <c r="AG1445" s="46" t="s">
        <v>41</v>
      </c>
      <c r="AH1445" s="46" t="s">
        <v>43</v>
      </c>
      <c r="AI1445" s="46" t="s">
        <v>41</v>
      </c>
      <c r="AJ1445" s="46">
        <f>=SUM(E1446:AI1446)</f>
      </c>
      <c r="AK1445" s="46">
        <f>=+AY1445</f>
      </c>
      <c r="AL1445" s="46"/>
      <c r="AM1445" s="1"/>
      <c r="AN1445" s="1">
        <f>=COUNTIF(E1445:AI1445,"A")+COUNTIF(E1445:AI1445,"B")+COUNTIF(E1445:AI1445,"C")+COUNTIF(E1445:AI1445,"D")+COUNTIF(E1445:AI1445,"E")+COUNTIF(E1445:AI1445,"F")+COUNTIF(E1445:AI1445,"M")+COUNTIF(E1445:AI1445,"AB")+COUNTIF(E1445:AI1445,"UZ")+COUNTIF(E1445:AI1445,"G")+(COUNTIF(E1445:AI1445,"RT.")/2)+(COUNTIF(E1445:AI1445,"ÇRT.")/2)</f>
      </c>
      <c r="AO1445" s="1">
        <f>=COUNTIF(E1445:AI1445,"O")</f>
      </c>
      <c r="AP1445" s="1">
        <f>=COUNTIF(E1445:AI1445,"RT")+(COUNTIF(E1445:AI1445,"RT.")/2)</f>
      </c>
      <c r="AQ1445" s="1">
        <f>=COUNTIF(E1445:AI1445,"ÇRT")+(COUNTIF(E1445:AI1445,"ÇRT.")/2)</f>
      </c>
      <c r="AR1445" s="1">
        <f>=COUNTIF(E1445:AI1445,"ÇHT")</f>
      </c>
      <c r="AS1445" s="1">
        <f>=COUNTIF(E1445:AI1445,"Ö")+COUNTIF(E1445:AI1445,"T")</f>
      </c>
      <c r="AT1445" s="1">
        <f>=COUNTIF(E1445:AI1445,"Y")</f>
      </c>
      <c r="AU1445" s="1">
        <f>=COUNTIF(E1445:AI1445,"R.")</f>
      </c>
      <c r="AV1445" s="1">
        <f>=COUNTIF(E1445:AI1445,"Ü")</f>
      </c>
      <c r="AW1445" s="1">
        <f>=COUNTIF(E1445:AI1445,"R")</f>
      </c>
      <c r="AX1445" s="1">
        <f>=COUNTIF(E1445:AI1445,"DV")</f>
      </c>
      <c r="AY1445" s="1">
        <f>=+AN1445+AO1445+AP1445+AQ1445+AR1445+AS1445+AT1445+AU1445</f>
      </c>
    </row>
    <row r="1446" ht="16" customHeight="1" spans="1:51" x14ac:dyDescent="0.25">
      <c r="A1446" s="45"/>
      <c r="B1446" s="46"/>
      <c r="C1446" s="46"/>
      <c r="D1446" s="46" t="s">
        <v>33</v>
      </c>
      <c r="E1446" s="46">
        <v>2</v>
      </c>
      <c r="F1446" s="46">
        <v>2</v>
      </c>
      <c r="G1446" s="46">
        <v>2</v>
      </c>
      <c r="H1446" s="46"/>
      <c r="I1446" s="46">
        <v>2</v>
      </c>
      <c r="J1446" s="46">
        <v>2</v>
      </c>
      <c r="K1446" s="46">
        <v>2</v>
      </c>
      <c r="L1446" s="46">
        <v>2</v>
      </c>
      <c r="M1446" s="46"/>
      <c r="N1446" s="46">
        <v>2</v>
      </c>
      <c r="O1446" s="46"/>
      <c r="P1446" s="46">
        <v>2</v>
      </c>
      <c r="Q1446" s="46">
        <v>2</v>
      </c>
      <c r="R1446" s="46">
        <v>2</v>
      </c>
      <c r="S1446" s="46">
        <v>2</v>
      </c>
      <c r="T1446" s="46">
        <v>2</v>
      </c>
      <c r="U1446" s="46">
        <v>2</v>
      </c>
      <c r="V1446" s="46"/>
      <c r="W1446" s="46">
        <v>2</v>
      </c>
      <c r="X1446" s="46">
        <v>2</v>
      </c>
      <c r="Y1446" s="46">
        <v>2</v>
      </c>
      <c r="Z1446" s="46">
        <v>2</v>
      </c>
      <c r="AA1446" s="46">
        <v>2</v>
      </c>
      <c r="AB1446" s="46">
        <v>2</v>
      </c>
      <c r="AC1446" s="46"/>
      <c r="AD1446" s="46">
        <v>2</v>
      </c>
      <c r="AE1446" s="46">
        <v>2</v>
      </c>
      <c r="AF1446" s="46">
        <v>2</v>
      </c>
      <c r="AG1446" s="46">
        <v>2</v>
      </c>
      <c r="AH1446" s="46"/>
      <c r="AI1446" s="46">
        <v>2</v>
      </c>
      <c r="AJ1446" s="46"/>
      <c r="AK1446" s="46"/>
      <c r="AL1446" s="46"/>
      <c r="AM1446" s="1"/>
      <c r="AN1446" s="1"/>
      <c r="AO1446" s="1"/>
      <c r="AP1446" s="1"/>
      <c r="AQ1446" s="1"/>
      <c r="AR1446" s="1"/>
      <c r="AS1446" s="1"/>
      <c r="AT1446" s="1"/>
      <c r="AU1446" s="1"/>
      <c r="AV1446" s="1"/>
      <c r="AW1446" s="1"/>
      <c r="AX1446" s="1"/>
      <c r="AY1446" s="1"/>
    </row>
    <row r="1447" ht="16" customHeight="1" spans="1:51" x14ac:dyDescent="0.25">
      <c r="A1447" s="45"/>
      <c r="B1447" s="46" t="s">
        <v>1499</v>
      </c>
      <c r="C1447" s="46" t="s">
        <v>1500</v>
      </c>
      <c r="D1447" s="46" t="s">
        <v>29</v>
      </c>
      <c r="E1447" s="46" t="s">
        <v>36</v>
      </c>
      <c r="F1447" s="46" t="s">
        <v>37</v>
      </c>
      <c r="G1447" s="46" t="s">
        <v>299</v>
      </c>
      <c r="H1447" s="46" t="s">
        <v>299</v>
      </c>
      <c r="I1447" s="46" t="s">
        <v>36</v>
      </c>
      <c r="J1447" s="46" t="s">
        <v>37</v>
      </c>
      <c r="K1447" s="46" t="s">
        <v>299</v>
      </c>
      <c r="L1447" s="46" t="s">
        <v>36</v>
      </c>
      <c r="M1447" s="46" t="s">
        <v>36</v>
      </c>
      <c r="N1447" s="46"/>
      <c r="O1447" s="46"/>
      <c r="P1447" s="46"/>
      <c r="Q1447" s="46"/>
      <c r="R1447" s="46"/>
      <c r="S1447" s="46"/>
      <c r="T1447" s="46"/>
      <c r="U1447" s="46"/>
      <c r="V1447" s="46"/>
      <c r="W1447" s="46"/>
      <c r="X1447" s="46"/>
      <c r="Y1447" s="46"/>
      <c r="Z1447" s="46"/>
      <c r="AA1447" s="46"/>
      <c r="AB1447" s="46"/>
      <c r="AC1447" s="46"/>
      <c r="AD1447" s="46"/>
      <c r="AE1447" s="46"/>
      <c r="AF1447" s="46"/>
      <c r="AG1447" s="46"/>
      <c r="AH1447" s="46"/>
      <c r="AI1447" s="46"/>
      <c r="AJ1447" s="46">
        <f>=SUM(E1448:AI1448)</f>
      </c>
      <c r="AK1447" s="46">
        <f>=+AY1447</f>
      </c>
      <c r="AL1447" s="46"/>
      <c r="AM1447" s="1"/>
      <c r="AN1447" s="1">
        <f>=COUNTIF(E1447:AI1447,"A")+COUNTIF(E1447:AI1447,"B")+COUNTIF(E1447:AI1447,"C")+COUNTIF(E1447:AI1447,"D")+COUNTIF(E1447:AI1447,"E")+COUNTIF(E1447:AI1447,"F")+COUNTIF(E1447:AI1447,"M")+COUNTIF(E1447:AI1447,"AB")+COUNTIF(E1447:AI1447,"UZ")+COUNTIF(E1447:AI1447,"G")+(COUNTIF(E1447:AI1447,"RT.")/2)+(COUNTIF(E1447:AI1447,"ÇRT.")/2)</f>
      </c>
      <c r="AO1447" s="1">
        <f>=COUNTIF(E1447:AI1447,"O")</f>
      </c>
      <c r="AP1447" s="1">
        <f>=COUNTIF(E1447:AI1447,"RT")+(COUNTIF(E1447:AI1447,"RT.")/2)</f>
      </c>
      <c r="AQ1447" s="1">
        <f>=COUNTIF(E1447:AI1447,"ÇRT")+(COUNTIF(E1447:AI1447,"ÇRT.")/2)</f>
      </c>
      <c r="AR1447" s="1">
        <f>=COUNTIF(E1447:AI1447,"ÇHT")</f>
      </c>
      <c r="AS1447" s="1">
        <f>=COUNTIF(E1447:AI1447,"Ö")+COUNTIF(E1447:AI1447,"T")</f>
      </c>
      <c r="AT1447" s="1">
        <f>=COUNTIF(E1447:AI1447,"Y")</f>
      </c>
      <c r="AU1447" s="1">
        <f>=COUNTIF(E1447:AI1447,"R.")</f>
      </c>
      <c r="AV1447" s="1">
        <f>=COUNTIF(E1447:AI1447,"Ü")</f>
      </c>
      <c r="AW1447" s="1">
        <f>=COUNTIF(E1447:AI1447,"R")</f>
      </c>
      <c r="AX1447" s="1">
        <f>=COUNTIF(E1447:AI1447,"DV")</f>
      </c>
      <c r="AY1447" s="1">
        <f>=+AN1447+AO1447+AP1447+AQ1447+AR1447+AS1447+AT1447+AU1447</f>
      </c>
    </row>
    <row r="1448" ht="16" customHeight="1" spans="1:51" x14ac:dyDescent="0.25">
      <c r="A1448" s="45"/>
      <c r="B1448" s="46"/>
      <c r="C1448" s="46"/>
      <c r="D1448" s="46" t="s">
        <v>33</v>
      </c>
      <c r="E1448" s="46"/>
      <c r="F1448" s="46"/>
      <c r="G1448" s="46">
        <v>2</v>
      </c>
      <c r="H1448" s="46">
        <v>2</v>
      </c>
      <c r="I1448" s="46"/>
      <c r="J1448" s="46"/>
      <c r="K1448" s="46"/>
      <c r="L1448" s="46">
        <v>2</v>
      </c>
      <c r="M1448" s="46"/>
      <c r="N1448" s="46"/>
      <c r="O1448" s="46"/>
      <c r="P1448" s="46"/>
      <c r="Q1448" s="46"/>
      <c r="R1448" s="46"/>
      <c r="S1448" s="46"/>
      <c r="T1448" s="46"/>
      <c r="U1448" s="46"/>
      <c r="V1448" s="46"/>
      <c r="W1448" s="46"/>
      <c r="X1448" s="46"/>
      <c r="Y1448" s="46"/>
      <c r="Z1448" s="46"/>
      <c r="AA1448" s="46"/>
      <c r="AB1448" s="46"/>
      <c r="AC1448" s="46"/>
      <c r="AD1448" s="46"/>
      <c r="AE1448" s="46"/>
      <c r="AF1448" s="46"/>
      <c r="AG1448" s="46"/>
      <c r="AH1448" s="46"/>
      <c r="AI1448" s="46"/>
      <c r="AJ1448" s="46"/>
      <c r="AK1448" s="46"/>
      <c r="AL1448" s="46"/>
      <c r="AM1448" s="1"/>
      <c r="AN1448" s="1"/>
      <c r="AO1448" s="1"/>
      <c r="AP1448" s="1"/>
      <c r="AQ1448" s="1"/>
      <c r="AR1448" s="1"/>
      <c r="AS1448" s="1"/>
      <c r="AT1448" s="1"/>
      <c r="AU1448" s="1"/>
      <c r="AV1448" s="1"/>
      <c r="AW1448" s="1"/>
      <c r="AX1448" s="1"/>
      <c r="AY1448" s="1"/>
    </row>
    <row r="1449" ht="16" customHeight="1" spans="1:51" x14ac:dyDescent="0.25">
      <c r="A1449" s="45"/>
      <c r="B1449" s="46" t="s">
        <v>1501</v>
      </c>
      <c r="C1449" s="46" t="s">
        <v>1502</v>
      </c>
      <c r="D1449" s="46" t="s">
        <v>29</v>
      </c>
      <c r="E1449" s="46" t="s">
        <v>36</v>
      </c>
      <c r="F1449" s="46" t="s">
        <v>37</v>
      </c>
      <c r="G1449" s="46" t="s">
        <v>36</v>
      </c>
      <c r="H1449" s="46" t="s">
        <v>36</v>
      </c>
      <c r="I1449" s="46" t="s">
        <v>36</v>
      </c>
      <c r="J1449" s="46" t="s">
        <v>36</v>
      </c>
      <c r="K1449" s="46" t="s">
        <v>299</v>
      </c>
      <c r="L1449" s="46" t="s">
        <v>36</v>
      </c>
      <c r="M1449" s="46" t="s">
        <v>37</v>
      </c>
      <c r="N1449" s="46" t="s">
        <v>36</v>
      </c>
      <c r="O1449" s="46" t="s">
        <v>36</v>
      </c>
      <c r="P1449" s="46" t="s">
        <v>36</v>
      </c>
      <c r="Q1449" s="46" t="s">
        <v>36</v>
      </c>
      <c r="R1449" s="46" t="s">
        <v>299</v>
      </c>
      <c r="S1449" s="46" t="s">
        <v>36</v>
      </c>
      <c r="T1449" s="46" t="s">
        <v>37</v>
      </c>
      <c r="U1449" s="46" t="s">
        <v>36</v>
      </c>
      <c r="V1449" s="46" t="s">
        <v>36</v>
      </c>
      <c r="W1449" s="46" t="s">
        <v>36</v>
      </c>
      <c r="X1449" s="46" t="s">
        <v>36</v>
      </c>
      <c r="Y1449" s="46" t="s">
        <v>299</v>
      </c>
      <c r="Z1449" s="46" t="s">
        <v>36</v>
      </c>
      <c r="AA1449" s="46" t="s">
        <v>37</v>
      </c>
      <c r="AB1449" s="46" t="s">
        <v>36</v>
      </c>
      <c r="AC1449" s="46" t="s">
        <v>36</v>
      </c>
      <c r="AD1449" s="46" t="s">
        <v>299</v>
      </c>
      <c r="AE1449" s="46" t="s">
        <v>299</v>
      </c>
      <c r="AF1449" s="46" t="s">
        <v>299</v>
      </c>
      <c r="AG1449" s="46" t="s">
        <v>36</v>
      </c>
      <c r="AH1449" s="46" t="s">
        <v>37</v>
      </c>
      <c r="AI1449" s="46" t="s">
        <v>36</v>
      </c>
      <c r="AJ1449" s="46">
        <f>=SUM(E1450:AI1450)</f>
      </c>
      <c r="AK1449" s="46">
        <f>=+AY1449</f>
      </c>
      <c r="AL1449" s="46"/>
      <c r="AM1449" s="1"/>
      <c r="AN1449" s="1">
        <f>=COUNTIF(E1449:AI1449,"A")+COUNTIF(E1449:AI1449,"B")+COUNTIF(E1449:AI1449,"C")+COUNTIF(E1449:AI1449,"D")+COUNTIF(E1449:AI1449,"E")+COUNTIF(E1449:AI1449,"F")+COUNTIF(E1449:AI1449,"M")+COUNTIF(E1449:AI1449,"AB")+COUNTIF(E1449:AI1449,"UZ")+COUNTIF(E1449:AI1449,"G")+(COUNTIF(E1449:AI1449,"RT.")/2)+(COUNTIF(E1449:AI1449,"ÇRT.")/2)</f>
      </c>
      <c r="AO1449" s="1">
        <f>=COUNTIF(E1449:AI1449,"O")</f>
      </c>
      <c r="AP1449" s="1">
        <f>=COUNTIF(E1449:AI1449,"RT")+(COUNTIF(E1449:AI1449,"RT.")/2)</f>
      </c>
      <c r="AQ1449" s="1">
        <f>=COUNTIF(E1449:AI1449,"ÇRT")+(COUNTIF(E1449:AI1449,"ÇRT.")/2)</f>
      </c>
      <c r="AR1449" s="1">
        <f>=COUNTIF(E1449:AI1449,"ÇHT")</f>
      </c>
      <c r="AS1449" s="1">
        <f>=COUNTIF(E1449:AI1449,"Ö")+COUNTIF(E1449:AI1449,"T")</f>
      </c>
      <c r="AT1449" s="1">
        <f>=COUNTIF(E1449:AI1449,"Y")</f>
      </c>
      <c r="AU1449" s="1">
        <f>=COUNTIF(E1449:AI1449,"R.")</f>
      </c>
      <c r="AV1449" s="1">
        <f>=COUNTIF(E1449:AI1449,"Ü")</f>
      </c>
      <c r="AW1449" s="1">
        <f>=COUNTIF(E1449:AI1449,"R")</f>
      </c>
      <c r="AX1449" s="1">
        <f>=COUNTIF(E1449:AI1449,"DV")</f>
      </c>
      <c r="AY1449" s="1">
        <f>=+AN1449+AO1449+AP1449+AQ1449+AR1449+AS1449+AT1449+AU1449</f>
      </c>
    </row>
    <row r="1450" ht="16" customHeight="1" spans="1:51" x14ac:dyDescent="0.25">
      <c r="A1450" s="45"/>
      <c r="B1450" s="46"/>
      <c r="C1450" s="46"/>
      <c r="D1450" s="46" t="s">
        <v>33</v>
      </c>
      <c r="E1450" s="46"/>
      <c r="F1450" s="46"/>
      <c r="G1450" s="46"/>
      <c r="H1450" s="46"/>
      <c r="I1450" s="46"/>
      <c r="J1450" s="46"/>
      <c r="K1450" s="46">
        <v>2</v>
      </c>
      <c r="L1450" s="46"/>
      <c r="M1450" s="46"/>
      <c r="N1450" s="46"/>
      <c r="O1450" s="46"/>
      <c r="P1450" s="46"/>
      <c r="Q1450" s="46"/>
      <c r="R1450" s="46">
        <v>2</v>
      </c>
      <c r="S1450" s="46"/>
      <c r="T1450" s="46"/>
      <c r="U1450" s="46"/>
      <c r="V1450" s="46"/>
      <c r="W1450" s="46"/>
      <c r="X1450" s="46"/>
      <c r="Y1450" s="46">
        <v>2</v>
      </c>
      <c r="Z1450" s="46"/>
      <c r="AA1450" s="46"/>
      <c r="AB1450" s="46"/>
      <c r="AC1450" s="46"/>
      <c r="AD1450" s="46"/>
      <c r="AE1450" s="46">
        <v>2</v>
      </c>
      <c r="AF1450" s="46">
        <v>2</v>
      </c>
      <c r="AG1450" s="46"/>
      <c r="AH1450" s="46"/>
      <c r="AI1450" s="46"/>
      <c r="AJ1450" s="46"/>
      <c r="AK1450" s="46"/>
      <c r="AL1450" s="46"/>
      <c r="AM1450" s="1"/>
      <c r="AN1450" s="1"/>
      <c r="AO1450" s="1"/>
      <c r="AP1450" s="1"/>
      <c r="AQ1450" s="1"/>
      <c r="AR1450" s="1"/>
      <c r="AS1450" s="1"/>
      <c r="AT1450" s="1"/>
      <c r="AU1450" s="1"/>
      <c r="AV1450" s="1"/>
      <c r="AW1450" s="1"/>
      <c r="AX1450" s="1"/>
      <c r="AY1450" s="1"/>
    </row>
    <row r="1451" ht="16" customHeight="1" spans="1:51" x14ac:dyDescent="0.25">
      <c r="A1451" s="45"/>
      <c r="B1451" s="46" t="s">
        <v>1503</v>
      </c>
      <c r="C1451" s="46" t="s">
        <v>1504</v>
      </c>
      <c r="D1451" s="46" t="s">
        <v>29</v>
      </c>
      <c r="E1451" s="46"/>
      <c r="F1451" s="46"/>
      <c r="G1451" s="46"/>
      <c r="H1451" s="46"/>
      <c r="I1451" s="46"/>
      <c r="J1451" s="46"/>
      <c r="K1451" s="46"/>
      <c r="L1451" s="46"/>
      <c r="M1451" s="46"/>
      <c r="N1451" s="46"/>
      <c r="O1451" s="46"/>
      <c r="P1451" s="46"/>
      <c r="Q1451" s="46"/>
      <c r="R1451" s="46"/>
      <c r="S1451" s="46"/>
      <c r="T1451" s="46"/>
      <c r="U1451" s="46"/>
      <c r="V1451" s="46"/>
      <c r="W1451" s="46"/>
      <c r="X1451" s="46"/>
      <c r="Y1451" s="46"/>
      <c r="Z1451" s="46"/>
      <c r="AA1451" s="46"/>
      <c r="AB1451" s="46"/>
      <c r="AC1451" s="46" t="s">
        <v>36</v>
      </c>
      <c r="AD1451" s="46" t="s">
        <v>36</v>
      </c>
      <c r="AE1451" s="46" t="s">
        <v>36</v>
      </c>
      <c r="AF1451" s="46" t="s">
        <v>36</v>
      </c>
      <c r="AG1451" s="46" t="s">
        <v>36</v>
      </c>
      <c r="AH1451" s="46" t="s">
        <v>37</v>
      </c>
      <c r="AI1451" s="46" t="s">
        <v>36</v>
      </c>
      <c r="AJ1451" s="46">
        <f>=SUM(E1452:AI1452)</f>
      </c>
      <c r="AK1451" s="46">
        <f>=+AY1451</f>
      </c>
      <c r="AL1451" s="46"/>
      <c r="AM1451" s="1"/>
      <c r="AN1451" s="1">
        <f>=COUNTIF(E1451:AI1451,"A")+COUNTIF(E1451:AI1451,"B")+COUNTIF(E1451:AI1451,"C")+COUNTIF(E1451:AI1451,"D")+COUNTIF(E1451:AI1451,"E")+COUNTIF(E1451:AI1451,"F")+COUNTIF(E1451:AI1451,"M")+COUNTIF(E1451:AI1451,"AB")+COUNTIF(E1451:AI1451,"UZ")+COUNTIF(E1451:AI1451,"G")+(COUNTIF(E1451:AI1451,"RT.")/2)+(COUNTIF(E1451:AI1451,"ÇRT.")/2)</f>
      </c>
      <c r="AO1451" s="1">
        <f>=COUNTIF(E1451:AI1451,"O")</f>
      </c>
      <c r="AP1451" s="1">
        <f>=COUNTIF(E1451:AI1451,"RT")+(COUNTIF(E1451:AI1451,"RT.")/2)</f>
      </c>
      <c r="AQ1451" s="1">
        <f>=COUNTIF(E1451:AI1451,"ÇRT")+(COUNTIF(E1451:AI1451,"ÇRT.")/2)</f>
      </c>
      <c r="AR1451" s="1">
        <f>=COUNTIF(E1451:AI1451,"ÇHT")</f>
      </c>
      <c r="AS1451" s="1">
        <f>=COUNTIF(E1451:AI1451,"Ö")+COUNTIF(E1451:AI1451,"T")</f>
      </c>
      <c r="AT1451" s="1">
        <f>=COUNTIF(E1451:AI1451,"Y")</f>
      </c>
      <c r="AU1451" s="1">
        <f>=COUNTIF(E1451:AI1451,"R.")</f>
      </c>
      <c r="AV1451" s="1">
        <f>=COUNTIF(E1451:AI1451,"Ü")</f>
      </c>
      <c r="AW1451" s="1">
        <f>=COUNTIF(E1451:AI1451,"R")</f>
      </c>
      <c r="AX1451" s="1">
        <f>=COUNTIF(E1451:AI1451,"DV")</f>
      </c>
      <c r="AY1451" s="1">
        <f>=+AN1451+AO1451+AP1451+AQ1451+AR1451+AS1451+AT1451+AU1451</f>
      </c>
    </row>
    <row r="1452" ht="16" customHeight="1" spans="1:51" x14ac:dyDescent="0.25">
      <c r="A1452" s="45"/>
      <c r="B1452" s="46"/>
      <c r="C1452" s="46"/>
      <c r="D1452" s="46" t="s">
        <v>33</v>
      </c>
      <c r="E1452" s="46"/>
      <c r="F1452" s="46"/>
      <c r="G1452" s="46"/>
      <c r="H1452" s="46"/>
      <c r="I1452" s="46"/>
      <c r="J1452" s="46"/>
      <c r="K1452" s="46"/>
      <c r="L1452" s="46"/>
      <c r="M1452" s="46"/>
      <c r="N1452" s="46"/>
      <c r="O1452" s="46"/>
      <c r="P1452" s="46"/>
      <c r="Q1452" s="46"/>
      <c r="R1452" s="46"/>
      <c r="S1452" s="46"/>
      <c r="T1452" s="46"/>
      <c r="U1452" s="46"/>
      <c r="V1452" s="46"/>
      <c r="W1452" s="46"/>
      <c r="X1452" s="46"/>
      <c r="Y1452" s="46"/>
      <c r="Z1452" s="46"/>
      <c r="AA1452" s="46"/>
      <c r="AB1452" s="46"/>
      <c r="AC1452" s="46"/>
      <c r="AD1452" s="46"/>
      <c r="AE1452" s="46"/>
      <c r="AF1452" s="46"/>
      <c r="AG1452" s="46"/>
      <c r="AH1452" s="46"/>
      <c r="AI1452" s="46"/>
      <c r="AJ1452" s="46"/>
      <c r="AK1452" s="46"/>
      <c r="AL1452" s="46"/>
      <c r="AM1452" s="1"/>
      <c r="AN1452" s="1"/>
      <c r="AO1452" s="1"/>
      <c r="AP1452" s="1"/>
      <c r="AQ1452" s="1"/>
      <c r="AR1452" s="1"/>
      <c r="AS1452" s="1"/>
      <c r="AT1452" s="1"/>
      <c r="AU1452" s="1"/>
      <c r="AV1452" s="1"/>
      <c r="AW1452" s="1"/>
      <c r="AX1452" s="1"/>
      <c r="AY1452" s="1"/>
    </row>
    <row r="1453" ht="16" customHeight="1" spans="1:51" x14ac:dyDescent="0.25">
      <c r="A1453" s="45"/>
      <c r="B1453" s="46" t="s">
        <v>1505</v>
      </c>
      <c r="C1453" s="46" t="s">
        <v>1506</v>
      </c>
      <c r="D1453" s="46" t="s">
        <v>29</v>
      </c>
      <c r="E1453" s="46" t="s">
        <v>59</v>
      </c>
      <c r="F1453" s="46" t="s">
        <v>59</v>
      </c>
      <c r="G1453" s="46" t="s">
        <v>37</v>
      </c>
      <c r="H1453" s="46" t="s">
        <v>59</v>
      </c>
      <c r="I1453" s="46" t="s">
        <v>59</v>
      </c>
      <c r="J1453" s="46" t="s">
        <v>59</v>
      </c>
      <c r="K1453" s="46" t="s">
        <v>59</v>
      </c>
      <c r="L1453" s="46" t="s">
        <v>59</v>
      </c>
      <c r="M1453" s="46" t="s">
        <v>59</v>
      </c>
      <c r="N1453" s="46" t="s">
        <v>37</v>
      </c>
      <c r="O1453" s="46" t="s">
        <v>59</v>
      </c>
      <c r="P1453" s="46" t="s">
        <v>59</v>
      </c>
      <c r="Q1453" s="46" t="s">
        <v>59</v>
      </c>
      <c r="R1453" s="46" t="s">
        <v>59</v>
      </c>
      <c r="S1453" s="46"/>
      <c r="T1453" s="46"/>
      <c r="U1453" s="46"/>
      <c r="V1453" s="46"/>
      <c r="W1453" s="46"/>
      <c r="X1453" s="46"/>
      <c r="Y1453" s="46"/>
      <c r="Z1453" s="46"/>
      <c r="AA1453" s="46"/>
      <c r="AB1453" s="46"/>
      <c r="AC1453" s="46"/>
      <c r="AD1453" s="46"/>
      <c r="AE1453" s="46"/>
      <c r="AF1453" s="46"/>
      <c r="AG1453" s="46"/>
      <c r="AH1453" s="46"/>
      <c r="AI1453" s="46"/>
      <c r="AJ1453" s="46">
        <f>=SUM(E1454:AI1454)</f>
      </c>
      <c r="AK1453" s="46">
        <f>=+AY1453</f>
      </c>
      <c r="AL1453" s="46"/>
      <c r="AM1453" s="1"/>
      <c r="AN1453" s="1">
        <f>=COUNTIF(E1453:AI1453,"A")+COUNTIF(E1453:AI1453,"B")+COUNTIF(E1453:AI1453,"C")+COUNTIF(E1453:AI1453,"D")+COUNTIF(E1453:AI1453,"E")+COUNTIF(E1453:AI1453,"F")+COUNTIF(E1453:AI1453,"M")+COUNTIF(E1453:AI1453,"AB")+COUNTIF(E1453:AI1453,"UZ")+COUNTIF(E1453:AI1453,"G")+(COUNTIF(E1453:AI1453,"RT.")/2)+(COUNTIF(E1453:AI1453,"ÇRT.")/2)</f>
      </c>
      <c r="AO1453" s="1">
        <f>=COUNTIF(E1453:AI1453,"O")</f>
      </c>
      <c r="AP1453" s="1">
        <f>=COUNTIF(E1453:AI1453,"RT")+(COUNTIF(E1453:AI1453,"RT.")/2)</f>
      </c>
      <c r="AQ1453" s="1">
        <f>=COUNTIF(E1453:AI1453,"ÇRT")+(COUNTIF(E1453:AI1453,"ÇRT.")/2)</f>
      </c>
      <c r="AR1453" s="1">
        <f>=COUNTIF(E1453:AI1453,"ÇHT")</f>
      </c>
      <c r="AS1453" s="1">
        <f>=COUNTIF(E1453:AI1453,"Ö")+COUNTIF(E1453:AI1453,"T")</f>
      </c>
      <c r="AT1453" s="1">
        <f>=COUNTIF(E1453:AI1453,"Y")</f>
      </c>
      <c r="AU1453" s="1">
        <f>=COUNTIF(E1453:AI1453,"R.")</f>
      </c>
      <c r="AV1453" s="1">
        <f>=COUNTIF(E1453:AI1453,"Ü")</f>
      </c>
      <c r="AW1453" s="1">
        <f>=COUNTIF(E1453:AI1453,"R")</f>
      </c>
      <c r="AX1453" s="1">
        <f>=COUNTIF(E1453:AI1453,"DV")</f>
      </c>
      <c r="AY1453" s="1">
        <f>=+AN1453+AO1453+AP1453+AQ1453+AR1453+AS1453+AT1453+AU1453</f>
      </c>
    </row>
    <row r="1454" ht="16" customHeight="1" spans="1:51" x14ac:dyDescent="0.25">
      <c r="A1454" s="45"/>
      <c r="B1454" s="46"/>
      <c r="C1454" s="46"/>
      <c r="D1454" s="46" t="s">
        <v>33</v>
      </c>
      <c r="E1454" s="46"/>
      <c r="F1454" s="46"/>
      <c r="G1454" s="46"/>
      <c r="H1454" s="46"/>
      <c r="I1454" s="46"/>
      <c r="J1454" s="46"/>
      <c r="K1454" s="46"/>
      <c r="L1454" s="46"/>
      <c r="M1454" s="46"/>
      <c r="N1454" s="46"/>
      <c r="O1454" s="46"/>
      <c r="P1454" s="46"/>
      <c r="Q1454" s="46"/>
      <c r="R1454" s="46"/>
      <c r="S1454" s="46"/>
      <c r="T1454" s="46"/>
      <c r="U1454" s="46"/>
      <c r="V1454" s="46"/>
      <c r="W1454" s="46"/>
      <c r="X1454" s="46"/>
      <c r="Y1454" s="46"/>
      <c r="Z1454" s="46"/>
      <c r="AA1454" s="46"/>
      <c r="AB1454" s="46"/>
      <c r="AC1454" s="46"/>
      <c r="AD1454" s="46"/>
      <c r="AE1454" s="46"/>
      <c r="AF1454" s="46"/>
      <c r="AG1454" s="46"/>
      <c r="AH1454" s="46"/>
      <c r="AI1454" s="46"/>
      <c r="AJ1454" s="46"/>
      <c r="AK1454" s="46"/>
      <c r="AL1454" s="46"/>
      <c r="AM1454" s="1"/>
      <c r="AN1454" s="1"/>
      <c r="AO1454" s="1"/>
      <c r="AP1454" s="1"/>
      <c r="AQ1454" s="1"/>
      <c r="AR1454" s="1"/>
      <c r="AS1454" s="1"/>
      <c r="AT1454" s="1"/>
      <c r="AU1454" s="1"/>
      <c r="AV1454" s="1"/>
      <c r="AW1454" s="1"/>
      <c r="AX1454" s="1"/>
      <c r="AY1454" s="1"/>
    </row>
    <row r="1455" ht="16" customHeight="1" spans="1:51" x14ac:dyDescent="0.25">
      <c r="A1455" s="45"/>
      <c r="B1455" s="46" t="s">
        <v>1507</v>
      </c>
      <c r="C1455" s="46" t="s">
        <v>1508</v>
      </c>
      <c r="D1455" s="46" t="s">
        <v>29</v>
      </c>
      <c r="E1455" s="46" t="s">
        <v>59</v>
      </c>
      <c r="F1455" s="46" t="s">
        <v>59</v>
      </c>
      <c r="G1455" s="46" t="s">
        <v>59</v>
      </c>
      <c r="H1455" s="46" t="s">
        <v>59</v>
      </c>
      <c r="I1455" s="46" t="s">
        <v>59</v>
      </c>
      <c r="J1455" s="46" t="s">
        <v>37</v>
      </c>
      <c r="K1455" s="46" t="s">
        <v>59</v>
      </c>
      <c r="L1455" s="46" t="s">
        <v>59</v>
      </c>
      <c r="M1455" s="46" t="s">
        <v>59</v>
      </c>
      <c r="N1455" s="46" t="s">
        <v>59</v>
      </c>
      <c r="O1455" s="46" t="s">
        <v>59</v>
      </c>
      <c r="P1455" s="46" t="s">
        <v>59</v>
      </c>
      <c r="Q1455" s="46" t="s">
        <v>37</v>
      </c>
      <c r="R1455" s="46" t="s">
        <v>59</v>
      </c>
      <c r="S1455" s="46" t="s">
        <v>59</v>
      </c>
      <c r="T1455" s="46" t="s">
        <v>59</v>
      </c>
      <c r="U1455" s="46" t="s">
        <v>59</v>
      </c>
      <c r="V1455" s="46" t="s">
        <v>59</v>
      </c>
      <c r="W1455" s="46" t="s">
        <v>59</v>
      </c>
      <c r="X1455" s="46" t="s">
        <v>37</v>
      </c>
      <c r="Y1455" s="46" t="s">
        <v>59</v>
      </c>
      <c r="Z1455" s="46" t="s">
        <v>59</v>
      </c>
      <c r="AA1455" s="46" t="s">
        <v>59</v>
      </c>
      <c r="AB1455" s="46" t="s">
        <v>59</v>
      </c>
      <c r="AC1455" s="46" t="s">
        <v>59</v>
      </c>
      <c r="AD1455" s="46" t="s">
        <v>59</v>
      </c>
      <c r="AE1455" s="46" t="s">
        <v>37</v>
      </c>
      <c r="AF1455" s="46" t="s">
        <v>59</v>
      </c>
      <c r="AG1455" s="46" t="s">
        <v>59</v>
      </c>
      <c r="AH1455" s="46" t="s">
        <v>43</v>
      </c>
      <c r="AI1455" s="46" t="s">
        <v>59</v>
      </c>
      <c r="AJ1455" s="46">
        <f>=SUM(E1456:AI1456)</f>
      </c>
      <c r="AK1455" s="46">
        <f>=+AY1455</f>
      </c>
      <c r="AL1455" s="46"/>
      <c r="AM1455" s="1"/>
      <c r="AN1455" s="1">
        <f>=COUNTIF(E1455:AI1455,"A")+COUNTIF(E1455:AI1455,"B")+COUNTIF(E1455:AI1455,"C")+COUNTIF(E1455:AI1455,"D")+COUNTIF(E1455:AI1455,"E")+COUNTIF(E1455:AI1455,"F")+COUNTIF(E1455:AI1455,"M")+COUNTIF(E1455:AI1455,"AB")+COUNTIF(E1455:AI1455,"UZ")+COUNTIF(E1455:AI1455,"G")+(COUNTIF(E1455:AI1455,"RT.")/2)+(COUNTIF(E1455:AI1455,"ÇRT.")/2)</f>
      </c>
      <c r="AO1455" s="1">
        <f>=COUNTIF(E1455:AI1455,"O")</f>
      </c>
      <c r="AP1455" s="1">
        <f>=COUNTIF(E1455:AI1455,"RT")+(COUNTIF(E1455:AI1455,"RT.")/2)</f>
      </c>
      <c r="AQ1455" s="1">
        <f>=COUNTIF(E1455:AI1455,"ÇRT")+(COUNTIF(E1455:AI1455,"ÇRT.")/2)</f>
      </c>
      <c r="AR1455" s="1">
        <f>=COUNTIF(E1455:AI1455,"ÇHT")</f>
      </c>
      <c r="AS1455" s="1">
        <f>=COUNTIF(E1455:AI1455,"Ö")+COUNTIF(E1455:AI1455,"T")</f>
      </c>
      <c r="AT1455" s="1">
        <f>=COUNTIF(E1455:AI1455,"Y")</f>
      </c>
      <c r="AU1455" s="1">
        <f>=COUNTIF(E1455:AI1455,"R.")</f>
      </c>
      <c r="AV1455" s="1">
        <f>=COUNTIF(E1455:AI1455,"Ü")</f>
      </c>
      <c r="AW1455" s="1">
        <f>=COUNTIF(E1455:AI1455,"R")</f>
      </c>
      <c r="AX1455" s="1">
        <f>=COUNTIF(E1455:AI1455,"DV")</f>
      </c>
      <c r="AY1455" s="1">
        <f>=+AN1455+AO1455+AP1455+AQ1455+AR1455+AS1455+AT1455+AU1455</f>
      </c>
    </row>
    <row r="1456" ht="16" customHeight="1" spans="1:51" x14ac:dyDescent="0.25">
      <c r="A1456" s="45"/>
      <c r="B1456" s="46"/>
      <c r="C1456" s="46"/>
      <c r="D1456" s="46" t="s">
        <v>33</v>
      </c>
      <c r="E1456" s="46"/>
      <c r="F1456" s="46"/>
      <c r="G1456" s="46"/>
      <c r="H1456" s="46"/>
      <c r="I1456" s="46"/>
      <c r="J1456" s="46"/>
      <c r="K1456" s="46"/>
      <c r="L1456" s="46"/>
      <c r="M1456" s="46"/>
      <c r="N1456" s="46"/>
      <c r="O1456" s="46"/>
      <c r="P1456" s="46"/>
      <c r="Q1456" s="46"/>
      <c r="R1456" s="46"/>
      <c r="S1456" s="46"/>
      <c r="T1456" s="46"/>
      <c r="U1456" s="46"/>
      <c r="V1456" s="46"/>
      <c r="W1456" s="46"/>
      <c r="X1456" s="46"/>
      <c r="Y1456" s="46"/>
      <c r="Z1456" s="46"/>
      <c r="AA1456" s="46"/>
      <c r="AB1456" s="46"/>
      <c r="AC1456" s="46"/>
      <c r="AD1456" s="46"/>
      <c r="AE1456" s="46"/>
      <c r="AF1456" s="46"/>
      <c r="AG1456" s="46"/>
      <c r="AH1456" s="46"/>
      <c r="AI1456" s="46"/>
      <c r="AJ1456" s="46"/>
      <c r="AK1456" s="46"/>
      <c r="AL1456" s="46"/>
      <c r="AM1456" s="1"/>
      <c r="AN1456" s="1"/>
      <c r="AO1456" s="1"/>
      <c r="AP1456" s="1"/>
      <c r="AQ1456" s="1"/>
      <c r="AR1456" s="1"/>
      <c r="AS1456" s="1"/>
      <c r="AT1456" s="1"/>
      <c r="AU1456" s="1"/>
      <c r="AV1456" s="1"/>
      <c r="AW1456" s="1"/>
      <c r="AX1456" s="1"/>
      <c r="AY1456" s="1"/>
    </row>
    <row r="1457" ht="16" customHeight="1" spans="1:51" x14ac:dyDescent="0.25">
      <c r="A1457" s="45"/>
      <c r="B1457" s="46" t="s">
        <v>1509</v>
      </c>
      <c r="C1457" s="46" t="s">
        <v>1510</v>
      </c>
      <c r="D1457" s="46" t="s">
        <v>29</v>
      </c>
      <c r="E1457" s="46"/>
      <c r="F1457" s="46"/>
      <c r="G1457" s="46"/>
      <c r="H1457" s="46"/>
      <c r="I1457" s="46"/>
      <c r="J1457" s="46"/>
      <c r="K1457" s="46"/>
      <c r="L1457" s="46"/>
      <c r="M1457" s="46"/>
      <c r="N1457" s="46"/>
      <c r="O1457" s="46"/>
      <c r="P1457" s="46"/>
      <c r="Q1457" s="46"/>
      <c r="R1457" s="46"/>
      <c r="S1457" s="46"/>
      <c r="T1457" s="46"/>
      <c r="U1457" s="46"/>
      <c r="V1457" s="46"/>
      <c r="W1457" s="46"/>
      <c r="X1457" s="46" t="s">
        <v>36</v>
      </c>
      <c r="Y1457" s="46" t="s">
        <v>59</v>
      </c>
      <c r="Z1457" s="46" t="s">
        <v>59</v>
      </c>
      <c r="AA1457" s="46" t="s">
        <v>31</v>
      </c>
      <c r="AB1457" s="46" t="s">
        <v>31</v>
      </c>
      <c r="AC1457" s="46" t="s">
        <v>32</v>
      </c>
      <c r="AD1457" s="46" t="s">
        <v>37</v>
      </c>
      <c r="AE1457" s="46" t="s">
        <v>59</v>
      </c>
      <c r="AF1457" s="46" t="s">
        <v>59</v>
      </c>
      <c r="AG1457" s="46" t="s">
        <v>31</v>
      </c>
      <c r="AH1457" s="46" t="s">
        <v>31</v>
      </c>
      <c r="AI1457" s="46" t="s">
        <v>59</v>
      </c>
      <c r="AJ1457" s="46">
        <f>=SUM(E1458:AI1458)</f>
      </c>
      <c r="AK1457" s="46">
        <f>=+AY1457</f>
      </c>
      <c r="AL1457" s="46"/>
      <c r="AM1457" s="1"/>
      <c r="AN1457" s="1">
        <f>=COUNTIF(E1457:AI1457,"A")+COUNTIF(E1457:AI1457,"B")+COUNTIF(E1457:AI1457,"C")+COUNTIF(E1457:AI1457,"D")+COUNTIF(E1457:AI1457,"E")+COUNTIF(E1457:AI1457,"F")+COUNTIF(E1457:AI1457,"M")+COUNTIF(E1457:AI1457,"AB")+COUNTIF(E1457:AI1457,"UZ")+COUNTIF(E1457:AI1457,"G")+(COUNTIF(E1457:AI1457,"RT.")/2)+(COUNTIF(E1457:AI1457,"ÇRT.")/2)</f>
      </c>
      <c r="AO1457" s="1">
        <f>=COUNTIF(E1457:AI1457,"O")</f>
      </c>
      <c r="AP1457" s="1">
        <f>=COUNTIF(E1457:AI1457,"RT")+(COUNTIF(E1457:AI1457,"RT.")/2)</f>
      </c>
      <c r="AQ1457" s="1">
        <f>=COUNTIF(E1457:AI1457,"ÇRT")+(COUNTIF(E1457:AI1457,"ÇRT.")/2)</f>
      </c>
      <c r="AR1457" s="1">
        <f>=COUNTIF(E1457:AI1457,"ÇHT")</f>
      </c>
      <c r="AS1457" s="1">
        <f>=COUNTIF(E1457:AI1457,"Ö")+COUNTIF(E1457:AI1457,"T")</f>
      </c>
      <c r="AT1457" s="1">
        <f>=COUNTIF(E1457:AI1457,"Y")</f>
      </c>
      <c r="AU1457" s="1">
        <f>=COUNTIF(E1457:AI1457,"R.")</f>
      </c>
      <c r="AV1457" s="1">
        <f>=COUNTIF(E1457:AI1457,"Ü")</f>
      </c>
      <c r="AW1457" s="1">
        <f>=COUNTIF(E1457:AI1457,"R")</f>
      </c>
      <c r="AX1457" s="1">
        <f>=COUNTIF(E1457:AI1457,"DV")</f>
      </c>
      <c r="AY1457" s="1">
        <f>=+AN1457+AO1457+AP1457+AQ1457+AR1457+AS1457+AT1457+AU1457</f>
      </c>
    </row>
    <row r="1458" ht="16" customHeight="1" spans="1:51" x14ac:dyDescent="0.25">
      <c r="A1458" s="45"/>
      <c r="B1458" s="46"/>
      <c r="C1458" s="46"/>
      <c r="D1458" s="46" t="s">
        <v>33</v>
      </c>
      <c r="E1458" s="46"/>
      <c r="F1458" s="46"/>
      <c r="G1458" s="46"/>
      <c r="H1458" s="46"/>
      <c r="I1458" s="46"/>
      <c r="J1458" s="46"/>
      <c r="K1458" s="46"/>
      <c r="L1458" s="46"/>
      <c r="M1458" s="46"/>
      <c r="N1458" s="46"/>
      <c r="O1458" s="46"/>
      <c r="P1458" s="46"/>
      <c r="Q1458" s="46"/>
      <c r="R1458" s="46"/>
      <c r="S1458" s="46"/>
      <c r="T1458" s="46"/>
      <c r="U1458" s="46"/>
      <c r="V1458" s="46"/>
      <c r="W1458" s="46"/>
      <c r="X1458" s="46"/>
      <c r="Y1458" s="46"/>
      <c r="Z1458" s="46"/>
      <c r="AA1458" s="46"/>
      <c r="AB1458" s="46"/>
      <c r="AC1458" s="46"/>
      <c r="AD1458" s="46"/>
      <c r="AE1458" s="46"/>
      <c r="AF1458" s="46"/>
      <c r="AG1458" s="46"/>
      <c r="AH1458" s="46"/>
      <c r="AI1458" s="46"/>
      <c r="AJ1458" s="46"/>
      <c r="AK1458" s="46"/>
      <c r="AL1458" s="46"/>
      <c r="AM1458" s="1"/>
      <c r="AN1458" s="1"/>
      <c r="AO1458" s="1"/>
      <c r="AP1458" s="1"/>
      <c r="AQ1458" s="1"/>
      <c r="AR1458" s="1"/>
      <c r="AS1458" s="1"/>
      <c r="AT1458" s="1"/>
      <c r="AU1458" s="1"/>
      <c r="AV1458" s="1"/>
      <c r="AW1458" s="1"/>
      <c r="AX1458" s="1"/>
      <c r="AY1458" s="1"/>
    </row>
    <row r="1459" ht="16" customHeight="1" spans="1:51" x14ac:dyDescent="0.25">
      <c r="A1459" s="45"/>
      <c r="B1459" s="46" t="s">
        <v>1511</v>
      </c>
      <c r="C1459" s="46" t="s">
        <v>1512</v>
      </c>
      <c r="D1459" s="46" t="s">
        <v>29</v>
      </c>
      <c r="E1459" s="46" t="s">
        <v>32</v>
      </c>
      <c r="F1459" s="46" t="s">
        <v>32</v>
      </c>
      <c r="G1459" s="46" t="s">
        <v>32</v>
      </c>
      <c r="H1459" s="46" t="s">
        <v>32</v>
      </c>
      <c r="I1459" s="46" t="s">
        <v>32</v>
      </c>
      <c r="J1459" s="46" t="s">
        <v>32</v>
      </c>
      <c r="K1459" s="46" t="s">
        <v>32</v>
      </c>
      <c r="L1459" s="46" t="s">
        <v>32</v>
      </c>
      <c r="M1459" s="46" t="s">
        <v>32</v>
      </c>
      <c r="N1459" s="46" t="s">
        <v>32</v>
      </c>
      <c r="O1459" s="46" t="s">
        <v>32</v>
      </c>
      <c r="P1459" s="46" t="s">
        <v>32</v>
      </c>
      <c r="Q1459" s="46" t="s">
        <v>32</v>
      </c>
      <c r="R1459" s="46" t="s">
        <v>32</v>
      </c>
      <c r="S1459" s="46" t="s">
        <v>32</v>
      </c>
      <c r="T1459" s="46" t="s">
        <v>32</v>
      </c>
      <c r="U1459" s="46" t="s">
        <v>32</v>
      </c>
      <c r="V1459" s="46" t="s">
        <v>31</v>
      </c>
      <c r="W1459" s="46" t="s">
        <v>31</v>
      </c>
      <c r="X1459" s="46" t="s">
        <v>32</v>
      </c>
      <c r="Y1459" s="46" t="s">
        <v>32</v>
      </c>
      <c r="Z1459" s="46" t="s">
        <v>32</v>
      </c>
      <c r="AA1459" s="46" t="s">
        <v>32</v>
      </c>
      <c r="AB1459" s="46" t="s">
        <v>32</v>
      </c>
      <c r="AC1459" s="46" t="s">
        <v>32</v>
      </c>
      <c r="AD1459" s="46" t="s">
        <v>32</v>
      </c>
      <c r="AE1459" s="46" t="s">
        <v>32</v>
      </c>
      <c r="AF1459" s="46" t="s">
        <v>31</v>
      </c>
      <c r="AG1459" s="46" t="s">
        <v>31</v>
      </c>
      <c r="AH1459" s="46" t="s">
        <v>32</v>
      </c>
      <c r="AI1459" s="46" t="s">
        <v>32</v>
      </c>
      <c r="AJ1459" s="46">
        <f>=SUM(E1460:AI1460)</f>
      </c>
      <c r="AK1459" s="46">
        <f>=+AY1459</f>
      </c>
      <c r="AL1459" s="46"/>
      <c r="AM1459" s="1"/>
      <c r="AN1459" s="1">
        <f>=COUNTIF(E1459:AI1459,"A")+COUNTIF(E1459:AI1459,"B")+COUNTIF(E1459:AI1459,"C")+COUNTIF(E1459:AI1459,"D")+COUNTIF(E1459:AI1459,"E")+COUNTIF(E1459:AI1459,"F")+COUNTIF(E1459:AI1459,"M")+COUNTIF(E1459:AI1459,"AB")+COUNTIF(E1459:AI1459,"UZ")+COUNTIF(E1459:AI1459,"G")+(COUNTIF(E1459:AI1459,"RT.")/2)+(COUNTIF(E1459:AI1459,"ÇRT.")/2)</f>
      </c>
      <c r="AO1459" s="1">
        <f>=COUNTIF(E1459:AI1459,"O")</f>
      </c>
      <c r="AP1459" s="1">
        <f>=COUNTIF(E1459:AI1459,"RT")+(COUNTIF(E1459:AI1459,"RT.")/2)</f>
      </c>
      <c r="AQ1459" s="1">
        <f>=COUNTIF(E1459:AI1459,"ÇRT")+(COUNTIF(E1459:AI1459,"ÇRT.")/2)</f>
      </c>
      <c r="AR1459" s="1">
        <f>=COUNTIF(E1459:AI1459,"ÇHT")</f>
      </c>
      <c r="AS1459" s="1">
        <f>=COUNTIF(E1459:AI1459,"Ö")+COUNTIF(E1459:AI1459,"T")</f>
      </c>
      <c r="AT1459" s="1">
        <f>=COUNTIF(E1459:AI1459,"Y")</f>
      </c>
      <c r="AU1459" s="1">
        <f>=COUNTIF(E1459:AI1459,"R.")</f>
      </c>
      <c r="AV1459" s="1">
        <f>=COUNTIF(E1459:AI1459,"Ü")</f>
      </c>
      <c r="AW1459" s="1">
        <f>=COUNTIF(E1459:AI1459,"R")</f>
      </c>
      <c r="AX1459" s="1">
        <f>=COUNTIF(E1459:AI1459,"DV")</f>
      </c>
      <c r="AY1459" s="1">
        <f>=+AN1459+AO1459+AP1459+AQ1459+AR1459+AS1459+AT1459+AU1459</f>
      </c>
    </row>
    <row r="1460" ht="16" customHeight="1" spans="1:51" x14ac:dyDescent="0.25">
      <c r="A1460" s="45"/>
      <c r="B1460" s="46"/>
      <c r="C1460" s="46"/>
      <c r="D1460" s="46" t="s">
        <v>33</v>
      </c>
      <c r="E1460" s="46"/>
      <c r="F1460" s="46"/>
      <c r="G1460" s="46"/>
      <c r="H1460" s="46"/>
      <c r="I1460" s="46"/>
      <c r="J1460" s="46"/>
      <c r="K1460" s="46"/>
      <c r="L1460" s="46"/>
      <c r="M1460" s="46"/>
      <c r="N1460" s="46"/>
      <c r="O1460" s="46"/>
      <c r="P1460" s="46"/>
      <c r="Q1460" s="46"/>
      <c r="R1460" s="46"/>
      <c r="S1460" s="46"/>
      <c r="T1460" s="46"/>
      <c r="U1460" s="46"/>
      <c r="V1460" s="46"/>
      <c r="W1460" s="46"/>
      <c r="X1460" s="46"/>
      <c r="Y1460" s="46"/>
      <c r="Z1460" s="46"/>
      <c r="AA1460" s="46"/>
      <c r="AB1460" s="46"/>
      <c r="AC1460" s="46"/>
      <c r="AD1460" s="46"/>
      <c r="AE1460" s="46"/>
      <c r="AF1460" s="46"/>
      <c r="AG1460" s="46"/>
      <c r="AH1460" s="46"/>
      <c r="AI1460" s="46"/>
      <c r="AJ1460" s="46"/>
      <c r="AK1460" s="46"/>
      <c r="AL1460" s="46"/>
      <c r="AM1460" s="1"/>
      <c r="AN1460" s="1"/>
      <c r="AO1460" s="1"/>
      <c r="AP1460" s="1"/>
      <c r="AQ1460" s="1"/>
      <c r="AR1460" s="1"/>
      <c r="AS1460" s="1"/>
      <c r="AT1460" s="1"/>
      <c r="AU1460" s="1"/>
      <c r="AV1460" s="1"/>
      <c r="AW1460" s="1"/>
      <c r="AX1460" s="1"/>
      <c r="AY1460" s="1"/>
    </row>
    <row r="1461" ht="16" customHeight="1" spans="1:51" x14ac:dyDescent="0.25">
      <c r="A1461" s="45"/>
      <c r="B1461" s="46" t="s">
        <v>1513</v>
      </c>
      <c r="C1461" s="46" t="s">
        <v>1514</v>
      </c>
      <c r="D1461" s="46" t="s">
        <v>29</v>
      </c>
      <c r="E1461" s="46" t="s">
        <v>299</v>
      </c>
      <c r="F1461" s="46" t="s">
        <v>299</v>
      </c>
      <c r="G1461" s="46" t="s">
        <v>299</v>
      </c>
      <c r="H1461" s="46" t="s">
        <v>299</v>
      </c>
      <c r="I1461" s="46" t="s">
        <v>299</v>
      </c>
      <c r="J1461" s="46" t="s">
        <v>37</v>
      </c>
      <c r="K1461" s="46" t="s">
        <v>299</v>
      </c>
      <c r="L1461" s="46" t="s">
        <v>299</v>
      </c>
      <c r="M1461" s="46" t="s">
        <v>299</v>
      </c>
      <c r="N1461" s="46" t="s">
        <v>299</v>
      </c>
      <c r="O1461" s="46" t="s">
        <v>299</v>
      </c>
      <c r="P1461" s="46" t="s">
        <v>299</v>
      </c>
      <c r="Q1461" s="46" t="s">
        <v>37</v>
      </c>
      <c r="R1461" s="46" t="s">
        <v>299</v>
      </c>
      <c r="S1461" s="46" t="s">
        <v>299</v>
      </c>
      <c r="T1461" s="46" t="s">
        <v>299</v>
      </c>
      <c r="U1461" s="46" t="s">
        <v>299</v>
      </c>
      <c r="V1461" s="46" t="s">
        <v>299</v>
      </c>
      <c r="W1461" s="46" t="s">
        <v>299</v>
      </c>
      <c r="X1461" s="46" t="s">
        <v>37</v>
      </c>
      <c r="Y1461" s="46" t="s">
        <v>299</v>
      </c>
      <c r="Z1461" s="46" t="s">
        <v>299</v>
      </c>
      <c r="AA1461" s="46" t="s">
        <v>299</v>
      </c>
      <c r="AB1461" s="46" t="s">
        <v>299</v>
      </c>
      <c r="AC1461" s="46" t="s">
        <v>299</v>
      </c>
      <c r="AD1461" s="46" t="s">
        <v>299</v>
      </c>
      <c r="AE1461" s="46" t="s">
        <v>37</v>
      </c>
      <c r="AF1461" s="46" t="s">
        <v>299</v>
      </c>
      <c r="AG1461" s="46" t="s">
        <v>299</v>
      </c>
      <c r="AH1461" s="46" t="s">
        <v>43</v>
      </c>
      <c r="AI1461" s="46" t="s">
        <v>299</v>
      </c>
      <c r="AJ1461" s="46">
        <f>=SUM(E1462:AI1462)</f>
      </c>
      <c r="AK1461" s="46">
        <f>=+AY1461</f>
      </c>
      <c r="AL1461" s="46"/>
      <c r="AM1461" s="1"/>
      <c r="AN1461" s="1">
        <f>=COUNTIF(E1461:AI1461,"A")+COUNTIF(E1461:AI1461,"B")+COUNTIF(E1461:AI1461,"C")+COUNTIF(E1461:AI1461,"D")+COUNTIF(E1461:AI1461,"E")+COUNTIF(E1461:AI1461,"F")+COUNTIF(E1461:AI1461,"M")+COUNTIF(E1461:AI1461,"AB")+COUNTIF(E1461:AI1461,"UZ")+COUNTIF(E1461:AI1461,"G")+(COUNTIF(E1461:AI1461,"RT.")/2)+(COUNTIF(E1461:AI1461,"ÇRT.")/2)</f>
      </c>
      <c r="AO1461" s="1">
        <f>=COUNTIF(E1461:AI1461,"O")</f>
      </c>
      <c r="AP1461" s="1">
        <f>=COUNTIF(E1461:AI1461,"RT")+(COUNTIF(E1461:AI1461,"RT.")/2)</f>
      </c>
      <c r="AQ1461" s="1">
        <f>=COUNTIF(E1461:AI1461,"ÇRT")+(COUNTIF(E1461:AI1461,"ÇRT.")/2)</f>
      </c>
      <c r="AR1461" s="1">
        <f>=COUNTIF(E1461:AI1461,"ÇHT")</f>
      </c>
      <c r="AS1461" s="1">
        <f>=COUNTIF(E1461:AI1461,"Ö")+COUNTIF(E1461:AI1461,"T")</f>
      </c>
      <c r="AT1461" s="1">
        <f>=COUNTIF(E1461:AI1461,"Y")</f>
      </c>
      <c r="AU1461" s="1">
        <f>=COUNTIF(E1461:AI1461,"R.")</f>
      </c>
      <c r="AV1461" s="1">
        <f>=COUNTIF(E1461:AI1461,"Ü")</f>
      </c>
      <c r="AW1461" s="1">
        <f>=COUNTIF(E1461:AI1461,"R")</f>
      </c>
      <c r="AX1461" s="1">
        <f>=COUNTIF(E1461:AI1461,"DV")</f>
      </c>
      <c r="AY1461" s="1">
        <f>=+AN1461+AO1461+AP1461+AQ1461+AR1461+AS1461+AT1461+AU1461</f>
      </c>
    </row>
    <row r="1462" ht="16" customHeight="1" spans="1:51" x14ac:dyDescent="0.25">
      <c r="A1462" s="45"/>
      <c r="B1462" s="46"/>
      <c r="C1462" s="46"/>
      <c r="D1462" s="46" t="s">
        <v>33</v>
      </c>
      <c r="E1462" s="46">
        <v>2</v>
      </c>
      <c r="F1462" s="46">
        <v>2</v>
      </c>
      <c r="G1462" s="46">
        <v>2</v>
      </c>
      <c r="H1462" s="46">
        <v>2</v>
      </c>
      <c r="I1462" s="46">
        <v>2</v>
      </c>
      <c r="J1462" s="46"/>
      <c r="K1462" s="46">
        <v>2</v>
      </c>
      <c r="L1462" s="46">
        <v>2</v>
      </c>
      <c r="M1462" s="46">
        <v>2</v>
      </c>
      <c r="N1462" s="46">
        <v>2</v>
      </c>
      <c r="O1462" s="46">
        <v>2</v>
      </c>
      <c r="P1462" s="46">
        <v>2</v>
      </c>
      <c r="Q1462" s="46"/>
      <c r="R1462" s="46">
        <v>2</v>
      </c>
      <c r="S1462" s="46">
        <v>2</v>
      </c>
      <c r="T1462" s="46">
        <v>2</v>
      </c>
      <c r="U1462" s="46">
        <v>2</v>
      </c>
      <c r="V1462" s="46">
        <v>2</v>
      </c>
      <c r="W1462" s="46">
        <v>2</v>
      </c>
      <c r="X1462" s="46"/>
      <c r="Y1462" s="46">
        <v>2</v>
      </c>
      <c r="Z1462" s="46">
        <v>2</v>
      </c>
      <c r="AA1462" s="46">
        <v>2</v>
      </c>
      <c r="AB1462" s="46">
        <v>2</v>
      </c>
      <c r="AC1462" s="46">
        <v>2</v>
      </c>
      <c r="AD1462" s="46">
        <v>2</v>
      </c>
      <c r="AE1462" s="46"/>
      <c r="AF1462" s="46">
        <v>2</v>
      </c>
      <c r="AG1462" s="46">
        <v>2</v>
      </c>
      <c r="AH1462" s="46">
        <v>2</v>
      </c>
      <c r="AI1462" s="46">
        <v>2</v>
      </c>
      <c r="AJ1462" s="46"/>
      <c r="AK1462" s="46"/>
      <c r="AL1462" s="46"/>
      <c r="AM1462" s="1"/>
      <c r="AN1462" s="1"/>
      <c r="AO1462" s="1"/>
      <c r="AP1462" s="1"/>
      <c r="AQ1462" s="1"/>
      <c r="AR1462" s="1"/>
      <c r="AS1462" s="1"/>
      <c r="AT1462" s="1"/>
      <c r="AU1462" s="1"/>
      <c r="AV1462" s="1"/>
      <c r="AW1462" s="1"/>
      <c r="AX1462" s="1"/>
      <c r="AY1462" s="1"/>
    </row>
    <row r="1463" ht="16" customHeight="1" spans="1:51" x14ac:dyDescent="0.25">
      <c r="A1463" s="45"/>
      <c r="B1463" s="46" t="s">
        <v>1515</v>
      </c>
      <c r="C1463" s="46" t="s">
        <v>1516</v>
      </c>
      <c r="D1463" s="46" t="s">
        <v>29</v>
      </c>
      <c r="E1463" s="46" t="s">
        <v>299</v>
      </c>
      <c r="F1463" s="46" t="s">
        <v>299</v>
      </c>
      <c r="G1463" s="46" t="s">
        <v>299</v>
      </c>
      <c r="H1463" s="46" t="s">
        <v>299</v>
      </c>
      <c r="I1463" s="46" t="s">
        <v>299</v>
      </c>
      <c r="J1463" s="46" t="s">
        <v>37</v>
      </c>
      <c r="K1463" s="46" t="s">
        <v>299</v>
      </c>
      <c r="L1463" s="46" t="s">
        <v>299</v>
      </c>
      <c r="M1463" s="46" t="s">
        <v>299</v>
      </c>
      <c r="N1463" s="46" t="s">
        <v>299</v>
      </c>
      <c r="O1463" s="46" t="s">
        <v>299</v>
      </c>
      <c r="P1463" s="46" t="s">
        <v>299</v>
      </c>
      <c r="Q1463" s="46" t="s">
        <v>37</v>
      </c>
      <c r="R1463" s="46" t="s">
        <v>299</v>
      </c>
      <c r="S1463" s="46" t="s">
        <v>299</v>
      </c>
      <c r="T1463" s="46" t="s">
        <v>299</v>
      </c>
      <c r="U1463" s="46" t="s">
        <v>299</v>
      </c>
      <c r="V1463" s="46" t="s">
        <v>299</v>
      </c>
      <c r="W1463" s="46" t="s">
        <v>299</v>
      </c>
      <c r="X1463" s="46" t="s">
        <v>37</v>
      </c>
      <c r="Y1463" s="46" t="s">
        <v>299</v>
      </c>
      <c r="Z1463" s="46" t="s">
        <v>299</v>
      </c>
      <c r="AA1463" s="46" t="s">
        <v>299</v>
      </c>
      <c r="AB1463" s="46" t="s">
        <v>299</v>
      </c>
      <c r="AC1463" s="46" t="s">
        <v>299</v>
      </c>
      <c r="AD1463" s="46" t="s">
        <v>299</v>
      </c>
      <c r="AE1463" s="46" t="s">
        <v>37</v>
      </c>
      <c r="AF1463" s="46" t="s">
        <v>299</v>
      </c>
      <c r="AG1463" s="46" t="s">
        <v>299</v>
      </c>
      <c r="AH1463" s="46" t="s">
        <v>43</v>
      </c>
      <c r="AI1463" s="46" t="s">
        <v>299</v>
      </c>
      <c r="AJ1463" s="46">
        <f>=SUM(E1464:AI1464)</f>
      </c>
      <c r="AK1463" s="46">
        <f>=+AY1463</f>
      </c>
      <c r="AL1463" s="46"/>
      <c r="AM1463" s="1"/>
      <c r="AN1463" s="1">
        <f>=COUNTIF(E1463:AI1463,"A")+COUNTIF(E1463:AI1463,"B")+COUNTIF(E1463:AI1463,"C")+COUNTIF(E1463:AI1463,"D")+COUNTIF(E1463:AI1463,"E")+COUNTIF(E1463:AI1463,"F")+COUNTIF(E1463:AI1463,"M")+COUNTIF(E1463:AI1463,"AB")+COUNTIF(E1463:AI1463,"UZ")+COUNTIF(E1463:AI1463,"G")+(COUNTIF(E1463:AI1463,"RT.")/2)+(COUNTIF(E1463:AI1463,"ÇRT.")/2)</f>
      </c>
      <c r="AO1463" s="1">
        <f>=COUNTIF(E1463:AI1463,"O")</f>
      </c>
      <c r="AP1463" s="1">
        <f>=COUNTIF(E1463:AI1463,"RT")+(COUNTIF(E1463:AI1463,"RT.")/2)</f>
      </c>
      <c r="AQ1463" s="1">
        <f>=COUNTIF(E1463:AI1463,"ÇRT")+(COUNTIF(E1463:AI1463,"ÇRT.")/2)</f>
      </c>
      <c r="AR1463" s="1">
        <f>=COUNTIF(E1463:AI1463,"ÇHT")</f>
      </c>
      <c r="AS1463" s="1">
        <f>=COUNTIF(E1463:AI1463,"Ö")+COUNTIF(E1463:AI1463,"T")</f>
      </c>
      <c r="AT1463" s="1">
        <f>=COUNTIF(E1463:AI1463,"Y")</f>
      </c>
      <c r="AU1463" s="1">
        <f>=COUNTIF(E1463:AI1463,"R.")</f>
      </c>
      <c r="AV1463" s="1">
        <f>=COUNTIF(E1463:AI1463,"Ü")</f>
      </c>
      <c r="AW1463" s="1">
        <f>=COUNTIF(E1463:AI1463,"R")</f>
      </c>
      <c r="AX1463" s="1">
        <f>=COUNTIF(E1463:AI1463,"DV")</f>
      </c>
      <c r="AY1463" s="1">
        <f>=+AN1463+AO1463+AP1463+AQ1463+AR1463+AS1463+AT1463+AU1463</f>
      </c>
    </row>
    <row r="1464" ht="16" customHeight="1" spans="1:51" x14ac:dyDescent="0.25">
      <c r="A1464" s="45"/>
      <c r="B1464" s="46"/>
      <c r="C1464" s="46"/>
      <c r="D1464" s="46" t="s">
        <v>33</v>
      </c>
      <c r="E1464" s="46">
        <v>2</v>
      </c>
      <c r="F1464" s="46">
        <v>2</v>
      </c>
      <c r="G1464" s="46">
        <v>2</v>
      </c>
      <c r="H1464" s="46">
        <v>2</v>
      </c>
      <c r="I1464" s="46">
        <v>2</v>
      </c>
      <c r="J1464" s="46"/>
      <c r="K1464" s="46">
        <v>2</v>
      </c>
      <c r="L1464" s="46">
        <v>2</v>
      </c>
      <c r="M1464" s="46">
        <v>2</v>
      </c>
      <c r="N1464" s="46">
        <v>2</v>
      </c>
      <c r="O1464" s="46">
        <v>2</v>
      </c>
      <c r="P1464" s="46">
        <v>2</v>
      </c>
      <c r="Q1464" s="46"/>
      <c r="R1464" s="46">
        <v>2</v>
      </c>
      <c r="S1464" s="46">
        <v>2</v>
      </c>
      <c r="T1464" s="46">
        <v>2</v>
      </c>
      <c r="U1464" s="46">
        <v>2</v>
      </c>
      <c r="V1464" s="46">
        <v>2</v>
      </c>
      <c r="W1464" s="46">
        <v>2</v>
      </c>
      <c r="X1464" s="46"/>
      <c r="Y1464" s="46">
        <v>2</v>
      </c>
      <c r="Z1464" s="46">
        <v>2</v>
      </c>
      <c r="AA1464" s="46">
        <v>2</v>
      </c>
      <c r="AB1464" s="46">
        <v>2</v>
      </c>
      <c r="AC1464" s="46">
        <v>2</v>
      </c>
      <c r="AD1464" s="46">
        <v>2</v>
      </c>
      <c r="AE1464" s="46"/>
      <c r="AF1464" s="46">
        <v>2</v>
      </c>
      <c r="AG1464" s="46">
        <v>2</v>
      </c>
      <c r="AH1464" s="46">
        <v>2</v>
      </c>
      <c r="AI1464" s="46">
        <v>2</v>
      </c>
      <c r="AJ1464" s="46"/>
      <c r="AK1464" s="46"/>
      <c r="AL1464" s="46"/>
      <c r="AM1464" s="1"/>
      <c r="AN1464" s="1"/>
      <c r="AO1464" s="1"/>
      <c r="AP1464" s="1"/>
      <c r="AQ1464" s="1"/>
      <c r="AR1464" s="1"/>
      <c r="AS1464" s="1"/>
      <c r="AT1464" s="1"/>
      <c r="AU1464" s="1"/>
      <c r="AV1464" s="1"/>
      <c r="AW1464" s="1"/>
      <c r="AX1464" s="1"/>
      <c r="AY1464" s="1"/>
    </row>
    <row r="1465" ht="16" customHeight="1" spans="1:51" x14ac:dyDescent="0.25">
      <c r="A1465" s="45"/>
      <c r="B1465" s="46" t="s">
        <v>1517</v>
      </c>
      <c r="C1465" s="46" t="s">
        <v>1518</v>
      </c>
      <c r="D1465" s="46" t="s">
        <v>29</v>
      </c>
      <c r="E1465" s="46" t="s">
        <v>41</v>
      </c>
      <c r="F1465" s="46" t="s">
        <v>41</v>
      </c>
      <c r="G1465" s="46" t="s">
        <v>37</v>
      </c>
      <c r="H1465" s="46" t="s">
        <v>41</v>
      </c>
      <c r="I1465" s="46" t="s">
        <v>41</v>
      </c>
      <c r="J1465" s="46" t="s">
        <v>41</v>
      </c>
      <c r="K1465" s="46" t="s">
        <v>41</v>
      </c>
      <c r="L1465" s="46" t="s">
        <v>41</v>
      </c>
      <c r="M1465" s="46" t="s">
        <v>41</v>
      </c>
      <c r="N1465" s="46" t="s">
        <v>37</v>
      </c>
      <c r="O1465" s="46" t="s">
        <v>41</v>
      </c>
      <c r="P1465" s="46" t="s">
        <v>41</v>
      </c>
      <c r="Q1465" s="46" t="s">
        <v>41</v>
      </c>
      <c r="R1465" s="46" t="s">
        <v>41</v>
      </c>
      <c r="S1465" s="46" t="s">
        <v>41</v>
      </c>
      <c r="T1465" s="46" t="s">
        <v>41</v>
      </c>
      <c r="U1465" s="46" t="s">
        <v>37</v>
      </c>
      <c r="V1465" s="46" t="s">
        <v>41</v>
      </c>
      <c r="W1465" s="46" t="s">
        <v>41</v>
      </c>
      <c r="X1465" s="46" t="s">
        <v>41</v>
      </c>
      <c r="Y1465" s="46" t="s">
        <v>41</v>
      </c>
      <c r="Z1465" s="46" t="s">
        <v>41</v>
      </c>
      <c r="AA1465" s="46" t="s">
        <v>41</v>
      </c>
      <c r="AB1465" s="46" t="s">
        <v>37</v>
      </c>
      <c r="AC1465" s="46" t="s">
        <v>41</v>
      </c>
      <c r="AD1465" s="46" t="s">
        <v>46</v>
      </c>
      <c r="AE1465" s="46" t="s">
        <v>36</v>
      </c>
      <c r="AF1465" s="46" t="s">
        <v>36</v>
      </c>
      <c r="AG1465" s="46" t="s">
        <v>36</v>
      </c>
      <c r="AH1465" s="46" t="s">
        <v>43</v>
      </c>
      <c r="AI1465" s="46" t="s">
        <v>36</v>
      </c>
      <c r="AJ1465" s="46">
        <f>=SUM(E1466:AI1466)</f>
      </c>
      <c r="AK1465" s="46">
        <f>=+AY1465</f>
      </c>
      <c r="AL1465" s="46"/>
      <c r="AM1465" s="1"/>
      <c r="AN1465" s="1">
        <f>=COUNTIF(E1465:AI1465,"A")+COUNTIF(E1465:AI1465,"B")+COUNTIF(E1465:AI1465,"C")+COUNTIF(E1465:AI1465,"D")+COUNTIF(E1465:AI1465,"E")+COUNTIF(E1465:AI1465,"F")+COUNTIF(E1465:AI1465,"M")+COUNTIF(E1465:AI1465,"AB")+COUNTIF(E1465:AI1465,"UZ")+COUNTIF(E1465:AI1465,"G")+(COUNTIF(E1465:AI1465,"RT.")/2)+(COUNTIF(E1465:AI1465,"ÇRT.")/2)</f>
      </c>
      <c r="AO1465" s="1">
        <f>=COUNTIF(E1465:AI1465,"O")</f>
      </c>
      <c r="AP1465" s="1">
        <f>=COUNTIF(E1465:AI1465,"RT")+(COUNTIF(E1465:AI1465,"RT.")/2)</f>
      </c>
      <c r="AQ1465" s="1">
        <f>=COUNTIF(E1465:AI1465,"ÇRT")+(COUNTIF(E1465:AI1465,"ÇRT.")/2)</f>
      </c>
      <c r="AR1465" s="1">
        <f>=COUNTIF(E1465:AI1465,"ÇHT")</f>
      </c>
      <c r="AS1465" s="1">
        <f>=COUNTIF(E1465:AI1465,"Ö")+COUNTIF(E1465:AI1465,"T")</f>
      </c>
      <c r="AT1465" s="1">
        <f>=COUNTIF(E1465:AI1465,"Y")</f>
      </c>
      <c r="AU1465" s="1">
        <f>=COUNTIF(E1465:AI1465,"R.")</f>
      </c>
      <c r="AV1465" s="1">
        <f>=COUNTIF(E1465:AI1465,"Ü")</f>
      </c>
      <c r="AW1465" s="1">
        <f>=COUNTIF(E1465:AI1465,"R")</f>
      </c>
      <c r="AX1465" s="1">
        <f>=COUNTIF(E1465:AI1465,"DV")</f>
      </c>
      <c r="AY1465" s="1">
        <f>=+AN1465+AO1465+AP1465+AQ1465+AR1465+AS1465+AT1465+AU1465</f>
      </c>
    </row>
    <row r="1466" ht="16" customHeight="1" spans="1:51" x14ac:dyDescent="0.25">
      <c r="A1466" s="45"/>
      <c r="B1466" s="46"/>
      <c r="C1466" s="46"/>
      <c r="D1466" s="46" t="s">
        <v>33</v>
      </c>
      <c r="E1466" s="46">
        <v>2</v>
      </c>
      <c r="F1466" s="46">
        <v>2</v>
      </c>
      <c r="G1466" s="46"/>
      <c r="H1466" s="46">
        <v>2</v>
      </c>
      <c r="I1466" s="46">
        <v>2</v>
      </c>
      <c r="J1466" s="46"/>
      <c r="K1466" s="46"/>
      <c r="L1466" s="46">
        <v>2</v>
      </c>
      <c r="M1466" s="46">
        <v>2</v>
      </c>
      <c r="N1466" s="46"/>
      <c r="O1466" s="46">
        <v>2</v>
      </c>
      <c r="P1466" s="46">
        <v>2</v>
      </c>
      <c r="Q1466" s="46"/>
      <c r="R1466" s="46"/>
      <c r="S1466" s="46">
        <v>2</v>
      </c>
      <c r="T1466" s="46">
        <v>2</v>
      </c>
      <c r="U1466" s="46"/>
      <c r="V1466" s="46">
        <v>2</v>
      </c>
      <c r="W1466" s="46">
        <v>2</v>
      </c>
      <c r="X1466" s="46"/>
      <c r="Y1466" s="46"/>
      <c r="Z1466" s="46">
        <v>2</v>
      </c>
      <c r="AA1466" s="46">
        <v>2</v>
      </c>
      <c r="AB1466" s="46"/>
      <c r="AC1466" s="46">
        <v>3</v>
      </c>
      <c r="AD1466" s="46">
        <v>3</v>
      </c>
      <c r="AE1466" s="46">
        <v>3</v>
      </c>
      <c r="AF1466" s="46">
        <v>3</v>
      </c>
      <c r="AG1466" s="46">
        <v>3</v>
      </c>
      <c r="AH1466" s="46">
        <v>3</v>
      </c>
      <c r="AI1466" s="46">
        <v>3</v>
      </c>
      <c r="AJ1466" s="46"/>
      <c r="AK1466" s="46"/>
      <c r="AL1466" s="46"/>
      <c r="AM1466" s="1"/>
      <c r="AN1466" s="1"/>
      <c r="AO1466" s="1"/>
      <c r="AP1466" s="1"/>
      <c r="AQ1466" s="1"/>
      <c r="AR1466" s="1"/>
      <c r="AS1466" s="1"/>
      <c r="AT1466" s="1"/>
      <c r="AU1466" s="1"/>
      <c r="AV1466" s="1"/>
      <c r="AW1466" s="1"/>
      <c r="AX1466" s="1"/>
      <c r="AY1466" s="1"/>
    </row>
    <row r="1467" ht="16" customHeight="1" spans="1:51" x14ac:dyDescent="0.25">
      <c r="A1467" s="45"/>
      <c r="B1467" s="46" t="s">
        <v>1519</v>
      </c>
      <c r="C1467" s="46" t="s">
        <v>1520</v>
      </c>
      <c r="D1467" s="46" t="s">
        <v>29</v>
      </c>
      <c r="E1467" s="46" t="s">
        <v>46</v>
      </c>
      <c r="F1467" s="46" t="s">
        <v>46</v>
      </c>
      <c r="G1467" s="46" t="s">
        <v>37</v>
      </c>
      <c r="H1467" s="46" t="s">
        <v>46</v>
      </c>
      <c r="I1467" s="46" t="s">
        <v>46</v>
      </c>
      <c r="J1467" s="46" t="s">
        <v>36</v>
      </c>
      <c r="K1467" s="46" t="s">
        <v>46</v>
      </c>
      <c r="L1467" s="46" t="s">
        <v>46</v>
      </c>
      <c r="M1467" s="46" t="s">
        <v>36</v>
      </c>
      <c r="N1467" s="46" t="s">
        <v>37</v>
      </c>
      <c r="O1467" s="46" t="s">
        <v>46</v>
      </c>
      <c r="P1467" s="46" t="s">
        <v>46</v>
      </c>
      <c r="Q1467" s="46" t="s">
        <v>46</v>
      </c>
      <c r="R1467" s="46" t="s">
        <v>46</v>
      </c>
      <c r="S1467" s="46" t="s">
        <v>46</v>
      </c>
      <c r="T1467" s="46" t="s">
        <v>36</v>
      </c>
      <c r="U1467" s="46" t="s">
        <v>37</v>
      </c>
      <c r="V1467" s="46" t="s">
        <v>46</v>
      </c>
      <c r="W1467" s="46" t="s">
        <v>46</v>
      </c>
      <c r="X1467" s="46" t="s">
        <v>46</v>
      </c>
      <c r="Y1467" s="46" t="s">
        <v>46</v>
      </c>
      <c r="Z1467" s="46" t="s">
        <v>36</v>
      </c>
      <c r="AA1467" s="46" t="s">
        <v>36</v>
      </c>
      <c r="AB1467" s="46" t="s">
        <v>37</v>
      </c>
      <c r="AC1467" s="46" t="s">
        <v>46</v>
      </c>
      <c r="AD1467" s="46" t="s">
        <v>46</v>
      </c>
      <c r="AE1467" s="46" t="s">
        <v>36</v>
      </c>
      <c r="AF1467" s="46" t="s">
        <v>46</v>
      </c>
      <c r="AG1467" s="46" t="s">
        <v>46</v>
      </c>
      <c r="AH1467" s="46" t="s">
        <v>43</v>
      </c>
      <c r="AI1467" s="46" t="s">
        <v>46</v>
      </c>
      <c r="AJ1467" s="46">
        <f>=SUM(E1468:AI1468)</f>
      </c>
      <c r="AK1467" s="46">
        <f>=+AY1467</f>
      </c>
      <c r="AL1467" s="46"/>
      <c r="AM1467" s="1"/>
      <c r="AN1467" s="1">
        <f>=COUNTIF(E1467:AI1467,"A")+COUNTIF(E1467:AI1467,"B")+COUNTIF(E1467:AI1467,"C")+COUNTIF(E1467:AI1467,"D")+COUNTIF(E1467:AI1467,"E")+COUNTIF(E1467:AI1467,"F")+COUNTIF(E1467:AI1467,"M")+COUNTIF(E1467:AI1467,"AB")+COUNTIF(E1467:AI1467,"UZ")+COUNTIF(E1467:AI1467,"G")+(COUNTIF(E1467:AI1467,"RT.")/2)+(COUNTIF(E1467:AI1467,"ÇRT.")/2)</f>
      </c>
      <c r="AO1467" s="1">
        <f>=COUNTIF(E1467:AI1467,"O")</f>
      </c>
      <c r="AP1467" s="1">
        <f>=COUNTIF(E1467:AI1467,"RT")+(COUNTIF(E1467:AI1467,"RT.")/2)</f>
      </c>
      <c r="AQ1467" s="1">
        <f>=COUNTIF(E1467:AI1467,"ÇRT")+(COUNTIF(E1467:AI1467,"ÇRT.")/2)</f>
      </c>
      <c r="AR1467" s="1">
        <f>=COUNTIF(E1467:AI1467,"ÇHT")</f>
      </c>
      <c r="AS1467" s="1">
        <f>=COUNTIF(E1467:AI1467,"Ö")+COUNTIF(E1467:AI1467,"T")</f>
      </c>
      <c r="AT1467" s="1">
        <f>=COUNTIF(E1467:AI1467,"Y")</f>
      </c>
      <c r="AU1467" s="1">
        <f>=COUNTIF(E1467:AI1467,"R.")</f>
      </c>
      <c r="AV1467" s="1">
        <f>=COUNTIF(E1467:AI1467,"Ü")</f>
      </c>
      <c r="AW1467" s="1">
        <f>=COUNTIF(E1467:AI1467,"R")</f>
      </c>
      <c r="AX1467" s="1">
        <f>=COUNTIF(E1467:AI1467,"DV")</f>
      </c>
      <c r="AY1467" s="1">
        <f>=+AN1467+AO1467+AP1467+AQ1467+AR1467+AS1467+AT1467+AU1467</f>
      </c>
    </row>
    <row r="1468" ht="16" customHeight="1" spans="1:51" x14ac:dyDescent="0.25">
      <c r="A1468" s="45"/>
      <c r="B1468" s="46"/>
      <c r="C1468" s="46"/>
      <c r="D1468" s="46" t="s">
        <v>33</v>
      </c>
      <c r="E1468" s="46"/>
      <c r="F1468" s="46"/>
      <c r="G1468" s="46"/>
      <c r="H1468" s="46"/>
      <c r="I1468" s="46"/>
      <c r="J1468" s="46"/>
      <c r="K1468" s="46"/>
      <c r="L1468" s="46"/>
      <c r="M1468" s="46"/>
      <c r="N1468" s="46"/>
      <c r="O1468" s="46"/>
      <c r="P1468" s="46"/>
      <c r="Q1468" s="46"/>
      <c r="R1468" s="46"/>
      <c r="S1468" s="46"/>
      <c r="T1468" s="46"/>
      <c r="U1468" s="46"/>
      <c r="V1468" s="46"/>
      <c r="W1468" s="46"/>
      <c r="X1468" s="46"/>
      <c r="Y1468" s="46"/>
      <c r="Z1468" s="46"/>
      <c r="AA1468" s="46"/>
      <c r="AB1468" s="46"/>
      <c r="AC1468" s="46"/>
      <c r="AD1468" s="46"/>
      <c r="AE1468" s="46"/>
      <c r="AF1468" s="46"/>
      <c r="AG1468" s="46"/>
      <c r="AH1468" s="46"/>
      <c r="AI1468" s="46"/>
      <c r="AJ1468" s="46"/>
      <c r="AK1468" s="46"/>
      <c r="AL1468" s="46"/>
      <c r="AM1468" s="1"/>
      <c r="AN1468" s="1"/>
      <c r="AO1468" s="1"/>
      <c r="AP1468" s="1"/>
      <c r="AQ1468" s="1"/>
      <c r="AR1468" s="1"/>
      <c r="AS1468" s="1"/>
      <c r="AT1468" s="1"/>
      <c r="AU1468" s="1"/>
      <c r="AV1468" s="1"/>
      <c r="AW1468" s="1"/>
      <c r="AX1468" s="1"/>
      <c r="AY1468" s="1"/>
    </row>
    <row r="1469" ht="16" customHeight="1" spans="1:51" x14ac:dyDescent="0.25">
      <c r="A1469" s="45"/>
      <c r="B1469" s="46" t="s">
        <v>1521</v>
      </c>
      <c r="C1469" s="46" t="s">
        <v>1522</v>
      </c>
      <c r="D1469" s="46" t="s">
        <v>29</v>
      </c>
      <c r="E1469" s="46" t="s">
        <v>41</v>
      </c>
      <c r="F1469" s="46" t="s">
        <v>41</v>
      </c>
      <c r="G1469" s="46" t="s">
        <v>41</v>
      </c>
      <c r="H1469" s="46" t="s">
        <v>41</v>
      </c>
      <c r="I1469" s="46" t="s">
        <v>41</v>
      </c>
      <c r="J1469" s="46" t="s">
        <v>37</v>
      </c>
      <c r="K1469" s="46" t="s">
        <v>41</v>
      </c>
      <c r="L1469" s="46" t="s">
        <v>41</v>
      </c>
      <c r="M1469" s="46" t="s">
        <v>41</v>
      </c>
      <c r="N1469" s="46" t="s">
        <v>41</v>
      </c>
      <c r="O1469" s="46" t="s">
        <v>41</v>
      </c>
      <c r="P1469" s="46" t="s">
        <v>41</v>
      </c>
      <c r="Q1469" s="46" t="s">
        <v>37</v>
      </c>
      <c r="R1469" s="46" t="s">
        <v>41</v>
      </c>
      <c r="S1469" s="46" t="s">
        <v>41</v>
      </c>
      <c r="T1469" s="46" t="s">
        <v>41</v>
      </c>
      <c r="U1469" s="46" t="s">
        <v>41</v>
      </c>
      <c r="V1469" s="46" t="s">
        <v>41</v>
      </c>
      <c r="W1469" s="46" t="s">
        <v>41</v>
      </c>
      <c r="X1469" s="46" t="s">
        <v>41</v>
      </c>
      <c r="Y1469" s="46" t="s">
        <v>41</v>
      </c>
      <c r="Z1469" s="46" t="s">
        <v>41</v>
      </c>
      <c r="AA1469" s="46" t="s">
        <v>37</v>
      </c>
      <c r="AB1469" s="46" t="s">
        <v>41</v>
      </c>
      <c r="AC1469" s="46" t="s">
        <v>41</v>
      </c>
      <c r="AD1469" s="46" t="s">
        <v>41</v>
      </c>
      <c r="AE1469" s="46" t="s">
        <v>37</v>
      </c>
      <c r="AF1469" s="46" t="s">
        <v>41</v>
      </c>
      <c r="AG1469" s="46" t="s">
        <v>41</v>
      </c>
      <c r="AH1469" s="46" t="s">
        <v>43</v>
      </c>
      <c r="AI1469" s="46" t="s">
        <v>41</v>
      </c>
      <c r="AJ1469" s="46">
        <f>=SUM(E1470:AI1470)</f>
      </c>
      <c r="AK1469" s="46">
        <f>=+AY1469</f>
      </c>
      <c r="AL1469" s="46"/>
      <c r="AM1469" s="1"/>
      <c r="AN1469" s="1">
        <f>=COUNTIF(E1469:AI1469,"A")+COUNTIF(E1469:AI1469,"B")+COUNTIF(E1469:AI1469,"C")+COUNTIF(E1469:AI1469,"D")+COUNTIF(E1469:AI1469,"E")+COUNTIF(E1469:AI1469,"F")+COUNTIF(E1469:AI1469,"M")+COUNTIF(E1469:AI1469,"AB")+COUNTIF(E1469:AI1469,"UZ")+COUNTIF(E1469:AI1469,"G")+(COUNTIF(E1469:AI1469,"RT.")/2)+(COUNTIF(E1469:AI1469,"ÇRT.")/2)</f>
      </c>
      <c r="AO1469" s="1">
        <f>=COUNTIF(E1469:AI1469,"O")</f>
      </c>
      <c r="AP1469" s="1">
        <f>=COUNTIF(E1469:AI1469,"RT")+(COUNTIF(E1469:AI1469,"RT.")/2)</f>
      </c>
      <c r="AQ1469" s="1">
        <f>=COUNTIF(E1469:AI1469,"ÇRT")+(COUNTIF(E1469:AI1469,"ÇRT.")/2)</f>
      </c>
      <c r="AR1469" s="1">
        <f>=COUNTIF(E1469:AI1469,"ÇHT")</f>
      </c>
      <c r="AS1469" s="1">
        <f>=COUNTIF(E1469:AI1469,"Ö")+COUNTIF(E1469:AI1469,"T")</f>
      </c>
      <c r="AT1469" s="1">
        <f>=COUNTIF(E1469:AI1469,"Y")</f>
      </c>
      <c r="AU1469" s="1">
        <f>=COUNTIF(E1469:AI1469,"R.")</f>
      </c>
      <c r="AV1469" s="1">
        <f>=COUNTIF(E1469:AI1469,"Ü")</f>
      </c>
      <c r="AW1469" s="1">
        <f>=COUNTIF(E1469:AI1469,"R")</f>
      </c>
      <c r="AX1469" s="1">
        <f>=COUNTIF(E1469:AI1469,"DV")</f>
      </c>
      <c r="AY1469" s="1">
        <f>=+AN1469+AO1469+AP1469+AQ1469+AR1469+AS1469+AT1469+AU1469</f>
      </c>
    </row>
    <row r="1470" ht="16" customHeight="1" spans="1:51" x14ac:dyDescent="0.25">
      <c r="A1470" s="45"/>
      <c r="B1470" s="46"/>
      <c r="C1470" s="46"/>
      <c r="D1470" s="46" t="s">
        <v>33</v>
      </c>
      <c r="E1470" s="46">
        <v>2</v>
      </c>
      <c r="F1470" s="46">
        <v>2</v>
      </c>
      <c r="G1470" s="46">
        <v>2</v>
      </c>
      <c r="H1470" s="46">
        <v>2</v>
      </c>
      <c r="I1470" s="46">
        <v>2</v>
      </c>
      <c r="J1470" s="46"/>
      <c r="K1470" s="46">
        <v>2</v>
      </c>
      <c r="L1470" s="46">
        <v>2</v>
      </c>
      <c r="M1470" s="46">
        <v>2</v>
      </c>
      <c r="N1470" s="46">
        <v>2</v>
      </c>
      <c r="O1470" s="46">
        <v>2</v>
      </c>
      <c r="P1470" s="46">
        <v>2</v>
      </c>
      <c r="Q1470" s="46"/>
      <c r="R1470" s="46">
        <v>2</v>
      </c>
      <c r="S1470" s="46">
        <v>2</v>
      </c>
      <c r="T1470" s="46">
        <v>2</v>
      </c>
      <c r="U1470" s="46">
        <v>2</v>
      </c>
      <c r="V1470" s="46">
        <v>2</v>
      </c>
      <c r="W1470" s="46">
        <v>2</v>
      </c>
      <c r="X1470" s="46">
        <v>2</v>
      </c>
      <c r="Y1470" s="46">
        <v>2</v>
      </c>
      <c r="Z1470" s="46">
        <v>2</v>
      </c>
      <c r="AA1470" s="46"/>
      <c r="AB1470" s="46">
        <v>2</v>
      </c>
      <c r="AC1470" s="46">
        <v>2</v>
      </c>
      <c r="AD1470" s="46">
        <v>2</v>
      </c>
      <c r="AE1470" s="46"/>
      <c r="AF1470" s="46">
        <v>2</v>
      </c>
      <c r="AG1470" s="46">
        <v>2</v>
      </c>
      <c r="AH1470" s="46">
        <v>2</v>
      </c>
      <c r="AI1470" s="46">
        <v>2</v>
      </c>
      <c r="AJ1470" s="46"/>
      <c r="AK1470" s="46"/>
      <c r="AL1470" s="46"/>
      <c r="AM1470" s="1"/>
      <c r="AN1470" s="1"/>
      <c r="AO1470" s="1"/>
      <c r="AP1470" s="1"/>
      <c r="AQ1470" s="1"/>
      <c r="AR1470" s="1"/>
      <c r="AS1470" s="1"/>
      <c r="AT1470" s="1"/>
      <c r="AU1470" s="1"/>
      <c r="AV1470" s="1"/>
      <c r="AW1470" s="1"/>
      <c r="AX1470" s="1"/>
      <c r="AY1470" s="1"/>
    </row>
    <row r="1471" ht="16" customHeight="1" spans="1:51" x14ac:dyDescent="0.25">
      <c r="A1471" s="45"/>
      <c r="B1471" s="46" t="s">
        <v>1523</v>
      </c>
      <c r="C1471" s="46" t="s">
        <v>1524</v>
      </c>
      <c r="D1471" s="46" t="s">
        <v>29</v>
      </c>
      <c r="E1471" s="46" t="s">
        <v>36</v>
      </c>
      <c r="F1471" s="46" t="s">
        <v>36</v>
      </c>
      <c r="G1471" s="46" t="s">
        <v>36</v>
      </c>
      <c r="H1471" s="46" t="s">
        <v>36</v>
      </c>
      <c r="I1471" s="46" t="s">
        <v>36</v>
      </c>
      <c r="J1471" s="46" t="s">
        <v>37</v>
      </c>
      <c r="K1471" s="46" t="s">
        <v>36</v>
      </c>
      <c r="L1471" s="46" t="s">
        <v>36</v>
      </c>
      <c r="M1471" s="46" t="s">
        <v>36</v>
      </c>
      <c r="N1471" s="46" t="s">
        <v>36</v>
      </c>
      <c r="O1471" s="46" t="s">
        <v>36</v>
      </c>
      <c r="P1471" s="46" t="s">
        <v>36</v>
      </c>
      <c r="Q1471" s="46" t="s">
        <v>37</v>
      </c>
      <c r="R1471" s="46" t="s">
        <v>36</v>
      </c>
      <c r="S1471" s="46" t="s">
        <v>36</v>
      </c>
      <c r="T1471" s="46" t="s">
        <v>36</v>
      </c>
      <c r="U1471" s="46" t="s">
        <v>36</v>
      </c>
      <c r="V1471" s="46" t="s">
        <v>36</v>
      </c>
      <c r="W1471" s="46" t="s">
        <v>36</v>
      </c>
      <c r="X1471" s="46" t="s">
        <v>37</v>
      </c>
      <c r="Y1471" s="46" t="s">
        <v>36</v>
      </c>
      <c r="Z1471" s="46" t="s">
        <v>36</v>
      </c>
      <c r="AA1471" s="46" t="s">
        <v>36</v>
      </c>
      <c r="AB1471" s="46" t="s">
        <v>36</v>
      </c>
      <c r="AC1471" s="46" t="s">
        <v>36</v>
      </c>
      <c r="AD1471" s="46" t="s">
        <v>36</v>
      </c>
      <c r="AE1471" s="46" t="s">
        <v>37</v>
      </c>
      <c r="AF1471" s="46" t="s">
        <v>36</v>
      </c>
      <c r="AG1471" s="46" t="s">
        <v>36</v>
      </c>
      <c r="AH1471" s="46" t="s">
        <v>43</v>
      </c>
      <c r="AI1471" s="46" t="s">
        <v>36</v>
      </c>
      <c r="AJ1471" s="46">
        <f>=SUM(E1472:AI1472)</f>
      </c>
      <c r="AK1471" s="46">
        <f>=+AY1471</f>
      </c>
      <c r="AL1471" s="46"/>
      <c r="AM1471" s="1"/>
      <c r="AN1471" s="1">
        <f>=COUNTIF(E1471:AI1471,"A")+COUNTIF(E1471:AI1471,"B")+COUNTIF(E1471:AI1471,"C")+COUNTIF(E1471:AI1471,"D")+COUNTIF(E1471:AI1471,"E")+COUNTIF(E1471:AI1471,"F")+COUNTIF(E1471:AI1471,"M")+COUNTIF(E1471:AI1471,"AB")+COUNTIF(E1471:AI1471,"UZ")+COUNTIF(E1471:AI1471,"G")+(COUNTIF(E1471:AI1471,"RT.")/2)+(COUNTIF(E1471:AI1471,"ÇRT.")/2)</f>
      </c>
      <c r="AO1471" s="1">
        <f>=COUNTIF(E1471:AI1471,"O")</f>
      </c>
      <c r="AP1471" s="1">
        <f>=COUNTIF(E1471:AI1471,"RT")+(COUNTIF(E1471:AI1471,"RT.")/2)</f>
      </c>
      <c r="AQ1471" s="1">
        <f>=COUNTIF(E1471:AI1471,"ÇRT")+(COUNTIF(E1471:AI1471,"ÇRT.")/2)</f>
      </c>
      <c r="AR1471" s="1">
        <f>=COUNTIF(E1471:AI1471,"ÇHT")</f>
      </c>
      <c r="AS1471" s="1">
        <f>=COUNTIF(E1471:AI1471,"Ö")+COUNTIF(E1471:AI1471,"T")</f>
      </c>
      <c r="AT1471" s="1">
        <f>=COUNTIF(E1471:AI1471,"Y")</f>
      </c>
      <c r="AU1471" s="1">
        <f>=COUNTIF(E1471:AI1471,"R.")</f>
      </c>
      <c r="AV1471" s="1">
        <f>=COUNTIF(E1471:AI1471,"Ü")</f>
      </c>
      <c r="AW1471" s="1">
        <f>=COUNTIF(E1471:AI1471,"R")</f>
      </c>
      <c r="AX1471" s="1">
        <f>=COUNTIF(E1471:AI1471,"DV")</f>
      </c>
      <c r="AY1471" s="1">
        <f>=+AN1471+AO1471+AP1471+AQ1471+AR1471+AS1471+AT1471+AU1471</f>
      </c>
    </row>
    <row r="1472" ht="16" customHeight="1" spans="1:51" x14ac:dyDescent="0.25">
      <c r="A1472" s="45"/>
      <c r="B1472" s="46"/>
      <c r="C1472" s="46"/>
      <c r="D1472" s="46" t="s">
        <v>33</v>
      </c>
      <c r="E1472" s="46"/>
      <c r="F1472" s="46"/>
      <c r="G1472" s="46"/>
      <c r="H1472" s="46">
        <v>2</v>
      </c>
      <c r="I1472" s="46"/>
      <c r="J1472" s="46"/>
      <c r="K1472" s="46"/>
      <c r="L1472" s="46">
        <v>2</v>
      </c>
      <c r="M1472" s="46"/>
      <c r="N1472" s="46"/>
      <c r="O1472" s="46"/>
      <c r="P1472" s="46"/>
      <c r="Q1472" s="46"/>
      <c r="R1472" s="46"/>
      <c r="S1472" s="46">
        <v>2</v>
      </c>
      <c r="T1472" s="46"/>
      <c r="U1472" s="46">
        <v>2</v>
      </c>
      <c r="V1472" s="46"/>
      <c r="W1472" s="46"/>
      <c r="X1472" s="46"/>
      <c r="Y1472" s="46"/>
      <c r="Z1472" s="46">
        <v>2</v>
      </c>
      <c r="AA1472" s="46"/>
      <c r="AB1472" s="46">
        <v>2</v>
      </c>
      <c r="AC1472" s="46">
        <v>2</v>
      </c>
      <c r="AD1472" s="46">
        <v>2</v>
      </c>
      <c r="AE1472" s="46"/>
      <c r="AF1472" s="46">
        <v>2</v>
      </c>
      <c r="AG1472" s="46"/>
      <c r="AH1472" s="46">
        <v>2</v>
      </c>
      <c r="AI1472" s="46">
        <v>2</v>
      </c>
      <c r="AJ1472" s="46"/>
      <c r="AK1472" s="46"/>
      <c r="AL1472" s="46"/>
      <c r="AM1472" s="1"/>
      <c r="AN1472" s="1"/>
      <c r="AO1472" s="1"/>
      <c r="AP1472" s="1"/>
      <c r="AQ1472" s="1"/>
      <c r="AR1472" s="1"/>
      <c r="AS1472" s="1"/>
      <c r="AT1472" s="1"/>
      <c r="AU1472" s="1"/>
      <c r="AV1472" s="1"/>
      <c r="AW1472" s="1"/>
      <c r="AX1472" s="1"/>
      <c r="AY1472" s="1"/>
    </row>
    <row r="1473" ht="16" customHeight="1" spans="1:51" x14ac:dyDescent="0.25">
      <c r="A1473" s="45"/>
      <c r="B1473" s="46" t="s">
        <v>1525</v>
      </c>
      <c r="C1473" s="46" t="s">
        <v>1526</v>
      </c>
      <c r="D1473" s="46" t="s">
        <v>29</v>
      </c>
      <c r="E1473" s="46" t="s">
        <v>59</v>
      </c>
      <c r="F1473" s="46" t="s">
        <v>59</v>
      </c>
      <c r="G1473" s="46" t="s">
        <v>37</v>
      </c>
      <c r="H1473" s="46" t="s">
        <v>59</v>
      </c>
      <c r="I1473" s="46" t="s">
        <v>59</v>
      </c>
      <c r="J1473" s="46" t="s">
        <v>59</v>
      </c>
      <c r="K1473" s="46" t="s">
        <v>59</v>
      </c>
      <c r="L1473" s="46" t="s">
        <v>59</v>
      </c>
      <c r="M1473" s="46" t="s">
        <v>59</v>
      </c>
      <c r="N1473" s="46" t="s">
        <v>37</v>
      </c>
      <c r="O1473" s="46" t="s">
        <v>59</v>
      </c>
      <c r="P1473" s="46" t="s">
        <v>59</v>
      </c>
      <c r="Q1473" s="46" t="s">
        <v>59</v>
      </c>
      <c r="R1473" s="46" t="s">
        <v>59</v>
      </c>
      <c r="S1473" s="46" t="s">
        <v>59</v>
      </c>
      <c r="T1473" s="46" t="s">
        <v>59</v>
      </c>
      <c r="U1473" s="46" t="s">
        <v>37</v>
      </c>
      <c r="V1473" s="46" t="s">
        <v>59</v>
      </c>
      <c r="W1473" s="46" t="s">
        <v>59</v>
      </c>
      <c r="X1473" s="46" t="s">
        <v>59</v>
      </c>
      <c r="Y1473" s="46" t="s">
        <v>59</v>
      </c>
      <c r="Z1473" s="46" t="s">
        <v>59</v>
      </c>
      <c r="AA1473" s="46" t="s">
        <v>59</v>
      </c>
      <c r="AB1473" s="46" t="s">
        <v>37</v>
      </c>
      <c r="AC1473" s="46" t="s">
        <v>59</v>
      </c>
      <c r="AD1473" s="46" t="s">
        <v>59</v>
      </c>
      <c r="AE1473" s="46" t="s">
        <v>59</v>
      </c>
      <c r="AF1473" s="46" t="s">
        <v>59</v>
      </c>
      <c r="AG1473" s="46" t="s">
        <v>59</v>
      </c>
      <c r="AH1473" s="46" t="s">
        <v>43</v>
      </c>
      <c r="AI1473" s="46" t="s">
        <v>59</v>
      </c>
      <c r="AJ1473" s="46">
        <f>=SUM(E1474:AI1474)</f>
      </c>
      <c r="AK1473" s="46">
        <f>=+AY1473</f>
      </c>
      <c r="AL1473" s="46"/>
      <c r="AM1473" s="1"/>
      <c r="AN1473" s="1">
        <f>=COUNTIF(E1473:AI1473,"A")+COUNTIF(E1473:AI1473,"B")+COUNTIF(E1473:AI1473,"C")+COUNTIF(E1473:AI1473,"D")+COUNTIF(E1473:AI1473,"E")+COUNTIF(E1473:AI1473,"F")+COUNTIF(E1473:AI1473,"M")+COUNTIF(E1473:AI1473,"AB")+COUNTIF(E1473:AI1473,"UZ")+COUNTIF(E1473:AI1473,"G")+(COUNTIF(E1473:AI1473,"RT.")/2)+(COUNTIF(E1473:AI1473,"ÇRT.")/2)</f>
      </c>
      <c r="AO1473" s="1">
        <f>=COUNTIF(E1473:AI1473,"O")</f>
      </c>
      <c r="AP1473" s="1">
        <f>=COUNTIF(E1473:AI1473,"RT")+(COUNTIF(E1473:AI1473,"RT.")/2)</f>
      </c>
      <c r="AQ1473" s="1">
        <f>=COUNTIF(E1473:AI1473,"ÇRT")+(COUNTIF(E1473:AI1473,"ÇRT.")/2)</f>
      </c>
      <c r="AR1473" s="1">
        <f>=COUNTIF(E1473:AI1473,"ÇHT")</f>
      </c>
      <c r="AS1473" s="1">
        <f>=COUNTIF(E1473:AI1473,"Ö")+COUNTIF(E1473:AI1473,"T")</f>
      </c>
      <c r="AT1473" s="1">
        <f>=COUNTIF(E1473:AI1473,"Y")</f>
      </c>
      <c r="AU1473" s="1">
        <f>=COUNTIF(E1473:AI1473,"R.")</f>
      </c>
      <c r="AV1473" s="1">
        <f>=COUNTIF(E1473:AI1473,"Ü")</f>
      </c>
      <c r="AW1473" s="1">
        <f>=COUNTIF(E1473:AI1473,"R")</f>
      </c>
      <c r="AX1473" s="1">
        <f>=COUNTIF(E1473:AI1473,"DV")</f>
      </c>
      <c r="AY1473" s="1">
        <f>=+AN1473+AO1473+AP1473+AQ1473+AR1473+AS1473+AT1473+AU1473</f>
      </c>
    </row>
    <row r="1474" ht="16" customHeight="1" spans="1:51" x14ac:dyDescent="0.25">
      <c r="A1474" s="45"/>
      <c r="B1474" s="46"/>
      <c r="C1474" s="46"/>
      <c r="D1474" s="46" t="s">
        <v>33</v>
      </c>
      <c r="E1474" s="46"/>
      <c r="F1474" s="46"/>
      <c r="G1474" s="46"/>
      <c r="H1474" s="46">
        <v>2</v>
      </c>
      <c r="I1474" s="46">
        <v>2</v>
      </c>
      <c r="J1474" s="46">
        <v>2</v>
      </c>
      <c r="K1474" s="46"/>
      <c r="L1474" s="46"/>
      <c r="M1474" s="46"/>
      <c r="N1474" s="46"/>
      <c r="O1474" s="46">
        <v>2</v>
      </c>
      <c r="P1474" s="46">
        <v>2</v>
      </c>
      <c r="Q1474" s="46">
        <v>2</v>
      </c>
      <c r="R1474" s="46"/>
      <c r="S1474" s="46"/>
      <c r="T1474" s="46"/>
      <c r="U1474" s="46"/>
      <c r="V1474" s="46">
        <v>2</v>
      </c>
      <c r="W1474" s="46">
        <v>2</v>
      </c>
      <c r="X1474" s="46">
        <v>2</v>
      </c>
      <c r="Y1474" s="46"/>
      <c r="Z1474" s="46"/>
      <c r="AA1474" s="46"/>
      <c r="AB1474" s="46"/>
      <c r="AC1474" s="46">
        <v>2</v>
      </c>
      <c r="AD1474" s="46">
        <v>2</v>
      </c>
      <c r="AE1474" s="46">
        <v>2</v>
      </c>
      <c r="AF1474" s="46"/>
      <c r="AG1474" s="46"/>
      <c r="AH1474" s="46"/>
      <c r="AI1474" s="46"/>
      <c r="AJ1474" s="46"/>
      <c r="AK1474" s="46"/>
      <c r="AL1474" s="46"/>
      <c r="AM1474" s="1"/>
      <c r="AN1474" s="1"/>
      <c r="AO1474" s="1"/>
      <c r="AP1474" s="1"/>
      <c r="AQ1474" s="1"/>
      <c r="AR1474" s="1"/>
      <c r="AS1474" s="1"/>
      <c r="AT1474" s="1"/>
      <c r="AU1474" s="1"/>
      <c r="AV1474" s="1"/>
      <c r="AW1474" s="1"/>
      <c r="AX1474" s="1"/>
      <c r="AY1474" s="1"/>
    </row>
    <row r="1475" ht="16" customHeight="1" spans="1:51" x14ac:dyDescent="0.25">
      <c r="A1475" s="45"/>
      <c r="B1475" s="46" t="s">
        <v>1527</v>
      </c>
      <c r="C1475" s="46" t="s">
        <v>1528</v>
      </c>
      <c r="D1475" s="46" t="s">
        <v>29</v>
      </c>
      <c r="E1475" s="46" t="s">
        <v>30</v>
      </c>
      <c r="F1475" s="46" t="s">
        <v>37</v>
      </c>
      <c r="G1475" s="46" t="s">
        <v>59</v>
      </c>
      <c r="H1475" s="46" t="s">
        <v>59</v>
      </c>
      <c r="I1475" s="46" t="s">
        <v>59</v>
      </c>
      <c r="J1475" s="46" t="s">
        <v>37</v>
      </c>
      <c r="K1475" s="46" t="s">
        <v>59</v>
      </c>
      <c r="L1475" s="46" t="s">
        <v>59</v>
      </c>
      <c r="M1475" s="46" t="s">
        <v>59</v>
      </c>
      <c r="N1475" s="46" t="s">
        <v>46</v>
      </c>
      <c r="O1475" s="46" t="s">
        <v>59</v>
      </c>
      <c r="P1475" s="46" t="s">
        <v>59</v>
      </c>
      <c r="Q1475" s="46" t="s">
        <v>37</v>
      </c>
      <c r="R1475" s="46" t="s">
        <v>59</v>
      </c>
      <c r="S1475" s="46" t="s">
        <v>59</v>
      </c>
      <c r="T1475" s="46" t="s">
        <v>59</v>
      </c>
      <c r="U1475" s="46" t="s">
        <v>59</v>
      </c>
      <c r="V1475" s="46" t="s">
        <v>59</v>
      </c>
      <c r="W1475" s="46" t="s">
        <v>59</v>
      </c>
      <c r="X1475" s="46" t="s">
        <v>1348</v>
      </c>
      <c r="Y1475" s="46" t="s">
        <v>59</v>
      </c>
      <c r="Z1475" s="46" t="s">
        <v>37</v>
      </c>
      <c r="AA1475" s="46" t="s">
        <v>59</v>
      </c>
      <c r="AB1475" s="46" t="s">
        <v>59</v>
      </c>
      <c r="AC1475" s="46" t="s">
        <v>59</v>
      </c>
      <c r="AD1475" s="46" t="s">
        <v>59</v>
      </c>
      <c r="AE1475" s="46" t="s">
        <v>37</v>
      </c>
      <c r="AF1475" s="46" t="s">
        <v>1348</v>
      </c>
      <c r="AG1475" s="46" t="s">
        <v>59</v>
      </c>
      <c r="AH1475" s="46" t="s">
        <v>43</v>
      </c>
      <c r="AI1475" s="46" t="s">
        <v>1348</v>
      </c>
      <c r="AJ1475" s="46">
        <f>=SUM(E1476:AI1476)</f>
      </c>
      <c r="AK1475" s="46">
        <f>=+AY1475</f>
      </c>
      <c r="AL1475" s="46"/>
      <c r="AM1475" s="1"/>
      <c r="AN1475" s="1">
        <f>=COUNTIF(E1475:AI1475,"A")+COUNTIF(E1475:AI1475,"B")+COUNTIF(E1475:AI1475,"C")+COUNTIF(E1475:AI1475,"D")+COUNTIF(E1475:AI1475,"E")+COUNTIF(E1475:AI1475,"F")+COUNTIF(E1475:AI1475,"M")+COUNTIF(E1475:AI1475,"AB")+COUNTIF(E1475:AI1475,"UZ")+COUNTIF(E1475:AI1475,"G")+(COUNTIF(E1475:AI1475,"RT.")/2)+(COUNTIF(E1475:AI1475,"ÇRT.")/2)</f>
      </c>
      <c r="AO1475" s="1">
        <f>=COUNTIF(E1475:AI1475,"O")</f>
      </c>
      <c r="AP1475" s="1">
        <f>=COUNTIF(E1475:AI1475,"RT")+(COUNTIF(E1475:AI1475,"RT.")/2)</f>
      </c>
      <c r="AQ1475" s="1">
        <f>=COUNTIF(E1475:AI1475,"ÇRT")+(COUNTIF(E1475:AI1475,"ÇRT.")/2)</f>
      </c>
      <c r="AR1475" s="1">
        <f>=COUNTIF(E1475:AI1475,"ÇHT")</f>
      </c>
      <c r="AS1475" s="1">
        <f>=COUNTIF(E1475:AI1475,"Ö")+COUNTIF(E1475:AI1475,"T")</f>
      </c>
      <c r="AT1475" s="1">
        <f>=COUNTIF(E1475:AI1475,"Y")</f>
      </c>
      <c r="AU1475" s="1">
        <f>=COUNTIF(E1475:AI1475,"R.")</f>
      </c>
      <c r="AV1475" s="1">
        <f>=COUNTIF(E1475:AI1475,"Ü")</f>
      </c>
      <c r="AW1475" s="1">
        <f>=COUNTIF(E1475:AI1475,"R")</f>
      </c>
      <c r="AX1475" s="1">
        <f>=COUNTIF(E1475:AI1475,"DV")</f>
      </c>
      <c r="AY1475" s="1">
        <f>=+AN1475+AO1475+AP1475+AQ1475+AR1475+AS1475+AT1475+AU1475</f>
      </c>
    </row>
    <row r="1476" ht="16" customHeight="1" spans="1:51" x14ac:dyDescent="0.25">
      <c r="A1476" s="45"/>
      <c r="B1476" s="46"/>
      <c r="C1476" s="46"/>
      <c r="D1476" s="46" t="s">
        <v>33</v>
      </c>
      <c r="E1476" s="46"/>
      <c r="F1476" s="46"/>
      <c r="G1476" s="46"/>
      <c r="H1476" s="46"/>
      <c r="I1476" s="46"/>
      <c r="J1476" s="46"/>
      <c r="K1476" s="46"/>
      <c r="L1476" s="46">
        <v>2</v>
      </c>
      <c r="M1476" s="46">
        <v>2</v>
      </c>
      <c r="N1476" s="46">
        <v>1</v>
      </c>
      <c r="O1476" s="46">
        <v>2</v>
      </c>
      <c r="P1476" s="46">
        <v>2</v>
      </c>
      <c r="Q1476" s="46"/>
      <c r="R1476" s="46">
        <v>2</v>
      </c>
      <c r="S1476" s="46">
        <v>2</v>
      </c>
      <c r="T1476" s="46">
        <v>2</v>
      </c>
      <c r="U1476" s="46"/>
      <c r="V1476" s="46"/>
      <c r="W1476" s="46">
        <v>2</v>
      </c>
      <c r="X1476" s="46"/>
      <c r="Y1476" s="46"/>
      <c r="Z1476" s="46"/>
      <c r="AA1476" s="46">
        <v>2</v>
      </c>
      <c r="AB1476" s="46">
        <v>2</v>
      </c>
      <c r="AC1476" s="46">
        <v>2</v>
      </c>
      <c r="AD1476" s="46">
        <v>2</v>
      </c>
      <c r="AE1476" s="46"/>
      <c r="AF1476" s="46"/>
      <c r="AG1476" s="46">
        <v>2</v>
      </c>
      <c r="AH1476" s="46">
        <v>2</v>
      </c>
      <c r="AI1476" s="46"/>
      <c r="AJ1476" s="46"/>
      <c r="AK1476" s="46"/>
      <c r="AL1476" s="46"/>
      <c r="AM1476" s="1"/>
      <c r="AN1476" s="1"/>
      <c r="AO1476" s="1"/>
      <c r="AP1476" s="1"/>
      <c r="AQ1476" s="1"/>
      <c r="AR1476" s="1"/>
      <c r="AS1476" s="1"/>
      <c r="AT1476" s="1"/>
      <c r="AU1476" s="1"/>
      <c r="AV1476" s="1"/>
      <c r="AW1476" s="1"/>
      <c r="AX1476" s="1"/>
      <c r="AY1476" s="1"/>
    </row>
    <row r="1477" ht="16" customHeight="1" spans="1:51" x14ac:dyDescent="0.25">
      <c r="A1477" s="45"/>
      <c r="B1477" s="46" t="s">
        <v>1529</v>
      </c>
      <c r="C1477" s="46" t="s">
        <v>1530</v>
      </c>
      <c r="D1477" s="46" t="s">
        <v>29</v>
      </c>
      <c r="E1477" s="46" t="s">
        <v>41</v>
      </c>
      <c r="F1477" s="46" t="s">
        <v>41</v>
      </c>
      <c r="G1477" s="46" t="s">
        <v>41</v>
      </c>
      <c r="H1477" s="46" t="s">
        <v>41</v>
      </c>
      <c r="I1477" s="46" t="s">
        <v>41</v>
      </c>
      <c r="J1477" s="46" t="s">
        <v>41</v>
      </c>
      <c r="K1477" s="46" t="s">
        <v>37</v>
      </c>
      <c r="L1477" s="46" t="s">
        <v>41</v>
      </c>
      <c r="M1477" s="46" t="s">
        <v>41</v>
      </c>
      <c r="N1477" s="46" t="s">
        <v>41</v>
      </c>
      <c r="O1477" s="46" t="s">
        <v>41</v>
      </c>
      <c r="P1477" s="46" t="s">
        <v>41</v>
      </c>
      <c r="Q1477" s="46" t="s">
        <v>41</v>
      </c>
      <c r="R1477" s="46" t="s">
        <v>37</v>
      </c>
      <c r="S1477" s="46" t="s">
        <v>41</v>
      </c>
      <c r="T1477" s="46" t="s">
        <v>41</v>
      </c>
      <c r="U1477" s="46" t="s">
        <v>46</v>
      </c>
      <c r="V1477" s="46" t="s">
        <v>36</v>
      </c>
      <c r="W1477" s="46" t="s">
        <v>36</v>
      </c>
      <c r="X1477" s="46" t="s">
        <v>36</v>
      </c>
      <c r="Y1477" s="46" t="s">
        <v>37</v>
      </c>
      <c r="Z1477" s="46" t="s">
        <v>36</v>
      </c>
      <c r="AA1477" s="46" t="s">
        <v>36</v>
      </c>
      <c r="AB1477" s="46" t="s">
        <v>36</v>
      </c>
      <c r="AC1477" s="46" t="s">
        <v>36</v>
      </c>
      <c r="AD1477" s="46" t="s">
        <v>36</v>
      </c>
      <c r="AE1477" s="46" t="s">
        <v>36</v>
      </c>
      <c r="AF1477" s="46" t="s">
        <v>37</v>
      </c>
      <c r="AG1477" s="46" t="s">
        <v>36</v>
      </c>
      <c r="AH1477" s="46" t="s">
        <v>43</v>
      </c>
      <c r="AI1477" s="46" t="s">
        <v>299</v>
      </c>
      <c r="AJ1477" s="46">
        <f>=SUM(E1478:AI1478)</f>
      </c>
      <c r="AK1477" s="46">
        <f>=+AY1477</f>
      </c>
      <c r="AL1477" s="46"/>
      <c r="AM1477" s="1"/>
      <c r="AN1477" s="1">
        <f>=COUNTIF(E1477:AI1477,"A")+COUNTIF(E1477:AI1477,"B")+COUNTIF(E1477:AI1477,"C")+COUNTIF(E1477:AI1477,"D")+COUNTIF(E1477:AI1477,"E")+COUNTIF(E1477:AI1477,"F")+COUNTIF(E1477:AI1477,"M")+COUNTIF(E1477:AI1477,"AB")+COUNTIF(E1477:AI1477,"UZ")+COUNTIF(E1477:AI1477,"G")+(COUNTIF(E1477:AI1477,"RT.")/2)+(COUNTIF(E1477:AI1477,"ÇRT.")/2)</f>
      </c>
      <c r="AO1477" s="1">
        <f>=COUNTIF(E1477:AI1477,"O")</f>
      </c>
      <c r="AP1477" s="1">
        <f>=COUNTIF(E1477:AI1477,"RT")+(COUNTIF(E1477:AI1477,"RT.")/2)</f>
      </c>
      <c r="AQ1477" s="1">
        <f>=COUNTIF(E1477:AI1477,"ÇRT")+(COUNTIF(E1477:AI1477,"ÇRT.")/2)</f>
      </c>
      <c r="AR1477" s="1">
        <f>=COUNTIF(E1477:AI1477,"ÇHT")</f>
      </c>
      <c r="AS1477" s="1">
        <f>=COUNTIF(E1477:AI1477,"Ö")+COUNTIF(E1477:AI1477,"T")</f>
      </c>
      <c r="AT1477" s="1">
        <f>=COUNTIF(E1477:AI1477,"Y")</f>
      </c>
      <c r="AU1477" s="1">
        <f>=COUNTIF(E1477:AI1477,"R.")</f>
      </c>
      <c r="AV1477" s="1">
        <f>=COUNTIF(E1477:AI1477,"Ü")</f>
      </c>
      <c r="AW1477" s="1">
        <f>=COUNTIF(E1477:AI1477,"R")</f>
      </c>
      <c r="AX1477" s="1">
        <f>=COUNTIF(E1477:AI1477,"DV")</f>
      </c>
      <c r="AY1477" s="1">
        <f>=+AN1477+AO1477+AP1477+AQ1477+AR1477+AS1477+AT1477+AU1477</f>
      </c>
    </row>
    <row r="1478" ht="16" customHeight="1" spans="1:51" x14ac:dyDescent="0.25">
      <c r="A1478" s="45"/>
      <c r="B1478" s="46"/>
      <c r="C1478" s="46"/>
      <c r="D1478" s="46" t="s">
        <v>33</v>
      </c>
      <c r="E1478" s="46"/>
      <c r="F1478" s="46"/>
      <c r="G1478" s="46"/>
      <c r="H1478" s="46">
        <v>2</v>
      </c>
      <c r="I1478" s="46">
        <v>2</v>
      </c>
      <c r="J1478" s="46"/>
      <c r="K1478" s="46"/>
      <c r="L1478" s="46">
        <v>2</v>
      </c>
      <c r="M1478" s="46">
        <v>2</v>
      </c>
      <c r="N1478" s="46"/>
      <c r="O1478" s="46">
        <v>2</v>
      </c>
      <c r="P1478" s="46">
        <v>2</v>
      </c>
      <c r="Q1478" s="46"/>
      <c r="R1478" s="46"/>
      <c r="S1478" s="46">
        <v>2</v>
      </c>
      <c r="T1478" s="46">
        <v>2</v>
      </c>
      <c r="U1478" s="46">
        <v>2</v>
      </c>
      <c r="V1478" s="46">
        <v>2</v>
      </c>
      <c r="W1478" s="46">
        <v>2</v>
      </c>
      <c r="X1478" s="46">
        <v>2</v>
      </c>
      <c r="Y1478" s="46"/>
      <c r="Z1478" s="46">
        <v>2</v>
      </c>
      <c r="AA1478" s="46">
        <v>2</v>
      </c>
      <c r="AB1478" s="46">
        <v>2</v>
      </c>
      <c r="AC1478" s="46">
        <v>2</v>
      </c>
      <c r="AD1478" s="46">
        <v>2</v>
      </c>
      <c r="AE1478" s="46"/>
      <c r="AF1478" s="46"/>
      <c r="AG1478" s="46">
        <v>2</v>
      </c>
      <c r="AH1478" s="46">
        <v>2</v>
      </c>
      <c r="AI1478" s="46">
        <v>2</v>
      </c>
      <c r="AJ1478" s="46"/>
      <c r="AK1478" s="46"/>
      <c r="AL1478" s="46"/>
      <c r="AM1478" s="1"/>
      <c r="AN1478" s="1"/>
      <c r="AO1478" s="1"/>
      <c r="AP1478" s="1"/>
      <c r="AQ1478" s="1"/>
      <c r="AR1478" s="1"/>
      <c r="AS1478" s="1"/>
      <c r="AT1478" s="1"/>
      <c r="AU1478" s="1"/>
      <c r="AV1478" s="1"/>
      <c r="AW1478" s="1"/>
      <c r="AX1478" s="1"/>
      <c r="AY1478" s="1"/>
    </row>
    <row r="1479" ht="16" customHeight="1" spans="1:51" x14ac:dyDescent="0.25">
      <c r="A1479" s="45"/>
      <c r="B1479" s="46" t="s">
        <v>1531</v>
      </c>
      <c r="C1479" s="46" t="s">
        <v>1532</v>
      </c>
      <c r="D1479" s="46" t="s">
        <v>29</v>
      </c>
      <c r="E1479" s="46" t="s">
        <v>36</v>
      </c>
      <c r="F1479" s="46" t="s">
        <v>36</v>
      </c>
      <c r="G1479" s="46" t="s">
        <v>36</v>
      </c>
      <c r="H1479" s="46" t="s">
        <v>36</v>
      </c>
      <c r="I1479" s="46" t="s">
        <v>37</v>
      </c>
      <c r="J1479" s="46" t="s">
        <v>46</v>
      </c>
      <c r="K1479" s="46" t="s">
        <v>36</v>
      </c>
      <c r="L1479" s="46" t="s">
        <v>36</v>
      </c>
      <c r="M1479" s="46" t="s">
        <v>36</v>
      </c>
      <c r="N1479" s="46" t="s">
        <v>36</v>
      </c>
      <c r="O1479" s="46" t="s">
        <v>36</v>
      </c>
      <c r="P1479" s="46" t="s">
        <v>37</v>
      </c>
      <c r="Q1479" s="46" t="s">
        <v>36</v>
      </c>
      <c r="R1479" s="46" t="s">
        <v>36</v>
      </c>
      <c r="S1479" s="46" t="s">
        <v>36</v>
      </c>
      <c r="T1479" s="46" t="s">
        <v>36</v>
      </c>
      <c r="U1479" s="46" t="s">
        <v>36</v>
      </c>
      <c r="V1479" s="46" t="s">
        <v>36</v>
      </c>
      <c r="W1479" s="46" t="s">
        <v>37</v>
      </c>
      <c r="X1479" s="46" t="s">
        <v>36</v>
      </c>
      <c r="Y1479" s="46" t="s">
        <v>36</v>
      </c>
      <c r="Z1479" s="46" t="s">
        <v>36</v>
      </c>
      <c r="AA1479" s="46" t="s">
        <v>36</v>
      </c>
      <c r="AB1479" s="46" t="s">
        <v>36</v>
      </c>
      <c r="AC1479" s="46" t="s">
        <v>36</v>
      </c>
      <c r="AD1479" s="46" t="s">
        <v>36</v>
      </c>
      <c r="AE1479" s="46" t="s">
        <v>36</v>
      </c>
      <c r="AF1479" s="46" t="s">
        <v>36</v>
      </c>
      <c r="AG1479" s="46" t="s">
        <v>37</v>
      </c>
      <c r="AH1479" s="46" t="s">
        <v>43</v>
      </c>
      <c r="AI1479" s="46" t="s">
        <v>37</v>
      </c>
      <c r="AJ1479" s="46">
        <f>=SUM(E1480:AI1480)</f>
      </c>
      <c r="AK1479" s="46">
        <f>=+AY1479</f>
      </c>
      <c r="AL1479" s="46"/>
      <c r="AM1479" s="1"/>
      <c r="AN1479" s="1">
        <f>=COUNTIF(E1479:AI1479,"A")+COUNTIF(E1479:AI1479,"B")+COUNTIF(E1479:AI1479,"C")+COUNTIF(E1479:AI1479,"D")+COUNTIF(E1479:AI1479,"E")+COUNTIF(E1479:AI1479,"F")+COUNTIF(E1479:AI1479,"M")+COUNTIF(E1479:AI1479,"AB")+COUNTIF(E1479:AI1479,"UZ")+COUNTIF(E1479:AI1479,"G")+(COUNTIF(E1479:AI1479,"RT.")/2)+(COUNTIF(E1479:AI1479,"ÇRT.")/2)</f>
      </c>
      <c r="AO1479" s="1">
        <f>=COUNTIF(E1479:AI1479,"O")</f>
      </c>
      <c r="AP1479" s="1">
        <f>=COUNTIF(E1479:AI1479,"RT")+(COUNTIF(E1479:AI1479,"RT.")/2)</f>
      </c>
      <c r="AQ1479" s="1">
        <f>=COUNTIF(E1479:AI1479,"ÇRT")+(COUNTIF(E1479:AI1479,"ÇRT.")/2)</f>
      </c>
      <c r="AR1479" s="1">
        <f>=COUNTIF(E1479:AI1479,"ÇHT")</f>
      </c>
      <c r="AS1479" s="1">
        <f>=COUNTIF(E1479:AI1479,"Ö")+COUNTIF(E1479:AI1479,"T")</f>
      </c>
      <c r="AT1479" s="1">
        <f>=COUNTIF(E1479:AI1479,"Y")</f>
      </c>
      <c r="AU1479" s="1">
        <f>=COUNTIF(E1479:AI1479,"R.")</f>
      </c>
      <c r="AV1479" s="1">
        <f>=COUNTIF(E1479:AI1479,"Ü")</f>
      </c>
      <c r="AW1479" s="1">
        <f>=COUNTIF(E1479:AI1479,"R")</f>
      </c>
      <c r="AX1479" s="1">
        <f>=COUNTIF(E1479:AI1479,"DV")</f>
      </c>
      <c r="AY1479" s="1">
        <f>=+AN1479+AO1479+AP1479+AQ1479+AR1479+AS1479+AT1479+AU1479</f>
      </c>
    </row>
    <row r="1480" ht="16" customHeight="1" spans="1:51" x14ac:dyDescent="0.25">
      <c r="A1480" s="45"/>
      <c r="B1480" s="46"/>
      <c r="C1480" s="46"/>
      <c r="D1480" s="46" t="s">
        <v>33</v>
      </c>
      <c r="E1480" s="46">
        <v>2</v>
      </c>
      <c r="F1480" s="46"/>
      <c r="G1480" s="46">
        <v>2</v>
      </c>
      <c r="H1480" s="46"/>
      <c r="I1480" s="46"/>
      <c r="J1480" s="46"/>
      <c r="K1480" s="46">
        <v>2</v>
      </c>
      <c r="L1480" s="46"/>
      <c r="M1480" s="46"/>
      <c r="N1480" s="46"/>
      <c r="O1480" s="46"/>
      <c r="P1480" s="46"/>
      <c r="Q1480" s="46"/>
      <c r="R1480" s="46">
        <v>2</v>
      </c>
      <c r="S1480" s="46">
        <v>2</v>
      </c>
      <c r="T1480" s="46"/>
      <c r="U1480" s="46"/>
      <c r="V1480" s="46"/>
      <c r="W1480" s="46"/>
      <c r="X1480" s="46"/>
      <c r="Y1480" s="46">
        <v>2</v>
      </c>
      <c r="Z1480" s="46">
        <v>2</v>
      </c>
      <c r="AA1480" s="46"/>
      <c r="AB1480" s="46"/>
      <c r="AC1480" s="46"/>
      <c r="AD1480" s="46">
        <v>2</v>
      </c>
      <c r="AE1480" s="46">
        <v>2</v>
      </c>
      <c r="AF1480" s="46"/>
      <c r="AG1480" s="46"/>
      <c r="AH1480" s="46"/>
      <c r="AI1480" s="46"/>
      <c r="AJ1480" s="46"/>
      <c r="AK1480" s="46"/>
      <c r="AL1480" s="46"/>
      <c r="AM1480" s="1"/>
      <c r="AN1480" s="1"/>
      <c r="AO1480" s="1"/>
      <c r="AP1480" s="1"/>
      <c r="AQ1480" s="1"/>
      <c r="AR1480" s="1"/>
      <c r="AS1480" s="1"/>
      <c r="AT1480" s="1"/>
      <c r="AU1480" s="1"/>
      <c r="AV1480" s="1"/>
      <c r="AW1480" s="1"/>
      <c r="AX1480" s="1"/>
      <c r="AY1480" s="1"/>
    </row>
    <row r="1481" ht="16" customHeight="1" spans="1:51" x14ac:dyDescent="0.25">
      <c r="A1481" s="45"/>
      <c r="B1481" s="46" t="s">
        <v>1533</v>
      </c>
      <c r="C1481" s="46" t="s">
        <v>1534</v>
      </c>
      <c r="D1481" s="46" t="s">
        <v>29</v>
      </c>
      <c r="E1481" s="46" t="s">
        <v>46</v>
      </c>
      <c r="F1481" s="46" t="s">
        <v>46</v>
      </c>
      <c r="G1481" s="46" t="s">
        <v>46</v>
      </c>
      <c r="H1481" s="46" t="s">
        <v>36</v>
      </c>
      <c r="I1481" s="46" t="s">
        <v>37</v>
      </c>
      <c r="J1481" s="46" t="s">
        <v>46</v>
      </c>
      <c r="K1481" s="46" t="s">
        <v>46</v>
      </c>
      <c r="L1481" s="46" t="s">
        <v>36</v>
      </c>
      <c r="M1481" s="46" t="s">
        <v>46</v>
      </c>
      <c r="N1481" s="46" t="s">
        <v>46</v>
      </c>
      <c r="O1481" s="46" t="s">
        <v>36</v>
      </c>
      <c r="P1481" s="46" t="s">
        <v>37</v>
      </c>
      <c r="Q1481" s="46" t="s">
        <v>46</v>
      </c>
      <c r="R1481" s="46" t="s">
        <v>46</v>
      </c>
      <c r="S1481" s="46" t="s">
        <v>36</v>
      </c>
      <c r="T1481" s="46" t="s">
        <v>46</v>
      </c>
      <c r="U1481" s="46" t="s">
        <v>46</v>
      </c>
      <c r="V1481" s="46" t="s">
        <v>36</v>
      </c>
      <c r="W1481" s="46" t="s">
        <v>37</v>
      </c>
      <c r="X1481" s="46" t="s">
        <v>46</v>
      </c>
      <c r="Y1481" s="46" t="s">
        <v>46</v>
      </c>
      <c r="Z1481" s="46" t="s">
        <v>46</v>
      </c>
      <c r="AA1481" s="46" t="s">
        <v>36</v>
      </c>
      <c r="AB1481" s="46" t="s">
        <v>46</v>
      </c>
      <c r="AC1481" s="46" t="s">
        <v>46</v>
      </c>
      <c r="AD1481" s="46" t="s">
        <v>36</v>
      </c>
      <c r="AE1481" s="46" t="s">
        <v>36</v>
      </c>
      <c r="AF1481" s="46" t="s">
        <v>46</v>
      </c>
      <c r="AG1481" s="46" t="s">
        <v>36</v>
      </c>
      <c r="AH1481" s="46" t="s">
        <v>37</v>
      </c>
      <c r="AI1481" s="46" t="s">
        <v>153</v>
      </c>
      <c r="AJ1481" s="46">
        <f>=SUM(E1482:AI1482)</f>
      </c>
      <c r="AK1481" s="46">
        <f>=+AY1481</f>
      </c>
      <c r="AL1481" s="46"/>
      <c r="AM1481" s="1"/>
      <c r="AN1481" s="1">
        <f>=COUNTIF(E1481:AI1481,"A")+COUNTIF(E1481:AI1481,"B")+COUNTIF(E1481:AI1481,"C")+COUNTIF(E1481:AI1481,"D")+COUNTIF(E1481:AI1481,"E")+COUNTIF(E1481:AI1481,"F")+COUNTIF(E1481:AI1481,"M")+COUNTIF(E1481:AI1481,"AB")+COUNTIF(E1481:AI1481,"UZ")+COUNTIF(E1481:AI1481,"G")+(COUNTIF(E1481:AI1481,"RT.")/2)+(COUNTIF(E1481:AI1481,"ÇRT.")/2)</f>
      </c>
      <c r="AO1481" s="1">
        <f>=COUNTIF(E1481:AI1481,"O")</f>
      </c>
      <c r="AP1481" s="1">
        <f>=COUNTIF(E1481:AI1481,"RT")+(COUNTIF(E1481:AI1481,"RT.")/2)</f>
      </c>
      <c r="AQ1481" s="1">
        <f>=COUNTIF(E1481:AI1481,"ÇRT")+(COUNTIF(E1481:AI1481,"ÇRT.")/2)</f>
      </c>
      <c r="AR1481" s="1">
        <f>=COUNTIF(E1481:AI1481,"ÇHT")</f>
      </c>
      <c r="AS1481" s="1">
        <f>=COUNTIF(E1481:AI1481,"Ö")+COUNTIF(E1481:AI1481,"T")</f>
      </c>
      <c r="AT1481" s="1">
        <f>=COUNTIF(E1481:AI1481,"Y")</f>
      </c>
      <c r="AU1481" s="1">
        <f>=COUNTIF(E1481:AI1481,"R.")</f>
      </c>
      <c r="AV1481" s="1">
        <f>=COUNTIF(E1481:AI1481,"Ü")</f>
      </c>
      <c r="AW1481" s="1">
        <f>=COUNTIF(E1481:AI1481,"R")</f>
      </c>
      <c r="AX1481" s="1">
        <f>=COUNTIF(E1481:AI1481,"DV")</f>
      </c>
      <c r="AY1481" s="1">
        <f>=+AN1481+AO1481+AP1481+AQ1481+AR1481+AS1481+AT1481+AU1481</f>
      </c>
    </row>
    <row r="1482" ht="16" customHeight="1" spans="1:51" x14ac:dyDescent="0.25">
      <c r="A1482" s="45"/>
      <c r="B1482" s="46"/>
      <c r="C1482" s="46"/>
      <c r="D1482" s="46" t="s">
        <v>33</v>
      </c>
      <c r="E1482" s="46"/>
      <c r="F1482" s="46"/>
      <c r="G1482" s="46"/>
      <c r="H1482" s="46"/>
      <c r="I1482" s="46"/>
      <c r="J1482" s="46"/>
      <c r="K1482" s="46"/>
      <c r="L1482" s="46"/>
      <c r="M1482" s="46"/>
      <c r="N1482" s="46"/>
      <c r="O1482" s="46"/>
      <c r="P1482" s="46"/>
      <c r="Q1482" s="46"/>
      <c r="R1482" s="46"/>
      <c r="S1482" s="46"/>
      <c r="T1482" s="46"/>
      <c r="U1482" s="46"/>
      <c r="V1482" s="46"/>
      <c r="W1482" s="46"/>
      <c r="X1482" s="46"/>
      <c r="Y1482" s="46"/>
      <c r="Z1482" s="46"/>
      <c r="AA1482" s="46"/>
      <c r="AB1482" s="46"/>
      <c r="AC1482" s="46"/>
      <c r="AD1482" s="46"/>
      <c r="AE1482" s="46"/>
      <c r="AF1482" s="46"/>
      <c r="AG1482" s="46"/>
      <c r="AH1482" s="46"/>
      <c r="AI1482" s="46"/>
      <c r="AJ1482" s="46"/>
      <c r="AK1482" s="46"/>
      <c r="AL1482" s="46"/>
      <c r="AM1482" s="1"/>
      <c r="AN1482" s="1"/>
      <c r="AO1482" s="1"/>
      <c r="AP1482" s="1"/>
      <c r="AQ1482" s="1"/>
      <c r="AR1482" s="1"/>
      <c r="AS1482" s="1"/>
      <c r="AT1482" s="1"/>
      <c r="AU1482" s="1"/>
      <c r="AV1482" s="1"/>
      <c r="AW1482" s="1"/>
      <c r="AX1482" s="1"/>
      <c r="AY1482" s="1"/>
    </row>
    <row r="1483" ht="16" customHeight="1" spans="1:51" x14ac:dyDescent="0.25">
      <c r="A1483" s="45"/>
      <c r="B1483" s="46" t="s">
        <v>1535</v>
      </c>
      <c r="C1483" s="46" t="s">
        <v>1536</v>
      </c>
      <c r="D1483" s="46" t="s">
        <v>29</v>
      </c>
      <c r="E1483" s="46" t="s">
        <v>36</v>
      </c>
      <c r="F1483" s="46" t="s">
        <v>36</v>
      </c>
      <c r="G1483" s="46" t="s">
        <v>36</v>
      </c>
      <c r="H1483" s="46" t="s">
        <v>36</v>
      </c>
      <c r="I1483" s="46" t="s">
        <v>36</v>
      </c>
      <c r="J1483" s="46" t="s">
        <v>36</v>
      </c>
      <c r="K1483" s="46" t="s">
        <v>37</v>
      </c>
      <c r="L1483" s="46" t="s">
        <v>36</v>
      </c>
      <c r="M1483" s="46" t="s">
        <v>36</v>
      </c>
      <c r="N1483" s="46" t="s">
        <v>36</v>
      </c>
      <c r="O1483" s="46" t="s">
        <v>36</v>
      </c>
      <c r="P1483" s="46" t="s">
        <v>36</v>
      </c>
      <c r="Q1483" s="46" t="s">
        <v>36</v>
      </c>
      <c r="R1483" s="46" t="s">
        <v>37</v>
      </c>
      <c r="S1483" s="46" t="s">
        <v>36</v>
      </c>
      <c r="T1483" s="46" t="s">
        <v>36</v>
      </c>
      <c r="U1483" s="46" t="s">
        <v>36</v>
      </c>
      <c r="V1483" s="46" t="s">
        <v>36</v>
      </c>
      <c r="W1483" s="46" t="s">
        <v>36</v>
      </c>
      <c r="X1483" s="46" t="s">
        <v>36</v>
      </c>
      <c r="Y1483" s="46" t="s">
        <v>37</v>
      </c>
      <c r="Z1483" s="46" t="s">
        <v>36</v>
      </c>
      <c r="AA1483" s="46" t="s">
        <v>36</v>
      </c>
      <c r="AB1483" s="46" t="s">
        <v>36</v>
      </c>
      <c r="AC1483" s="46" t="s">
        <v>36</v>
      </c>
      <c r="AD1483" s="46" t="s">
        <v>36</v>
      </c>
      <c r="AE1483" s="46" t="s">
        <v>36</v>
      </c>
      <c r="AF1483" s="46" t="s">
        <v>37</v>
      </c>
      <c r="AG1483" s="46" t="s">
        <v>36</v>
      </c>
      <c r="AH1483" s="46" t="s">
        <v>43</v>
      </c>
      <c r="AI1483" s="46" t="s">
        <v>36</v>
      </c>
      <c r="AJ1483" s="46">
        <f>=SUM(E1484:AI1484)</f>
      </c>
      <c r="AK1483" s="46">
        <f>=+AY1483</f>
      </c>
      <c r="AL1483" s="46"/>
      <c r="AM1483" s="1"/>
      <c r="AN1483" s="1">
        <f>=COUNTIF(E1483:AI1483,"A")+COUNTIF(E1483:AI1483,"B")+COUNTIF(E1483:AI1483,"C")+COUNTIF(E1483:AI1483,"D")+COUNTIF(E1483:AI1483,"E")+COUNTIF(E1483:AI1483,"F")+COUNTIF(E1483:AI1483,"M")+COUNTIF(E1483:AI1483,"AB")+COUNTIF(E1483:AI1483,"UZ")+COUNTIF(E1483:AI1483,"G")+(COUNTIF(E1483:AI1483,"RT.")/2)+(COUNTIF(E1483:AI1483,"ÇRT.")/2)</f>
      </c>
      <c r="AO1483" s="1">
        <f>=COUNTIF(E1483:AI1483,"O")</f>
      </c>
      <c r="AP1483" s="1">
        <f>=COUNTIF(E1483:AI1483,"RT")+(COUNTIF(E1483:AI1483,"RT.")/2)</f>
      </c>
      <c r="AQ1483" s="1">
        <f>=COUNTIF(E1483:AI1483,"ÇRT")+(COUNTIF(E1483:AI1483,"ÇRT.")/2)</f>
      </c>
      <c r="AR1483" s="1">
        <f>=COUNTIF(E1483:AI1483,"ÇHT")</f>
      </c>
      <c r="AS1483" s="1">
        <f>=COUNTIF(E1483:AI1483,"Ö")+COUNTIF(E1483:AI1483,"T")</f>
      </c>
      <c r="AT1483" s="1">
        <f>=COUNTIF(E1483:AI1483,"Y")</f>
      </c>
      <c r="AU1483" s="1">
        <f>=COUNTIF(E1483:AI1483,"R.")</f>
      </c>
      <c r="AV1483" s="1">
        <f>=COUNTIF(E1483:AI1483,"Ü")</f>
      </c>
      <c r="AW1483" s="1">
        <f>=COUNTIF(E1483:AI1483,"R")</f>
      </c>
      <c r="AX1483" s="1">
        <f>=COUNTIF(E1483:AI1483,"DV")</f>
      </c>
      <c r="AY1483" s="1">
        <f>=+AN1483+AO1483+AP1483+AQ1483+AR1483+AS1483+AT1483+AU1483</f>
      </c>
    </row>
    <row r="1484" ht="16" customHeight="1" spans="1:51" x14ac:dyDescent="0.25">
      <c r="A1484" s="45"/>
      <c r="B1484" s="46"/>
      <c r="C1484" s="46"/>
      <c r="D1484" s="46" t="s">
        <v>33</v>
      </c>
      <c r="E1484" s="46"/>
      <c r="F1484" s="46"/>
      <c r="G1484" s="46"/>
      <c r="H1484" s="46"/>
      <c r="I1484" s="46"/>
      <c r="J1484" s="46"/>
      <c r="K1484" s="46"/>
      <c r="L1484" s="46"/>
      <c r="M1484" s="46"/>
      <c r="N1484" s="46"/>
      <c r="O1484" s="46"/>
      <c r="P1484" s="46"/>
      <c r="Q1484" s="46"/>
      <c r="R1484" s="46"/>
      <c r="S1484" s="46"/>
      <c r="T1484" s="46"/>
      <c r="U1484" s="46"/>
      <c r="V1484" s="46"/>
      <c r="W1484" s="46"/>
      <c r="X1484" s="46"/>
      <c r="Y1484" s="46"/>
      <c r="Z1484" s="46"/>
      <c r="AA1484" s="46"/>
      <c r="AB1484" s="46"/>
      <c r="AC1484" s="46"/>
      <c r="AD1484" s="46"/>
      <c r="AE1484" s="46"/>
      <c r="AF1484" s="46"/>
      <c r="AG1484" s="46"/>
      <c r="AH1484" s="46"/>
      <c r="AI1484" s="46"/>
      <c r="AJ1484" s="46"/>
      <c r="AK1484" s="46"/>
      <c r="AL1484" s="46"/>
      <c r="AM1484" s="1"/>
      <c r="AN1484" s="1"/>
      <c r="AO1484" s="1"/>
      <c r="AP1484" s="1"/>
      <c r="AQ1484" s="1"/>
      <c r="AR1484" s="1"/>
      <c r="AS1484" s="1"/>
      <c r="AT1484" s="1"/>
      <c r="AU1484" s="1"/>
      <c r="AV1484" s="1"/>
      <c r="AW1484" s="1"/>
      <c r="AX1484" s="1"/>
      <c r="AY1484" s="1"/>
    </row>
    <row r="1485" ht="16" customHeight="1" spans="1:51" x14ac:dyDescent="0.25">
      <c r="A1485" s="45"/>
      <c r="B1485" s="46" t="s">
        <v>1537</v>
      </c>
      <c r="C1485" s="46" t="s">
        <v>1538</v>
      </c>
      <c r="D1485" s="46" t="s">
        <v>29</v>
      </c>
      <c r="E1485" s="46" t="s">
        <v>299</v>
      </c>
      <c r="F1485" s="46" t="s">
        <v>36</v>
      </c>
      <c r="G1485" s="46" t="s">
        <v>37</v>
      </c>
      <c r="H1485" s="46" t="s">
        <v>299</v>
      </c>
      <c r="I1485" s="46"/>
      <c r="J1485" s="46"/>
      <c r="K1485" s="46"/>
      <c r="L1485" s="46"/>
      <c r="M1485" s="46"/>
      <c r="N1485" s="46"/>
      <c r="O1485" s="46"/>
      <c r="P1485" s="46"/>
      <c r="Q1485" s="46"/>
      <c r="R1485" s="46"/>
      <c r="S1485" s="46"/>
      <c r="T1485" s="46"/>
      <c r="U1485" s="46"/>
      <c r="V1485" s="46"/>
      <c r="W1485" s="46"/>
      <c r="X1485" s="46"/>
      <c r="Y1485" s="46"/>
      <c r="Z1485" s="46"/>
      <c r="AA1485" s="46"/>
      <c r="AB1485" s="46"/>
      <c r="AC1485" s="46"/>
      <c r="AD1485" s="46"/>
      <c r="AE1485" s="46"/>
      <c r="AF1485" s="46"/>
      <c r="AG1485" s="46"/>
      <c r="AH1485" s="46"/>
      <c r="AI1485" s="46"/>
      <c r="AJ1485" s="46">
        <f>=SUM(E1486:AI1486)</f>
      </c>
      <c r="AK1485" s="46">
        <f>=+AY1485</f>
      </c>
      <c r="AL1485" s="46"/>
      <c r="AM1485" s="1"/>
      <c r="AN1485" s="1">
        <f>=COUNTIF(E1485:AI1485,"A")+COUNTIF(E1485:AI1485,"B")+COUNTIF(E1485:AI1485,"C")+COUNTIF(E1485:AI1485,"D")+COUNTIF(E1485:AI1485,"E")+COUNTIF(E1485:AI1485,"F")+COUNTIF(E1485:AI1485,"M")+COUNTIF(E1485:AI1485,"AB")+COUNTIF(E1485:AI1485,"UZ")+COUNTIF(E1485:AI1485,"G")+(COUNTIF(E1485:AI1485,"RT.")/2)+(COUNTIF(E1485:AI1485,"ÇRT.")/2)</f>
      </c>
      <c r="AO1485" s="1">
        <f>=COUNTIF(E1485:AI1485,"O")</f>
      </c>
      <c r="AP1485" s="1">
        <f>=COUNTIF(E1485:AI1485,"RT")+(COUNTIF(E1485:AI1485,"RT.")/2)</f>
      </c>
      <c r="AQ1485" s="1">
        <f>=COUNTIF(E1485:AI1485,"ÇRT")+(COUNTIF(E1485:AI1485,"ÇRT.")/2)</f>
      </c>
      <c r="AR1485" s="1">
        <f>=COUNTIF(E1485:AI1485,"ÇHT")</f>
      </c>
      <c r="AS1485" s="1">
        <f>=COUNTIF(E1485:AI1485,"Ö")+COUNTIF(E1485:AI1485,"T")</f>
      </c>
      <c r="AT1485" s="1">
        <f>=COUNTIF(E1485:AI1485,"Y")</f>
      </c>
      <c r="AU1485" s="1">
        <f>=COUNTIF(E1485:AI1485,"R.")</f>
      </c>
      <c r="AV1485" s="1">
        <f>=COUNTIF(E1485:AI1485,"Ü")</f>
      </c>
      <c r="AW1485" s="1">
        <f>=COUNTIF(E1485:AI1485,"R")</f>
      </c>
      <c r="AX1485" s="1">
        <f>=COUNTIF(E1485:AI1485,"DV")</f>
      </c>
      <c r="AY1485" s="1">
        <f>=+AN1485+AO1485+AP1485+AQ1485+AR1485+AS1485+AT1485+AU1485</f>
      </c>
    </row>
    <row r="1486" ht="16" customHeight="1" spans="1:51" x14ac:dyDescent="0.25">
      <c r="A1486" s="45"/>
      <c r="B1486" s="46"/>
      <c r="C1486" s="46"/>
      <c r="D1486" s="46" t="s">
        <v>33</v>
      </c>
      <c r="E1486" s="46">
        <v>2</v>
      </c>
      <c r="F1486" s="46"/>
      <c r="G1486" s="46"/>
      <c r="H1486" s="46"/>
      <c r="I1486" s="46"/>
      <c r="J1486" s="46"/>
      <c r="K1486" s="46"/>
      <c r="L1486" s="46"/>
      <c r="M1486" s="46"/>
      <c r="N1486" s="46"/>
      <c r="O1486" s="46"/>
      <c r="P1486" s="46"/>
      <c r="Q1486" s="46"/>
      <c r="R1486" s="46"/>
      <c r="S1486" s="46"/>
      <c r="T1486" s="46"/>
      <c r="U1486" s="46"/>
      <c r="V1486" s="46"/>
      <c r="W1486" s="46"/>
      <c r="X1486" s="46"/>
      <c r="Y1486" s="46"/>
      <c r="Z1486" s="46"/>
      <c r="AA1486" s="46"/>
      <c r="AB1486" s="46"/>
      <c r="AC1486" s="46"/>
      <c r="AD1486" s="46"/>
      <c r="AE1486" s="46"/>
      <c r="AF1486" s="46"/>
      <c r="AG1486" s="46"/>
      <c r="AH1486" s="46"/>
      <c r="AI1486" s="46"/>
      <c r="AJ1486" s="46"/>
      <c r="AK1486" s="46"/>
      <c r="AL1486" s="46"/>
      <c r="AM1486" s="1"/>
      <c r="AN1486" s="1"/>
      <c r="AO1486" s="1"/>
      <c r="AP1486" s="1"/>
      <c r="AQ1486" s="1"/>
      <c r="AR1486" s="1"/>
      <c r="AS1486" s="1"/>
      <c r="AT1486" s="1"/>
      <c r="AU1486" s="1"/>
      <c r="AV1486" s="1"/>
      <c r="AW1486" s="1"/>
      <c r="AX1486" s="1"/>
      <c r="AY1486" s="1"/>
    </row>
    <row r="1487" ht="16" customHeight="1" spans="1:51" x14ac:dyDescent="0.25">
      <c r="A1487" s="45"/>
      <c r="B1487" s="46" t="s">
        <v>1539</v>
      </c>
      <c r="C1487" s="46" t="s">
        <v>1540</v>
      </c>
      <c r="D1487" s="46" t="s">
        <v>29</v>
      </c>
      <c r="E1487" s="46" t="s">
        <v>36</v>
      </c>
      <c r="F1487" s="46" t="s">
        <v>46</v>
      </c>
      <c r="G1487" s="46" t="s">
        <v>36</v>
      </c>
      <c r="H1487" s="46" t="s">
        <v>37</v>
      </c>
      <c r="I1487" s="46" t="s">
        <v>46</v>
      </c>
      <c r="J1487" s="46" t="s">
        <v>46</v>
      </c>
      <c r="K1487" s="46" t="s">
        <v>36</v>
      </c>
      <c r="L1487" s="46" t="s">
        <v>46</v>
      </c>
      <c r="M1487" s="46" t="s">
        <v>46</v>
      </c>
      <c r="N1487" s="46" t="s">
        <v>36</v>
      </c>
      <c r="O1487" s="46" t="s">
        <v>37</v>
      </c>
      <c r="P1487" s="46" t="s">
        <v>46</v>
      </c>
      <c r="Q1487" s="46" t="s">
        <v>36</v>
      </c>
      <c r="R1487" s="46" t="s">
        <v>46</v>
      </c>
      <c r="S1487" s="46" t="s">
        <v>46</v>
      </c>
      <c r="T1487" s="46" t="s">
        <v>46</v>
      </c>
      <c r="U1487" s="46" t="s">
        <v>36</v>
      </c>
      <c r="V1487" s="46" t="s">
        <v>37</v>
      </c>
      <c r="W1487" s="46" t="s">
        <v>46</v>
      </c>
      <c r="X1487" s="46" t="s">
        <v>46</v>
      </c>
      <c r="Y1487" s="46" t="s">
        <v>36</v>
      </c>
      <c r="Z1487" s="46" t="s">
        <v>46</v>
      </c>
      <c r="AA1487" s="46" t="s">
        <v>46</v>
      </c>
      <c r="AB1487" s="46" t="s">
        <v>46</v>
      </c>
      <c r="AC1487" s="46" t="s">
        <v>46</v>
      </c>
      <c r="AD1487" s="46" t="s">
        <v>46</v>
      </c>
      <c r="AE1487" s="46" t="s">
        <v>46</v>
      </c>
      <c r="AF1487" s="46" t="s">
        <v>36</v>
      </c>
      <c r="AG1487" s="46" t="s">
        <v>37</v>
      </c>
      <c r="AH1487" s="46" t="s">
        <v>154</v>
      </c>
      <c r="AI1487" s="46" t="s">
        <v>37</v>
      </c>
      <c r="AJ1487" s="46">
        <f>=SUM(E1488:AI1488)</f>
      </c>
      <c r="AK1487" s="46">
        <f>=+AY1487</f>
      </c>
      <c r="AL1487" s="46"/>
      <c r="AM1487" s="1"/>
      <c r="AN1487" s="1">
        <f>=COUNTIF(E1487:AI1487,"A")+COUNTIF(E1487:AI1487,"B")+COUNTIF(E1487:AI1487,"C")+COUNTIF(E1487:AI1487,"D")+COUNTIF(E1487:AI1487,"E")+COUNTIF(E1487:AI1487,"F")+COUNTIF(E1487:AI1487,"M")+COUNTIF(E1487:AI1487,"AB")+COUNTIF(E1487:AI1487,"UZ")+COUNTIF(E1487:AI1487,"G")+(COUNTIF(E1487:AI1487,"RT.")/2)+(COUNTIF(E1487:AI1487,"ÇRT.")/2)</f>
      </c>
      <c r="AO1487" s="1">
        <f>=COUNTIF(E1487:AI1487,"O")</f>
      </c>
      <c r="AP1487" s="1">
        <f>=COUNTIF(E1487:AI1487,"RT")+(COUNTIF(E1487:AI1487,"RT.")/2)</f>
      </c>
      <c r="AQ1487" s="1">
        <f>=COUNTIF(E1487:AI1487,"ÇRT")+(COUNTIF(E1487:AI1487,"ÇRT.")/2)</f>
      </c>
      <c r="AR1487" s="1">
        <f>=COUNTIF(E1487:AI1487,"ÇHT")</f>
      </c>
      <c r="AS1487" s="1">
        <f>=COUNTIF(E1487:AI1487,"Ö")+COUNTIF(E1487:AI1487,"T")</f>
      </c>
      <c r="AT1487" s="1">
        <f>=COUNTIF(E1487:AI1487,"Y")</f>
      </c>
      <c r="AU1487" s="1">
        <f>=COUNTIF(E1487:AI1487,"R.")</f>
      </c>
      <c r="AV1487" s="1">
        <f>=COUNTIF(E1487:AI1487,"Ü")</f>
      </c>
      <c r="AW1487" s="1">
        <f>=COUNTIF(E1487:AI1487,"R")</f>
      </c>
      <c r="AX1487" s="1">
        <f>=COUNTIF(E1487:AI1487,"DV")</f>
      </c>
      <c r="AY1487" s="1">
        <f>=+AN1487+AO1487+AP1487+AQ1487+AR1487+AS1487+AT1487+AU1487</f>
      </c>
    </row>
    <row r="1488" ht="16" customHeight="1" spans="1:51" x14ac:dyDescent="0.25">
      <c r="A1488" s="45"/>
      <c r="B1488" s="46"/>
      <c r="C1488" s="46"/>
      <c r="D1488" s="46" t="s">
        <v>33</v>
      </c>
      <c r="E1488" s="46"/>
      <c r="F1488" s="46"/>
      <c r="G1488" s="46"/>
      <c r="H1488" s="46"/>
      <c r="I1488" s="46"/>
      <c r="J1488" s="46"/>
      <c r="K1488" s="46"/>
      <c r="L1488" s="46"/>
      <c r="M1488" s="46"/>
      <c r="N1488" s="46"/>
      <c r="O1488" s="46"/>
      <c r="P1488" s="46"/>
      <c r="Q1488" s="46"/>
      <c r="R1488" s="46"/>
      <c r="S1488" s="46"/>
      <c r="T1488" s="46"/>
      <c r="U1488" s="46"/>
      <c r="V1488" s="46"/>
      <c r="W1488" s="46"/>
      <c r="X1488" s="46"/>
      <c r="Y1488" s="46"/>
      <c r="Z1488" s="46"/>
      <c r="AA1488" s="46"/>
      <c r="AB1488" s="46"/>
      <c r="AC1488" s="46"/>
      <c r="AD1488" s="46"/>
      <c r="AE1488" s="46"/>
      <c r="AF1488" s="46"/>
      <c r="AG1488" s="46"/>
      <c r="AH1488" s="46"/>
      <c r="AI1488" s="46"/>
      <c r="AJ1488" s="46"/>
      <c r="AK1488" s="46"/>
      <c r="AL1488" s="46"/>
      <c r="AM1488" s="1"/>
      <c r="AN1488" s="1"/>
      <c r="AO1488" s="1"/>
      <c r="AP1488" s="1"/>
      <c r="AQ1488" s="1"/>
      <c r="AR1488" s="1"/>
      <c r="AS1488" s="1"/>
      <c r="AT1488" s="1"/>
      <c r="AU1488" s="1"/>
      <c r="AV1488" s="1"/>
      <c r="AW1488" s="1"/>
      <c r="AX1488" s="1"/>
      <c r="AY1488" s="1"/>
    </row>
    <row r="1489" ht="16" customHeight="1" spans="1:51" x14ac:dyDescent="0.25">
      <c r="A1489" s="45"/>
      <c r="B1489" s="46" t="s">
        <v>1541</v>
      </c>
      <c r="C1489" s="46" t="s">
        <v>1542</v>
      </c>
      <c r="D1489" s="46" t="s">
        <v>29</v>
      </c>
      <c r="E1489" s="46" t="s">
        <v>59</v>
      </c>
      <c r="F1489" s="46" t="s">
        <v>59</v>
      </c>
      <c r="G1489" s="46" t="s">
        <v>59</v>
      </c>
      <c r="H1489" s="46" t="s">
        <v>59</v>
      </c>
      <c r="I1489" s="46" t="s">
        <v>59</v>
      </c>
      <c r="J1489" s="46" t="s">
        <v>59</v>
      </c>
      <c r="K1489" s="46" t="s">
        <v>37</v>
      </c>
      <c r="L1489" s="46" t="s">
        <v>59</v>
      </c>
      <c r="M1489" s="46" t="s">
        <v>59</v>
      </c>
      <c r="N1489" s="46" t="s">
        <v>59</v>
      </c>
      <c r="O1489" s="46" t="s">
        <v>59</v>
      </c>
      <c r="P1489" s="46" t="s">
        <v>59</v>
      </c>
      <c r="Q1489" s="46" t="s">
        <v>59</v>
      </c>
      <c r="R1489" s="46" t="s">
        <v>37</v>
      </c>
      <c r="S1489" s="46" t="s">
        <v>59</v>
      </c>
      <c r="T1489" s="46" t="s">
        <v>59</v>
      </c>
      <c r="U1489" s="46" t="s">
        <v>59</v>
      </c>
      <c r="V1489" s="46" t="s">
        <v>59</v>
      </c>
      <c r="W1489" s="46" t="s">
        <v>59</v>
      </c>
      <c r="X1489" s="46" t="s">
        <v>59</v>
      </c>
      <c r="Y1489" s="46" t="s">
        <v>37</v>
      </c>
      <c r="Z1489" s="46" t="s">
        <v>59</v>
      </c>
      <c r="AA1489" s="46" t="s">
        <v>59</v>
      </c>
      <c r="AB1489" s="46" t="s">
        <v>59</v>
      </c>
      <c r="AC1489" s="46" t="s">
        <v>59</v>
      </c>
      <c r="AD1489" s="46" t="s">
        <v>59</v>
      </c>
      <c r="AE1489" s="46" t="s">
        <v>59</v>
      </c>
      <c r="AF1489" s="46" t="s">
        <v>37</v>
      </c>
      <c r="AG1489" s="46" t="s">
        <v>59</v>
      </c>
      <c r="AH1489" s="46" t="s">
        <v>43</v>
      </c>
      <c r="AI1489" s="46" t="s">
        <v>31</v>
      </c>
      <c r="AJ1489" s="46">
        <f>=SUM(E1490:AI1490)</f>
      </c>
      <c r="AK1489" s="46">
        <f>=+AY1489</f>
      </c>
      <c r="AL1489" s="46"/>
      <c r="AM1489" s="1"/>
      <c r="AN1489" s="1">
        <f>=COUNTIF(E1489:AI1489,"A")+COUNTIF(E1489:AI1489,"B")+COUNTIF(E1489:AI1489,"C")+COUNTIF(E1489:AI1489,"D")+COUNTIF(E1489:AI1489,"E")+COUNTIF(E1489:AI1489,"F")+COUNTIF(E1489:AI1489,"M")+COUNTIF(E1489:AI1489,"AB")+COUNTIF(E1489:AI1489,"UZ")+COUNTIF(E1489:AI1489,"G")+(COUNTIF(E1489:AI1489,"RT.")/2)+(COUNTIF(E1489:AI1489,"ÇRT.")/2)</f>
      </c>
      <c r="AO1489" s="1">
        <f>=COUNTIF(E1489:AI1489,"O")</f>
      </c>
      <c r="AP1489" s="1">
        <f>=COUNTIF(E1489:AI1489,"RT")+(COUNTIF(E1489:AI1489,"RT.")/2)</f>
      </c>
      <c r="AQ1489" s="1">
        <f>=COUNTIF(E1489:AI1489,"ÇRT")+(COUNTIF(E1489:AI1489,"ÇRT.")/2)</f>
      </c>
      <c r="AR1489" s="1">
        <f>=COUNTIF(E1489:AI1489,"ÇHT")</f>
      </c>
      <c r="AS1489" s="1">
        <f>=COUNTIF(E1489:AI1489,"Ö")+COUNTIF(E1489:AI1489,"T")</f>
      </c>
      <c r="AT1489" s="1">
        <f>=COUNTIF(E1489:AI1489,"Y")</f>
      </c>
      <c r="AU1489" s="1">
        <f>=COUNTIF(E1489:AI1489,"R.")</f>
      </c>
      <c r="AV1489" s="1">
        <f>=COUNTIF(E1489:AI1489,"Ü")</f>
      </c>
      <c r="AW1489" s="1">
        <f>=COUNTIF(E1489:AI1489,"R")</f>
      </c>
      <c r="AX1489" s="1">
        <f>=COUNTIF(E1489:AI1489,"DV")</f>
      </c>
      <c r="AY1489" s="1">
        <f>=+AN1489+AO1489+AP1489+AQ1489+AR1489+AS1489+AT1489+AU1489</f>
      </c>
    </row>
    <row r="1490" ht="16" customHeight="1" spans="1:51" x14ac:dyDescent="0.25">
      <c r="A1490" s="45"/>
      <c r="B1490" s="46"/>
      <c r="C1490" s="46"/>
      <c r="D1490" s="46" t="s">
        <v>33</v>
      </c>
      <c r="E1490" s="46"/>
      <c r="F1490" s="46"/>
      <c r="G1490" s="46"/>
      <c r="H1490" s="46"/>
      <c r="I1490" s="46"/>
      <c r="J1490" s="46"/>
      <c r="K1490" s="46"/>
      <c r="L1490" s="46"/>
      <c r="M1490" s="46"/>
      <c r="N1490" s="46"/>
      <c r="O1490" s="46"/>
      <c r="P1490" s="46"/>
      <c r="Q1490" s="46"/>
      <c r="R1490" s="46"/>
      <c r="S1490" s="46"/>
      <c r="T1490" s="46"/>
      <c r="U1490" s="46"/>
      <c r="V1490" s="46"/>
      <c r="W1490" s="46"/>
      <c r="X1490" s="46"/>
      <c r="Y1490" s="46"/>
      <c r="Z1490" s="46"/>
      <c r="AA1490" s="46"/>
      <c r="AB1490" s="46"/>
      <c r="AC1490" s="46"/>
      <c r="AD1490" s="46"/>
      <c r="AE1490" s="46"/>
      <c r="AF1490" s="46"/>
      <c r="AG1490" s="46"/>
      <c r="AH1490" s="46"/>
      <c r="AI1490" s="46"/>
      <c r="AJ1490" s="46"/>
      <c r="AK1490" s="46"/>
      <c r="AL1490" s="46"/>
      <c r="AM1490" s="1"/>
      <c r="AN1490" s="1"/>
      <c r="AO1490" s="1"/>
      <c r="AP1490" s="1"/>
      <c r="AQ1490" s="1"/>
      <c r="AR1490" s="1"/>
      <c r="AS1490" s="1"/>
      <c r="AT1490" s="1"/>
      <c r="AU1490" s="1"/>
      <c r="AV1490" s="1"/>
      <c r="AW1490" s="1"/>
      <c r="AX1490" s="1"/>
      <c r="AY1490" s="1"/>
    </row>
    <row r="1491" ht="16" customHeight="1" spans="1:51" x14ac:dyDescent="0.25">
      <c r="A1491" s="45"/>
      <c r="B1491" s="46" t="s">
        <v>1543</v>
      </c>
      <c r="C1491" s="46" t="s">
        <v>1544</v>
      </c>
      <c r="D1491" s="46" t="s">
        <v>29</v>
      </c>
      <c r="E1491" s="46" t="s">
        <v>37</v>
      </c>
      <c r="F1491" s="46" t="s">
        <v>46</v>
      </c>
      <c r="G1491" s="46" t="s">
        <v>46</v>
      </c>
      <c r="H1491" s="46" t="s">
        <v>46</v>
      </c>
      <c r="I1491" s="46" t="s">
        <v>46</v>
      </c>
      <c r="J1491" s="46" t="s">
        <v>46</v>
      </c>
      <c r="K1491" s="46" t="s">
        <v>46</v>
      </c>
      <c r="L1491" s="46" t="s">
        <v>37</v>
      </c>
      <c r="M1491" s="46" t="s">
        <v>46</v>
      </c>
      <c r="N1491" s="46" t="s">
        <v>46</v>
      </c>
      <c r="O1491" s="46" t="s">
        <v>46</v>
      </c>
      <c r="P1491" s="46" t="s">
        <v>46</v>
      </c>
      <c r="Q1491" s="46" t="s">
        <v>46</v>
      </c>
      <c r="R1491" s="46" t="s">
        <v>46</v>
      </c>
      <c r="S1491" s="46" t="s">
        <v>37</v>
      </c>
      <c r="T1491" s="46" t="s">
        <v>46</v>
      </c>
      <c r="U1491" s="46" t="s">
        <v>46</v>
      </c>
      <c r="V1491" s="46" t="s">
        <v>46</v>
      </c>
      <c r="W1491" s="46" t="s">
        <v>46</v>
      </c>
      <c r="X1491" s="46" t="s">
        <v>46</v>
      </c>
      <c r="Y1491" s="46" t="s">
        <v>46</v>
      </c>
      <c r="Z1491" s="46" t="s">
        <v>37</v>
      </c>
      <c r="AA1491" s="46" t="s">
        <v>46</v>
      </c>
      <c r="AB1491" s="46" t="s">
        <v>46</v>
      </c>
      <c r="AC1491" s="46" t="s">
        <v>46</v>
      </c>
      <c r="AD1491" s="46" t="s">
        <v>37</v>
      </c>
      <c r="AE1491" s="46" t="s">
        <v>46</v>
      </c>
      <c r="AF1491" s="46" t="s">
        <v>46</v>
      </c>
      <c r="AG1491" s="46" t="s">
        <v>46</v>
      </c>
      <c r="AH1491" s="46" t="s">
        <v>43</v>
      </c>
      <c r="AI1491" s="46" t="s">
        <v>46</v>
      </c>
      <c r="AJ1491" s="46">
        <f>=SUM(E1492:AI1492)</f>
      </c>
      <c r="AK1491" s="46">
        <f>=+AY1491</f>
      </c>
      <c r="AL1491" s="46"/>
      <c r="AM1491" s="1"/>
      <c r="AN1491" s="1">
        <f>=COUNTIF(E1491:AI1491,"A")+COUNTIF(E1491:AI1491,"B")+COUNTIF(E1491:AI1491,"C")+COUNTIF(E1491:AI1491,"D")+COUNTIF(E1491:AI1491,"E")+COUNTIF(E1491:AI1491,"F")+COUNTIF(E1491:AI1491,"M")+COUNTIF(E1491:AI1491,"AB")+COUNTIF(E1491:AI1491,"UZ")+COUNTIF(E1491:AI1491,"G")+(COUNTIF(E1491:AI1491,"RT.")/2)+(COUNTIF(E1491:AI1491,"ÇRT.")/2)</f>
      </c>
      <c r="AO1491" s="1">
        <f>=COUNTIF(E1491:AI1491,"O")</f>
      </c>
      <c r="AP1491" s="1">
        <f>=COUNTIF(E1491:AI1491,"RT")+(COUNTIF(E1491:AI1491,"RT.")/2)</f>
      </c>
      <c r="AQ1491" s="1">
        <f>=COUNTIF(E1491:AI1491,"ÇRT")+(COUNTIF(E1491:AI1491,"ÇRT.")/2)</f>
      </c>
      <c r="AR1491" s="1">
        <f>=COUNTIF(E1491:AI1491,"ÇHT")</f>
      </c>
      <c r="AS1491" s="1">
        <f>=COUNTIF(E1491:AI1491,"Ö")+COUNTIF(E1491:AI1491,"T")</f>
      </c>
      <c r="AT1491" s="1">
        <f>=COUNTIF(E1491:AI1491,"Y")</f>
      </c>
      <c r="AU1491" s="1">
        <f>=COUNTIF(E1491:AI1491,"R.")</f>
      </c>
      <c r="AV1491" s="1">
        <f>=COUNTIF(E1491:AI1491,"Ü")</f>
      </c>
      <c r="AW1491" s="1">
        <f>=COUNTIF(E1491:AI1491,"R")</f>
      </c>
      <c r="AX1491" s="1">
        <f>=COUNTIF(E1491:AI1491,"DV")</f>
      </c>
      <c r="AY1491" s="1">
        <f>=+AN1491+AO1491+AP1491+AQ1491+AR1491+AS1491+AT1491+AU1491</f>
      </c>
    </row>
    <row r="1492" ht="16" customHeight="1" spans="1:51" x14ac:dyDescent="0.25">
      <c r="A1492" s="45"/>
      <c r="B1492" s="46"/>
      <c r="C1492" s="46"/>
      <c r="D1492" s="46" t="s">
        <v>33</v>
      </c>
      <c r="E1492" s="46"/>
      <c r="F1492" s="46"/>
      <c r="G1492" s="46">
        <v>2</v>
      </c>
      <c r="H1492" s="46">
        <v>2</v>
      </c>
      <c r="I1492" s="46"/>
      <c r="J1492" s="46"/>
      <c r="K1492" s="46"/>
      <c r="L1492" s="46"/>
      <c r="M1492" s="46"/>
      <c r="N1492" s="46"/>
      <c r="O1492" s="46"/>
      <c r="P1492" s="46"/>
      <c r="Q1492" s="46"/>
      <c r="R1492" s="46"/>
      <c r="S1492" s="46"/>
      <c r="T1492" s="46"/>
      <c r="U1492" s="46"/>
      <c r="V1492" s="46">
        <v>2</v>
      </c>
      <c r="W1492" s="46"/>
      <c r="X1492" s="46">
        <v>2</v>
      </c>
      <c r="Y1492" s="46"/>
      <c r="Z1492" s="46"/>
      <c r="AA1492" s="46"/>
      <c r="AB1492" s="46"/>
      <c r="AC1492" s="46"/>
      <c r="AD1492" s="46"/>
      <c r="AE1492" s="46">
        <v>2</v>
      </c>
      <c r="AF1492" s="46"/>
      <c r="AG1492" s="46"/>
      <c r="AH1492" s="46">
        <v>0</v>
      </c>
      <c r="AI1492" s="46">
        <v>2</v>
      </c>
      <c r="AJ1492" s="46"/>
      <c r="AK1492" s="46"/>
      <c r="AL1492" s="46"/>
      <c r="AM1492" s="1"/>
      <c r="AN1492" s="1"/>
      <c r="AO1492" s="1"/>
      <c r="AP1492" s="1"/>
      <c r="AQ1492" s="1"/>
      <c r="AR1492" s="1"/>
      <c r="AS1492" s="1"/>
      <c r="AT1492" s="1"/>
      <c r="AU1492" s="1"/>
      <c r="AV1492" s="1"/>
      <c r="AW1492" s="1"/>
      <c r="AX1492" s="1"/>
      <c r="AY1492" s="1"/>
    </row>
    <row r="1493" ht="16" customHeight="1" spans="1:51" x14ac:dyDescent="0.25">
      <c r="A1493" s="45"/>
      <c r="B1493" s="46" t="s">
        <v>1545</v>
      </c>
      <c r="C1493" s="46" t="s">
        <v>1546</v>
      </c>
      <c r="D1493" s="46" t="s">
        <v>29</v>
      </c>
      <c r="E1493" s="46" t="s">
        <v>36</v>
      </c>
      <c r="F1493" s="46" t="s">
        <v>36</v>
      </c>
      <c r="G1493" s="46" t="s">
        <v>36</v>
      </c>
      <c r="H1493" s="46" t="s">
        <v>36</v>
      </c>
      <c r="I1493" s="46" t="s">
        <v>37</v>
      </c>
      <c r="J1493" s="46" t="s">
        <v>36</v>
      </c>
      <c r="K1493" s="46" t="s">
        <v>36</v>
      </c>
      <c r="L1493" s="46" t="s">
        <v>36</v>
      </c>
      <c r="M1493" s="46" t="s">
        <v>36</v>
      </c>
      <c r="N1493" s="46" t="s">
        <v>36</v>
      </c>
      <c r="O1493" s="46" t="s">
        <v>36</v>
      </c>
      <c r="P1493" s="46" t="s">
        <v>37</v>
      </c>
      <c r="Q1493" s="46" t="s">
        <v>36</v>
      </c>
      <c r="R1493" s="46" t="s">
        <v>36</v>
      </c>
      <c r="S1493" s="46" t="s">
        <v>36</v>
      </c>
      <c r="T1493" s="46" t="s">
        <v>36</v>
      </c>
      <c r="U1493" s="46" t="s">
        <v>36</v>
      </c>
      <c r="V1493" s="46" t="s">
        <v>36</v>
      </c>
      <c r="W1493" s="46" t="s">
        <v>222</v>
      </c>
      <c r="X1493" s="46" t="s">
        <v>36</v>
      </c>
      <c r="Y1493" s="46" t="s">
        <v>36</v>
      </c>
      <c r="Z1493" s="46" t="s">
        <v>36</v>
      </c>
      <c r="AA1493" s="46" t="s">
        <v>36</v>
      </c>
      <c r="AB1493" s="46" t="s">
        <v>37</v>
      </c>
      <c r="AC1493" s="46" t="s">
        <v>36</v>
      </c>
      <c r="AD1493" s="46" t="s">
        <v>36</v>
      </c>
      <c r="AE1493" s="46" t="s">
        <v>36</v>
      </c>
      <c r="AF1493" s="46" t="s">
        <v>36</v>
      </c>
      <c r="AG1493" s="46" t="s">
        <v>36</v>
      </c>
      <c r="AH1493" s="46" t="s">
        <v>43</v>
      </c>
      <c r="AI1493" s="46" t="s">
        <v>36</v>
      </c>
      <c r="AJ1493" s="46">
        <f>=SUM(E1494:AI1494)</f>
      </c>
      <c r="AK1493" s="46">
        <f>=+AY1493</f>
      </c>
      <c r="AL1493" s="46"/>
      <c r="AM1493" s="1"/>
      <c r="AN1493" s="1">
        <f>=COUNTIF(E1493:AI1493,"A")+COUNTIF(E1493:AI1493,"B")+COUNTIF(E1493:AI1493,"C")+COUNTIF(E1493:AI1493,"D")+COUNTIF(E1493:AI1493,"E")+COUNTIF(E1493:AI1493,"F")+COUNTIF(E1493:AI1493,"M")+COUNTIF(E1493:AI1493,"AB")+COUNTIF(E1493:AI1493,"UZ")+COUNTIF(E1493:AI1493,"G")+(COUNTIF(E1493:AI1493,"RT.")/2)+(COUNTIF(E1493:AI1493,"ÇRT.")/2)</f>
      </c>
      <c r="AO1493" s="1">
        <f>=COUNTIF(E1493:AI1493,"O")</f>
      </c>
      <c r="AP1493" s="1">
        <f>=COUNTIF(E1493:AI1493,"RT")+(COUNTIF(E1493:AI1493,"RT.")/2)</f>
      </c>
      <c r="AQ1493" s="1">
        <f>=COUNTIF(E1493:AI1493,"ÇRT")+(COUNTIF(E1493:AI1493,"ÇRT.")/2)</f>
      </c>
      <c r="AR1493" s="1">
        <f>=COUNTIF(E1493:AI1493,"ÇHT")</f>
      </c>
      <c r="AS1493" s="1">
        <f>=COUNTIF(E1493:AI1493,"Ö")+COUNTIF(E1493:AI1493,"T")</f>
      </c>
      <c r="AT1493" s="1">
        <f>=COUNTIF(E1493:AI1493,"Y")</f>
      </c>
      <c r="AU1493" s="1">
        <f>=COUNTIF(E1493:AI1493,"R.")</f>
      </c>
      <c r="AV1493" s="1">
        <f>=COUNTIF(E1493:AI1493,"Ü")</f>
      </c>
      <c r="AW1493" s="1">
        <f>=COUNTIF(E1493:AI1493,"R")</f>
      </c>
      <c r="AX1493" s="1">
        <f>=COUNTIF(E1493:AI1493,"DV")</f>
      </c>
      <c r="AY1493" s="1">
        <f>=+AN1493+AO1493+AP1493+AQ1493+AR1493+AS1493+AT1493+AU1493</f>
      </c>
    </row>
    <row r="1494" ht="16" customHeight="1" spans="1:51" x14ac:dyDescent="0.25">
      <c r="A1494" s="45"/>
      <c r="B1494" s="46"/>
      <c r="C1494" s="46"/>
      <c r="D1494" s="46" t="s">
        <v>33</v>
      </c>
      <c r="E1494" s="46">
        <v>3</v>
      </c>
      <c r="F1494" s="46">
        <v>3</v>
      </c>
      <c r="G1494" s="46">
        <v>3</v>
      </c>
      <c r="H1494" s="46">
        <v>3</v>
      </c>
      <c r="I1494" s="46"/>
      <c r="J1494" s="46">
        <v>3</v>
      </c>
      <c r="K1494" s="46">
        <v>3</v>
      </c>
      <c r="L1494" s="46">
        <v>3</v>
      </c>
      <c r="M1494" s="46">
        <v>3</v>
      </c>
      <c r="N1494" s="46">
        <v>3</v>
      </c>
      <c r="O1494" s="46">
        <v>3</v>
      </c>
      <c r="P1494" s="46"/>
      <c r="Q1494" s="46">
        <v>3</v>
      </c>
      <c r="R1494" s="46">
        <v>3</v>
      </c>
      <c r="S1494" s="46">
        <v>3</v>
      </c>
      <c r="T1494" s="46">
        <v>3</v>
      </c>
      <c r="U1494" s="46">
        <v>3</v>
      </c>
      <c r="V1494" s="46">
        <v>3</v>
      </c>
      <c r="W1494" s="46">
        <v>3</v>
      </c>
      <c r="X1494" s="46">
        <v>3</v>
      </c>
      <c r="Y1494" s="46">
        <v>3</v>
      </c>
      <c r="Z1494" s="46">
        <v>3</v>
      </c>
      <c r="AA1494" s="46">
        <v>3</v>
      </c>
      <c r="AB1494" s="46"/>
      <c r="AC1494" s="46">
        <v>3</v>
      </c>
      <c r="AD1494" s="46">
        <v>3</v>
      </c>
      <c r="AE1494" s="46">
        <v>3</v>
      </c>
      <c r="AF1494" s="46"/>
      <c r="AG1494" s="46">
        <v>3</v>
      </c>
      <c r="AH1494" s="46">
        <v>3</v>
      </c>
      <c r="AI1494" s="46">
        <v>3</v>
      </c>
      <c r="AJ1494" s="46"/>
      <c r="AK1494" s="46"/>
      <c r="AL1494" s="46"/>
      <c r="AM1494" s="1"/>
      <c r="AN1494" s="1"/>
      <c r="AO1494" s="1"/>
      <c r="AP1494" s="1"/>
      <c r="AQ1494" s="1"/>
      <c r="AR1494" s="1"/>
      <c r="AS1494" s="1"/>
      <c r="AT1494" s="1"/>
      <c r="AU1494" s="1"/>
      <c r="AV1494" s="1"/>
      <c r="AW1494" s="1"/>
      <c r="AX1494" s="1"/>
      <c r="AY1494" s="1"/>
    </row>
    <row r="1495" ht="16" customHeight="1" spans="1:51" x14ac:dyDescent="0.25">
      <c r="A1495" s="45"/>
      <c r="B1495" s="46" t="s">
        <v>1547</v>
      </c>
      <c r="C1495" s="46" t="s">
        <v>1548</v>
      </c>
      <c r="D1495" s="46" t="s">
        <v>29</v>
      </c>
      <c r="E1495" s="46" t="s">
        <v>36</v>
      </c>
      <c r="F1495" s="46" t="s">
        <v>36</v>
      </c>
      <c r="G1495" s="46" t="s">
        <v>36</v>
      </c>
      <c r="H1495" s="46" t="s">
        <v>36</v>
      </c>
      <c r="I1495" s="46" t="s">
        <v>36</v>
      </c>
      <c r="J1495" s="46" t="s">
        <v>36</v>
      </c>
      <c r="K1495" s="46" t="s">
        <v>37</v>
      </c>
      <c r="L1495" s="46" t="s">
        <v>36</v>
      </c>
      <c r="M1495" s="46" t="s">
        <v>36</v>
      </c>
      <c r="N1495" s="46" t="s">
        <v>36</v>
      </c>
      <c r="O1495" s="46" t="s">
        <v>36</v>
      </c>
      <c r="P1495" s="46" t="s">
        <v>37</v>
      </c>
      <c r="Q1495" s="46" t="s">
        <v>36</v>
      </c>
      <c r="R1495" s="46" t="s">
        <v>36</v>
      </c>
      <c r="S1495" s="46" t="s">
        <v>36</v>
      </c>
      <c r="T1495" s="46" t="s">
        <v>36</v>
      </c>
      <c r="U1495" s="46" t="s">
        <v>36</v>
      </c>
      <c r="V1495" s="46" t="s">
        <v>36</v>
      </c>
      <c r="W1495" s="46" t="s">
        <v>36</v>
      </c>
      <c r="X1495" s="46" t="s">
        <v>36</v>
      </c>
      <c r="Y1495" s="46" t="s">
        <v>37</v>
      </c>
      <c r="Z1495" s="46" t="s">
        <v>36</v>
      </c>
      <c r="AA1495" s="46" t="s">
        <v>36</v>
      </c>
      <c r="AB1495" s="46" t="s">
        <v>36</v>
      </c>
      <c r="AC1495" s="46" t="s">
        <v>36</v>
      </c>
      <c r="AD1495" s="46" t="s">
        <v>36</v>
      </c>
      <c r="AE1495" s="46" t="s">
        <v>36</v>
      </c>
      <c r="AF1495" s="46" t="s">
        <v>37</v>
      </c>
      <c r="AG1495" s="46" t="s">
        <v>36</v>
      </c>
      <c r="AH1495" s="46" t="s">
        <v>43</v>
      </c>
      <c r="AI1495" s="46" t="s">
        <v>36</v>
      </c>
      <c r="AJ1495" s="46">
        <f>=SUM(E1496:AI1496)</f>
      </c>
      <c r="AK1495" s="46">
        <f>=+AY1495</f>
      </c>
      <c r="AL1495" s="46"/>
      <c r="AM1495" s="1"/>
      <c r="AN1495" s="1">
        <f>=COUNTIF(E1495:AI1495,"A")+COUNTIF(E1495:AI1495,"B")+COUNTIF(E1495:AI1495,"C")+COUNTIF(E1495:AI1495,"D")+COUNTIF(E1495:AI1495,"E")+COUNTIF(E1495:AI1495,"F")+COUNTIF(E1495:AI1495,"M")+COUNTIF(E1495:AI1495,"AB")+COUNTIF(E1495:AI1495,"UZ")+COUNTIF(E1495:AI1495,"G")+(COUNTIF(E1495:AI1495,"RT.")/2)+(COUNTIF(E1495:AI1495,"ÇRT.")/2)</f>
      </c>
      <c r="AO1495" s="1">
        <f>=COUNTIF(E1495:AI1495,"O")</f>
      </c>
      <c r="AP1495" s="1">
        <f>=COUNTIF(E1495:AI1495,"RT")+(COUNTIF(E1495:AI1495,"RT.")/2)</f>
      </c>
      <c r="AQ1495" s="1">
        <f>=COUNTIF(E1495:AI1495,"ÇRT")+(COUNTIF(E1495:AI1495,"ÇRT.")/2)</f>
      </c>
      <c r="AR1495" s="1">
        <f>=COUNTIF(E1495:AI1495,"ÇHT")</f>
      </c>
      <c r="AS1495" s="1">
        <f>=COUNTIF(E1495:AI1495,"Ö")+COUNTIF(E1495:AI1495,"T")</f>
      </c>
      <c r="AT1495" s="1">
        <f>=COUNTIF(E1495:AI1495,"Y")</f>
      </c>
      <c r="AU1495" s="1">
        <f>=COUNTIF(E1495:AI1495,"R.")</f>
      </c>
      <c r="AV1495" s="1">
        <f>=COUNTIF(E1495:AI1495,"Ü")</f>
      </c>
      <c r="AW1495" s="1">
        <f>=COUNTIF(E1495:AI1495,"R")</f>
      </c>
      <c r="AX1495" s="1">
        <f>=COUNTIF(E1495:AI1495,"DV")</f>
      </c>
      <c r="AY1495" s="1">
        <f>=+AN1495+AO1495+AP1495+AQ1495+AR1495+AS1495+AT1495+AU1495</f>
      </c>
    </row>
    <row r="1496" ht="16" customHeight="1" spans="1:51" x14ac:dyDescent="0.25">
      <c r="A1496" s="45"/>
      <c r="B1496" s="46"/>
      <c r="C1496" s="46"/>
      <c r="D1496" s="46" t="s">
        <v>33</v>
      </c>
      <c r="E1496" s="46"/>
      <c r="F1496" s="46"/>
      <c r="G1496" s="46">
        <v>3</v>
      </c>
      <c r="H1496" s="46">
        <v>3</v>
      </c>
      <c r="I1496" s="46">
        <v>3</v>
      </c>
      <c r="J1496" s="46">
        <v>3</v>
      </c>
      <c r="K1496" s="46"/>
      <c r="L1496" s="46">
        <v>3</v>
      </c>
      <c r="M1496" s="46">
        <v>3</v>
      </c>
      <c r="N1496" s="46">
        <v>3</v>
      </c>
      <c r="O1496" s="46">
        <v>3</v>
      </c>
      <c r="P1496" s="46"/>
      <c r="Q1496" s="46">
        <v>3</v>
      </c>
      <c r="R1496" s="46">
        <v>3</v>
      </c>
      <c r="S1496" s="46">
        <v>3</v>
      </c>
      <c r="T1496" s="46">
        <v>3</v>
      </c>
      <c r="U1496" s="46">
        <v>3</v>
      </c>
      <c r="V1496" s="46">
        <v>3</v>
      </c>
      <c r="W1496" s="46">
        <v>3</v>
      </c>
      <c r="X1496" s="46">
        <v>3</v>
      </c>
      <c r="Y1496" s="46"/>
      <c r="Z1496" s="46">
        <v>3</v>
      </c>
      <c r="AA1496" s="46">
        <v>3</v>
      </c>
      <c r="AB1496" s="46">
        <v>3</v>
      </c>
      <c r="AC1496" s="46">
        <v>3</v>
      </c>
      <c r="AD1496" s="46">
        <v>3</v>
      </c>
      <c r="AE1496" s="46">
        <v>3</v>
      </c>
      <c r="AF1496" s="46"/>
      <c r="AG1496" s="46">
        <v>3</v>
      </c>
      <c r="AH1496" s="46">
        <v>3</v>
      </c>
      <c r="AI1496" s="46">
        <v>3</v>
      </c>
      <c r="AJ1496" s="46"/>
      <c r="AK1496" s="46"/>
      <c r="AL1496" s="46"/>
      <c r="AM1496" s="1"/>
      <c r="AN1496" s="1"/>
      <c r="AO1496" s="1"/>
      <c r="AP1496" s="1"/>
      <c r="AQ1496" s="1"/>
      <c r="AR1496" s="1"/>
      <c r="AS1496" s="1"/>
      <c r="AT1496" s="1"/>
      <c r="AU1496" s="1"/>
      <c r="AV1496" s="1"/>
      <c r="AW1496" s="1"/>
      <c r="AX1496" s="1"/>
      <c r="AY1496" s="1"/>
    </row>
    <row r="1497" ht="16" customHeight="1" spans="1:51" x14ac:dyDescent="0.25">
      <c r="A1497" s="45"/>
      <c r="B1497" s="46" t="s">
        <v>1549</v>
      </c>
      <c r="C1497" s="46" t="s">
        <v>1550</v>
      </c>
      <c r="D1497" s="46" t="s">
        <v>29</v>
      </c>
      <c r="E1497" s="46" t="s">
        <v>36</v>
      </c>
      <c r="F1497" s="46" t="s">
        <v>37</v>
      </c>
      <c r="G1497" s="46" t="s">
        <v>36</v>
      </c>
      <c r="H1497" s="46" t="s">
        <v>36</v>
      </c>
      <c r="I1497" s="46" t="s">
        <v>36</v>
      </c>
      <c r="J1497" s="46" t="s">
        <v>36</v>
      </c>
      <c r="K1497" s="46" t="s">
        <v>36</v>
      </c>
      <c r="L1497" s="46" t="s">
        <v>36</v>
      </c>
      <c r="M1497" s="46" t="s">
        <v>37</v>
      </c>
      <c r="N1497" s="46" t="s">
        <v>36</v>
      </c>
      <c r="O1497" s="46" t="s">
        <v>36</v>
      </c>
      <c r="P1497" s="46" t="s">
        <v>36</v>
      </c>
      <c r="Q1497" s="46" t="s">
        <v>36</v>
      </c>
      <c r="R1497" s="46" t="s">
        <v>36</v>
      </c>
      <c r="S1497" s="46" t="s">
        <v>36</v>
      </c>
      <c r="T1497" s="46" t="s">
        <v>37</v>
      </c>
      <c r="U1497" s="46" t="s">
        <v>36</v>
      </c>
      <c r="V1497" s="46" t="s">
        <v>36</v>
      </c>
      <c r="W1497" s="46" t="s">
        <v>36</v>
      </c>
      <c r="X1497" s="46" t="s">
        <v>36</v>
      </c>
      <c r="Y1497" s="46" t="s">
        <v>36</v>
      </c>
      <c r="Z1497" s="46" t="s">
        <v>36</v>
      </c>
      <c r="AA1497" s="46" t="s">
        <v>37</v>
      </c>
      <c r="AB1497" s="46" t="s">
        <v>36</v>
      </c>
      <c r="AC1497" s="46" t="s">
        <v>36</v>
      </c>
      <c r="AD1497" s="46" t="s">
        <v>36</v>
      </c>
      <c r="AE1497" s="46" t="s">
        <v>36</v>
      </c>
      <c r="AF1497" s="46" t="s">
        <v>36</v>
      </c>
      <c r="AG1497" s="46" t="s">
        <v>36</v>
      </c>
      <c r="AH1497" s="46" t="s">
        <v>37</v>
      </c>
      <c r="AI1497" s="46" t="s">
        <v>36</v>
      </c>
      <c r="AJ1497" s="46">
        <f>=SUM(E1498:AI1498)</f>
      </c>
      <c r="AK1497" s="46">
        <f>=+AY1497</f>
      </c>
      <c r="AL1497" s="46"/>
      <c r="AM1497" s="1"/>
      <c r="AN1497" s="1">
        <f>=COUNTIF(E1497:AI1497,"A")+COUNTIF(E1497:AI1497,"B")+COUNTIF(E1497:AI1497,"C")+COUNTIF(E1497:AI1497,"D")+COUNTIF(E1497:AI1497,"E")+COUNTIF(E1497:AI1497,"F")+COUNTIF(E1497:AI1497,"M")+COUNTIF(E1497:AI1497,"AB")+COUNTIF(E1497:AI1497,"UZ")+COUNTIF(E1497:AI1497,"G")+(COUNTIF(E1497:AI1497,"RT.")/2)+(COUNTIF(E1497:AI1497,"ÇRT.")/2)</f>
      </c>
      <c r="AO1497" s="1">
        <f>=COUNTIF(E1497:AI1497,"O")</f>
      </c>
      <c r="AP1497" s="1">
        <f>=COUNTIF(E1497:AI1497,"RT")+(COUNTIF(E1497:AI1497,"RT.")/2)</f>
      </c>
      <c r="AQ1497" s="1">
        <f>=COUNTIF(E1497:AI1497,"ÇRT")+(COUNTIF(E1497:AI1497,"ÇRT.")/2)</f>
      </c>
      <c r="AR1497" s="1">
        <f>=COUNTIF(E1497:AI1497,"ÇHT")</f>
      </c>
      <c r="AS1497" s="1">
        <f>=COUNTIF(E1497:AI1497,"Ö")+COUNTIF(E1497:AI1497,"T")</f>
      </c>
      <c r="AT1497" s="1">
        <f>=COUNTIF(E1497:AI1497,"Y")</f>
      </c>
      <c r="AU1497" s="1">
        <f>=COUNTIF(E1497:AI1497,"R.")</f>
      </c>
      <c r="AV1497" s="1">
        <f>=COUNTIF(E1497:AI1497,"Ü")</f>
      </c>
      <c r="AW1497" s="1">
        <f>=COUNTIF(E1497:AI1497,"R")</f>
      </c>
      <c r="AX1497" s="1">
        <f>=COUNTIF(E1497:AI1497,"DV")</f>
      </c>
      <c r="AY1497" s="1">
        <f>=+AN1497+AO1497+AP1497+AQ1497+AR1497+AS1497+AT1497+AU1497</f>
      </c>
    </row>
    <row r="1498" ht="16" customHeight="1" spans="1:51" x14ac:dyDescent="0.25">
      <c r="A1498" s="45"/>
      <c r="B1498" s="46"/>
      <c r="C1498" s="46"/>
      <c r="D1498" s="46" t="s">
        <v>33</v>
      </c>
      <c r="E1498" s="46"/>
      <c r="F1498" s="46"/>
      <c r="G1498" s="46">
        <v>2</v>
      </c>
      <c r="H1498" s="46"/>
      <c r="I1498" s="46">
        <v>2</v>
      </c>
      <c r="J1498" s="46"/>
      <c r="K1498" s="46">
        <v>2</v>
      </c>
      <c r="L1498" s="46"/>
      <c r="M1498" s="46"/>
      <c r="N1498" s="46"/>
      <c r="O1498" s="46"/>
      <c r="P1498" s="46">
        <v>2</v>
      </c>
      <c r="Q1498" s="46"/>
      <c r="R1498" s="46">
        <v>2</v>
      </c>
      <c r="S1498" s="46"/>
      <c r="T1498" s="46"/>
      <c r="U1498" s="46"/>
      <c r="V1498" s="46">
        <v>2</v>
      </c>
      <c r="W1498" s="46">
        <v>2</v>
      </c>
      <c r="X1498" s="46"/>
      <c r="Y1498" s="46">
        <v>2</v>
      </c>
      <c r="Z1498" s="46"/>
      <c r="AA1498" s="46"/>
      <c r="AB1498" s="46"/>
      <c r="AC1498" s="46">
        <v>2</v>
      </c>
      <c r="AD1498" s="46">
        <v>2</v>
      </c>
      <c r="AE1498" s="46"/>
      <c r="AF1498" s="46">
        <v>2</v>
      </c>
      <c r="AG1498" s="46"/>
      <c r="AH1498" s="46"/>
      <c r="AI1498" s="46">
        <v>2</v>
      </c>
      <c r="AJ1498" s="46"/>
      <c r="AK1498" s="46"/>
      <c r="AL1498" s="46"/>
      <c r="AM1498" s="1"/>
      <c r="AN1498" s="1"/>
      <c r="AO1498" s="1"/>
      <c r="AP1498" s="1"/>
      <c r="AQ1498" s="1"/>
      <c r="AR1498" s="1"/>
      <c r="AS1498" s="1"/>
      <c r="AT1498" s="1"/>
      <c r="AU1498" s="1"/>
      <c r="AV1498" s="1"/>
      <c r="AW1498" s="1"/>
      <c r="AX1498" s="1"/>
      <c r="AY1498" s="1"/>
    </row>
    <row r="1499" ht="16" customHeight="1" spans="1:51" x14ac:dyDescent="0.25">
      <c r="A1499" s="45"/>
      <c r="B1499" s="46" t="s">
        <v>1551</v>
      </c>
      <c r="C1499" s="46" t="s">
        <v>1552</v>
      </c>
      <c r="D1499" s="46" t="s">
        <v>29</v>
      </c>
      <c r="E1499" s="46" t="s">
        <v>1348</v>
      </c>
      <c r="F1499" s="46" t="s">
        <v>1348</v>
      </c>
      <c r="G1499" s="46" t="s">
        <v>1348</v>
      </c>
      <c r="H1499" s="46" t="s">
        <v>1348</v>
      </c>
      <c r="I1499" s="46" t="s">
        <v>1348</v>
      </c>
      <c r="J1499" s="46" t="s">
        <v>37</v>
      </c>
      <c r="K1499" s="46" t="s">
        <v>1348</v>
      </c>
      <c r="L1499" s="46" t="s">
        <v>1348</v>
      </c>
      <c r="M1499" s="46" t="s">
        <v>1348</v>
      </c>
      <c r="N1499" s="46" t="s">
        <v>1348</v>
      </c>
      <c r="O1499" s="46" t="s">
        <v>1348</v>
      </c>
      <c r="P1499" s="46" t="s">
        <v>1348</v>
      </c>
      <c r="Q1499" s="46" t="s">
        <v>37</v>
      </c>
      <c r="R1499" s="46" t="s">
        <v>1348</v>
      </c>
      <c r="S1499" s="46" t="s">
        <v>1348</v>
      </c>
      <c r="T1499" s="46" t="s">
        <v>1348</v>
      </c>
      <c r="U1499" s="46" t="s">
        <v>1348</v>
      </c>
      <c r="V1499" s="46" t="s">
        <v>1348</v>
      </c>
      <c r="W1499" s="46" t="s">
        <v>1348</v>
      </c>
      <c r="X1499" s="46" t="s">
        <v>37</v>
      </c>
      <c r="Y1499" s="46" t="s">
        <v>1348</v>
      </c>
      <c r="Z1499" s="46" t="s">
        <v>1348</v>
      </c>
      <c r="AA1499" s="46" t="s">
        <v>1348</v>
      </c>
      <c r="AB1499" s="46" t="s">
        <v>1348</v>
      </c>
      <c r="AC1499" s="46" t="s">
        <v>1348</v>
      </c>
      <c r="AD1499" s="46" t="s">
        <v>1348</v>
      </c>
      <c r="AE1499" s="46" t="s">
        <v>1348</v>
      </c>
      <c r="AF1499" s="46" t="s">
        <v>37</v>
      </c>
      <c r="AG1499" s="46" t="s">
        <v>1348</v>
      </c>
      <c r="AH1499" s="46" t="s">
        <v>43</v>
      </c>
      <c r="AI1499" s="46" t="s">
        <v>1348</v>
      </c>
      <c r="AJ1499" s="46">
        <f>=SUM(E1500:AI1500)</f>
      </c>
      <c r="AK1499" s="46">
        <f>=+AY1499</f>
      </c>
      <c r="AL1499" s="46"/>
      <c r="AM1499" s="1"/>
      <c r="AN1499" s="1">
        <f>=COUNTIF(E1499:AI1499,"A")+COUNTIF(E1499:AI1499,"B")+COUNTIF(E1499:AI1499,"C")+COUNTIF(E1499:AI1499,"D")+COUNTIF(E1499:AI1499,"E")+COUNTIF(E1499:AI1499,"F")+COUNTIF(E1499:AI1499,"M")+COUNTIF(E1499:AI1499,"AB")+COUNTIF(E1499:AI1499,"UZ")+COUNTIF(E1499:AI1499,"G")+(COUNTIF(E1499:AI1499,"RT.")/2)+(COUNTIF(E1499:AI1499,"ÇRT.")/2)</f>
      </c>
      <c r="AO1499" s="1">
        <f>=COUNTIF(E1499:AI1499,"O")</f>
      </c>
      <c r="AP1499" s="1">
        <f>=COUNTIF(E1499:AI1499,"RT")+(COUNTIF(E1499:AI1499,"RT.")/2)</f>
      </c>
      <c r="AQ1499" s="1">
        <f>=COUNTIF(E1499:AI1499,"ÇRT")+(COUNTIF(E1499:AI1499,"ÇRT.")/2)</f>
      </c>
      <c r="AR1499" s="1">
        <f>=COUNTIF(E1499:AI1499,"ÇHT")</f>
      </c>
      <c r="AS1499" s="1">
        <f>=COUNTIF(E1499:AI1499,"Ö")+COUNTIF(E1499:AI1499,"T")</f>
      </c>
      <c r="AT1499" s="1">
        <f>=COUNTIF(E1499:AI1499,"Y")</f>
      </c>
      <c r="AU1499" s="1">
        <f>=COUNTIF(E1499:AI1499,"R.")</f>
      </c>
      <c r="AV1499" s="1">
        <f>=COUNTIF(E1499:AI1499,"Ü")</f>
      </c>
      <c r="AW1499" s="1">
        <f>=COUNTIF(E1499:AI1499,"R")</f>
      </c>
      <c r="AX1499" s="1">
        <f>=COUNTIF(E1499:AI1499,"DV")</f>
      </c>
      <c r="AY1499" s="1">
        <f>=+AN1499+AO1499+AP1499+AQ1499+AR1499+AS1499+AT1499+AU1499</f>
      </c>
    </row>
    <row r="1500" ht="16" customHeight="1" spans="1:51" x14ac:dyDescent="0.25">
      <c r="A1500" s="45"/>
      <c r="B1500" s="46"/>
      <c r="C1500" s="46"/>
      <c r="D1500" s="46" t="s">
        <v>33</v>
      </c>
      <c r="E1500" s="46">
        <v>2</v>
      </c>
      <c r="F1500" s="46">
        <v>2</v>
      </c>
      <c r="G1500" s="46"/>
      <c r="H1500" s="46"/>
      <c r="I1500" s="46"/>
      <c r="J1500" s="46"/>
      <c r="K1500" s="46"/>
      <c r="L1500" s="46"/>
      <c r="M1500" s="46">
        <v>2</v>
      </c>
      <c r="N1500" s="46"/>
      <c r="O1500" s="46"/>
      <c r="P1500" s="46"/>
      <c r="Q1500" s="46"/>
      <c r="R1500" s="46"/>
      <c r="S1500" s="46"/>
      <c r="T1500" s="46">
        <v>2</v>
      </c>
      <c r="U1500" s="46">
        <v>2</v>
      </c>
      <c r="V1500" s="46"/>
      <c r="W1500" s="46"/>
      <c r="X1500" s="46"/>
      <c r="Y1500" s="46"/>
      <c r="Z1500" s="46"/>
      <c r="AA1500" s="46"/>
      <c r="AB1500" s="46">
        <v>2</v>
      </c>
      <c r="AC1500" s="46"/>
      <c r="AD1500" s="46"/>
      <c r="AE1500" s="46"/>
      <c r="AF1500" s="46"/>
      <c r="AG1500" s="46"/>
      <c r="AH1500" s="46"/>
      <c r="AI1500" s="46"/>
      <c r="AJ1500" s="46"/>
      <c r="AK1500" s="46"/>
      <c r="AL1500" s="46"/>
      <c r="AM1500" s="1"/>
      <c r="AN1500" s="1"/>
      <c r="AO1500" s="1"/>
      <c r="AP1500" s="1"/>
      <c r="AQ1500" s="1"/>
      <c r="AR1500" s="1"/>
      <c r="AS1500" s="1"/>
      <c r="AT1500" s="1"/>
      <c r="AU1500" s="1"/>
      <c r="AV1500" s="1"/>
      <c r="AW1500" s="1"/>
      <c r="AX1500" s="1"/>
      <c r="AY1500" s="1"/>
    </row>
    <row r="1501" ht="16" customHeight="1" spans="1:51" x14ac:dyDescent="0.25">
      <c r="A1501" s="45"/>
      <c r="B1501" s="46" t="s">
        <v>1553</v>
      </c>
      <c r="C1501" s="46" t="s">
        <v>1554</v>
      </c>
      <c r="D1501" s="46" t="s">
        <v>29</v>
      </c>
      <c r="E1501" s="46" t="s">
        <v>36</v>
      </c>
      <c r="F1501" s="46" t="s">
        <v>37</v>
      </c>
      <c r="G1501" s="46" t="s">
        <v>36</v>
      </c>
      <c r="H1501" s="46" t="s">
        <v>36</v>
      </c>
      <c r="I1501" s="46" t="s">
        <v>36</v>
      </c>
      <c r="J1501" s="46" t="s">
        <v>36</v>
      </c>
      <c r="K1501" s="46" t="s">
        <v>36</v>
      </c>
      <c r="L1501" s="46" t="s">
        <v>36</v>
      </c>
      <c r="M1501" s="46" t="s">
        <v>37</v>
      </c>
      <c r="N1501" s="46" t="s">
        <v>36</v>
      </c>
      <c r="O1501" s="46" t="s">
        <v>36</v>
      </c>
      <c r="P1501" s="46" t="s">
        <v>36</v>
      </c>
      <c r="Q1501" s="46" t="s">
        <v>36</v>
      </c>
      <c r="R1501" s="46" t="s">
        <v>36</v>
      </c>
      <c r="S1501" s="46" t="s">
        <v>36</v>
      </c>
      <c r="T1501" s="46" t="s">
        <v>37</v>
      </c>
      <c r="U1501" s="46" t="s">
        <v>36</v>
      </c>
      <c r="V1501" s="46" t="s">
        <v>36</v>
      </c>
      <c r="W1501" s="46" t="s">
        <v>36</v>
      </c>
      <c r="X1501" s="46" t="s">
        <v>36</v>
      </c>
      <c r="Y1501" s="46" t="s">
        <v>36</v>
      </c>
      <c r="Z1501" s="46" t="s">
        <v>36</v>
      </c>
      <c r="AA1501" s="46" t="s">
        <v>37</v>
      </c>
      <c r="AB1501" s="46" t="s">
        <v>36</v>
      </c>
      <c r="AC1501" s="46" t="s">
        <v>36</v>
      </c>
      <c r="AD1501" s="46" t="s">
        <v>36</v>
      </c>
      <c r="AE1501" s="46" t="s">
        <v>36</v>
      </c>
      <c r="AF1501" s="46" t="s">
        <v>36</v>
      </c>
      <c r="AG1501" s="46" t="s">
        <v>36</v>
      </c>
      <c r="AH1501" s="46" t="s">
        <v>37</v>
      </c>
      <c r="AI1501" s="46" t="s">
        <v>36</v>
      </c>
      <c r="AJ1501" s="46">
        <f>=SUM(E1502:AI1502)</f>
      </c>
      <c r="AK1501" s="46">
        <f>=+AY1501</f>
      </c>
      <c r="AL1501" s="46"/>
      <c r="AM1501" s="1"/>
      <c r="AN1501" s="1">
        <f>=COUNTIF(E1501:AI1501,"A")+COUNTIF(E1501:AI1501,"B")+COUNTIF(E1501:AI1501,"C")+COUNTIF(E1501:AI1501,"D")+COUNTIF(E1501:AI1501,"E")+COUNTIF(E1501:AI1501,"F")+COUNTIF(E1501:AI1501,"M")+COUNTIF(E1501:AI1501,"AB")+COUNTIF(E1501:AI1501,"UZ")+COUNTIF(E1501:AI1501,"G")+(COUNTIF(E1501:AI1501,"RT.")/2)+(COUNTIF(E1501:AI1501,"ÇRT.")/2)</f>
      </c>
      <c r="AO1501" s="1">
        <f>=COUNTIF(E1501:AI1501,"O")</f>
      </c>
      <c r="AP1501" s="1">
        <f>=COUNTIF(E1501:AI1501,"RT")+(COUNTIF(E1501:AI1501,"RT.")/2)</f>
      </c>
      <c r="AQ1501" s="1">
        <f>=COUNTIF(E1501:AI1501,"ÇRT")+(COUNTIF(E1501:AI1501,"ÇRT.")/2)</f>
      </c>
      <c r="AR1501" s="1">
        <f>=COUNTIF(E1501:AI1501,"ÇHT")</f>
      </c>
      <c r="AS1501" s="1">
        <f>=COUNTIF(E1501:AI1501,"Ö")+COUNTIF(E1501:AI1501,"T")</f>
      </c>
      <c r="AT1501" s="1">
        <f>=COUNTIF(E1501:AI1501,"Y")</f>
      </c>
      <c r="AU1501" s="1">
        <f>=COUNTIF(E1501:AI1501,"R.")</f>
      </c>
      <c r="AV1501" s="1">
        <f>=COUNTIF(E1501:AI1501,"Ü")</f>
      </c>
      <c r="AW1501" s="1">
        <f>=COUNTIF(E1501:AI1501,"R")</f>
      </c>
      <c r="AX1501" s="1">
        <f>=COUNTIF(E1501:AI1501,"DV")</f>
      </c>
      <c r="AY1501" s="1">
        <f>=+AN1501+AO1501+AP1501+AQ1501+AR1501+AS1501+AT1501+AU1501</f>
      </c>
    </row>
    <row r="1502" ht="16" customHeight="1" spans="1:51" x14ac:dyDescent="0.25">
      <c r="A1502" s="45"/>
      <c r="B1502" s="46"/>
      <c r="C1502" s="46"/>
      <c r="D1502" s="46" t="s">
        <v>33</v>
      </c>
      <c r="E1502" s="46"/>
      <c r="F1502" s="46"/>
      <c r="G1502" s="46"/>
      <c r="H1502" s="46"/>
      <c r="I1502" s="46"/>
      <c r="J1502" s="46"/>
      <c r="K1502" s="46"/>
      <c r="L1502" s="46"/>
      <c r="M1502" s="46"/>
      <c r="N1502" s="46"/>
      <c r="O1502" s="46"/>
      <c r="P1502" s="46"/>
      <c r="Q1502" s="46"/>
      <c r="R1502" s="46"/>
      <c r="S1502" s="46"/>
      <c r="T1502" s="46"/>
      <c r="U1502" s="46"/>
      <c r="V1502" s="46"/>
      <c r="W1502" s="46"/>
      <c r="X1502" s="46"/>
      <c r="Y1502" s="46"/>
      <c r="Z1502" s="46"/>
      <c r="AA1502" s="46"/>
      <c r="AB1502" s="46"/>
      <c r="AC1502" s="46"/>
      <c r="AD1502" s="46"/>
      <c r="AE1502" s="46"/>
      <c r="AF1502" s="46"/>
      <c r="AG1502" s="46"/>
      <c r="AH1502" s="46"/>
      <c r="AI1502" s="46"/>
      <c r="AJ1502" s="46"/>
      <c r="AK1502" s="46"/>
      <c r="AL1502" s="46"/>
      <c r="AM1502" s="1"/>
      <c r="AN1502" s="1"/>
      <c r="AO1502" s="1"/>
      <c r="AP1502" s="1"/>
      <c r="AQ1502" s="1"/>
      <c r="AR1502" s="1"/>
      <c r="AS1502" s="1"/>
      <c r="AT1502" s="1"/>
      <c r="AU1502" s="1"/>
      <c r="AV1502" s="1"/>
      <c r="AW1502" s="1"/>
      <c r="AX1502" s="1"/>
      <c r="AY1502" s="1"/>
    </row>
    <row r="1503" ht="16" customHeight="1" spans="1:51" x14ac:dyDescent="0.25">
      <c r="A1503" s="45"/>
      <c r="B1503" s="46" t="s">
        <v>1555</v>
      </c>
      <c r="C1503" s="46" t="s">
        <v>1556</v>
      </c>
      <c r="D1503" s="46" t="s">
        <v>29</v>
      </c>
      <c r="E1503" s="46" t="s">
        <v>37</v>
      </c>
      <c r="F1503" s="46" t="s">
        <v>41</v>
      </c>
      <c r="G1503" s="46" t="s">
        <v>41</v>
      </c>
      <c r="H1503" s="46" t="s">
        <v>41</v>
      </c>
      <c r="I1503" s="46" t="s">
        <v>41</v>
      </c>
      <c r="J1503" s="46" t="s">
        <v>41</v>
      </c>
      <c r="K1503" s="46" t="s">
        <v>41</v>
      </c>
      <c r="L1503" s="46" t="s">
        <v>37</v>
      </c>
      <c r="M1503" s="46" t="s">
        <v>41</v>
      </c>
      <c r="N1503" s="46" t="s">
        <v>41</v>
      </c>
      <c r="O1503" s="46" t="s">
        <v>41</v>
      </c>
      <c r="P1503" s="46" t="s">
        <v>41</v>
      </c>
      <c r="Q1503" s="46" t="s">
        <v>41</v>
      </c>
      <c r="R1503" s="46" t="s">
        <v>41</v>
      </c>
      <c r="S1503" s="46" t="s">
        <v>37</v>
      </c>
      <c r="T1503" s="46" t="s">
        <v>41</v>
      </c>
      <c r="U1503" s="46" t="s">
        <v>41</v>
      </c>
      <c r="V1503" s="46" t="s">
        <v>41</v>
      </c>
      <c r="W1503" s="46" t="s">
        <v>41</v>
      </c>
      <c r="X1503" s="46" t="s">
        <v>41</v>
      </c>
      <c r="Y1503" s="46" t="s">
        <v>41</v>
      </c>
      <c r="Z1503" s="46" t="s">
        <v>37</v>
      </c>
      <c r="AA1503" s="46" t="s">
        <v>41</v>
      </c>
      <c r="AB1503" s="46" t="s">
        <v>41</v>
      </c>
      <c r="AC1503" s="46" t="s">
        <v>41</v>
      </c>
      <c r="AD1503" s="46" t="s">
        <v>41</v>
      </c>
      <c r="AE1503" s="46" t="s">
        <v>41</v>
      </c>
      <c r="AF1503" s="46" t="s">
        <v>41</v>
      </c>
      <c r="AG1503" s="46" t="s">
        <v>37</v>
      </c>
      <c r="AH1503" s="46" t="s">
        <v>43</v>
      </c>
      <c r="AI1503" s="46" t="s">
        <v>41</v>
      </c>
      <c r="AJ1503" s="46">
        <f>=SUM(E1504:AI1504)</f>
      </c>
      <c r="AK1503" s="46">
        <f>=+AY1503</f>
      </c>
      <c r="AL1503" s="46"/>
      <c r="AM1503" s="1"/>
      <c r="AN1503" s="1">
        <f>=COUNTIF(E1503:AI1503,"A")+COUNTIF(E1503:AI1503,"B")+COUNTIF(E1503:AI1503,"C")+COUNTIF(E1503:AI1503,"D")+COUNTIF(E1503:AI1503,"E")+COUNTIF(E1503:AI1503,"F")+COUNTIF(E1503:AI1503,"M")+COUNTIF(E1503:AI1503,"AB")+COUNTIF(E1503:AI1503,"UZ")+COUNTIF(E1503:AI1503,"G")+(COUNTIF(E1503:AI1503,"RT.")/2)+(COUNTIF(E1503:AI1503,"ÇRT.")/2)</f>
      </c>
      <c r="AO1503" s="1">
        <f>=COUNTIF(E1503:AI1503,"O")</f>
      </c>
      <c r="AP1503" s="1">
        <f>=COUNTIF(E1503:AI1503,"RT")+(COUNTIF(E1503:AI1503,"RT.")/2)</f>
      </c>
      <c r="AQ1503" s="1">
        <f>=COUNTIF(E1503:AI1503,"ÇRT")+(COUNTIF(E1503:AI1503,"ÇRT.")/2)</f>
      </c>
      <c r="AR1503" s="1">
        <f>=COUNTIF(E1503:AI1503,"ÇHT")</f>
      </c>
      <c r="AS1503" s="1">
        <f>=COUNTIF(E1503:AI1503,"Ö")+COUNTIF(E1503:AI1503,"T")</f>
      </c>
      <c r="AT1503" s="1">
        <f>=COUNTIF(E1503:AI1503,"Y")</f>
      </c>
      <c r="AU1503" s="1">
        <f>=COUNTIF(E1503:AI1503,"R.")</f>
      </c>
      <c r="AV1503" s="1">
        <f>=COUNTIF(E1503:AI1503,"Ü")</f>
      </c>
      <c r="AW1503" s="1">
        <f>=COUNTIF(E1503:AI1503,"R")</f>
      </c>
      <c r="AX1503" s="1">
        <f>=COUNTIF(E1503:AI1503,"DV")</f>
      </c>
      <c r="AY1503" s="1">
        <f>=+AN1503+AO1503+AP1503+AQ1503+AR1503+AS1503+AT1503+AU1503</f>
      </c>
    </row>
    <row r="1504" ht="16" customHeight="1" spans="1:51" x14ac:dyDescent="0.25">
      <c r="A1504" s="45"/>
      <c r="B1504" s="46"/>
      <c r="C1504" s="46"/>
      <c r="D1504" s="46" t="s">
        <v>33</v>
      </c>
      <c r="E1504" s="46"/>
      <c r="F1504" s="46">
        <v>2</v>
      </c>
      <c r="G1504" s="46">
        <v>2</v>
      </c>
      <c r="H1504" s="46">
        <v>2</v>
      </c>
      <c r="I1504" s="46">
        <v>2</v>
      </c>
      <c r="J1504" s="46">
        <v>2</v>
      </c>
      <c r="K1504" s="46">
        <v>2</v>
      </c>
      <c r="L1504" s="46"/>
      <c r="M1504" s="46">
        <v>2</v>
      </c>
      <c r="N1504" s="46">
        <v>2</v>
      </c>
      <c r="O1504" s="46">
        <v>2</v>
      </c>
      <c r="P1504" s="46">
        <v>2</v>
      </c>
      <c r="Q1504" s="46">
        <v>2</v>
      </c>
      <c r="R1504" s="46">
        <v>2</v>
      </c>
      <c r="S1504" s="46"/>
      <c r="T1504" s="46">
        <v>2</v>
      </c>
      <c r="U1504" s="46">
        <v>2</v>
      </c>
      <c r="V1504" s="46">
        <v>2</v>
      </c>
      <c r="W1504" s="46">
        <v>2</v>
      </c>
      <c r="X1504" s="46">
        <v>2</v>
      </c>
      <c r="Y1504" s="46">
        <v>2</v>
      </c>
      <c r="Z1504" s="46"/>
      <c r="AA1504" s="46">
        <v>2</v>
      </c>
      <c r="AB1504" s="46">
        <v>2</v>
      </c>
      <c r="AC1504" s="46">
        <v>2</v>
      </c>
      <c r="AD1504" s="46">
        <v>2</v>
      </c>
      <c r="AE1504" s="46">
        <v>2</v>
      </c>
      <c r="AF1504" s="46">
        <v>2</v>
      </c>
      <c r="AG1504" s="46"/>
      <c r="AH1504" s="46">
        <v>2</v>
      </c>
      <c r="AI1504" s="46">
        <v>2</v>
      </c>
      <c r="AJ1504" s="46"/>
      <c r="AK1504" s="46"/>
      <c r="AL1504" s="46"/>
      <c r="AM1504" s="1"/>
      <c r="AN1504" s="1"/>
      <c r="AO1504" s="1"/>
      <c r="AP1504" s="1"/>
      <c r="AQ1504" s="1"/>
      <c r="AR1504" s="1"/>
      <c r="AS1504" s="1"/>
      <c r="AT1504" s="1"/>
      <c r="AU1504" s="1"/>
      <c r="AV1504" s="1"/>
      <c r="AW1504" s="1"/>
      <c r="AX1504" s="1"/>
      <c r="AY1504" s="1"/>
    </row>
    <row r="1505" ht="16" customHeight="1" spans="1:51" x14ac:dyDescent="0.25">
      <c r="A1505" s="45"/>
      <c r="B1505" s="46" t="s">
        <v>1557</v>
      </c>
      <c r="C1505" s="46" t="s">
        <v>1558</v>
      </c>
      <c r="D1505" s="46" t="s">
        <v>29</v>
      </c>
      <c r="E1505" s="46"/>
      <c r="F1505" s="46"/>
      <c r="G1505" s="46"/>
      <c r="H1505" s="46"/>
      <c r="I1505" s="46"/>
      <c r="J1505" s="46"/>
      <c r="K1505" s="46"/>
      <c r="L1505" s="46"/>
      <c r="M1505" s="46"/>
      <c r="N1505" s="46"/>
      <c r="O1505" s="46"/>
      <c r="P1505" s="46"/>
      <c r="Q1505" s="46"/>
      <c r="R1505" s="46"/>
      <c r="S1505" s="46"/>
      <c r="T1505" s="46"/>
      <c r="U1505" s="46"/>
      <c r="V1505" s="46"/>
      <c r="W1505" s="46"/>
      <c r="X1505" s="46"/>
      <c r="Y1505" s="46"/>
      <c r="Z1505" s="46"/>
      <c r="AA1505" s="46"/>
      <c r="AB1505" s="46"/>
      <c r="AC1505" s="46"/>
      <c r="AD1505" s="46"/>
      <c r="AE1505" s="46"/>
      <c r="AF1505" s="46"/>
      <c r="AG1505" s="46"/>
      <c r="AH1505" s="46"/>
      <c r="AI1505" s="46"/>
      <c r="AJ1505" s="46">
        <f>=SUM(E1506:AI1506)</f>
      </c>
      <c r="AK1505" s="46">
        <f>=+AY1505</f>
      </c>
      <c r="AL1505" s="46"/>
      <c r="AM1505" s="1"/>
      <c r="AN1505" s="1">
        <f>=COUNTIF(E1505:AI1505,"A")+COUNTIF(E1505:AI1505,"B")+COUNTIF(E1505:AI1505,"C")+COUNTIF(E1505:AI1505,"D")+COUNTIF(E1505:AI1505,"E")+COUNTIF(E1505:AI1505,"F")+COUNTIF(E1505:AI1505,"M")+COUNTIF(E1505:AI1505,"AB")+COUNTIF(E1505:AI1505,"UZ")+COUNTIF(E1505:AI1505,"G")+(COUNTIF(E1505:AI1505,"RT.")/2)+(COUNTIF(E1505:AI1505,"ÇRT.")/2)</f>
      </c>
      <c r="AO1505" s="1">
        <f>=COUNTIF(E1505:AI1505,"O")</f>
      </c>
      <c r="AP1505" s="1">
        <f>=COUNTIF(E1505:AI1505,"RT")+(COUNTIF(E1505:AI1505,"RT.")/2)</f>
      </c>
      <c r="AQ1505" s="1">
        <f>=COUNTIF(E1505:AI1505,"ÇRT")+(COUNTIF(E1505:AI1505,"ÇRT.")/2)</f>
      </c>
      <c r="AR1505" s="1">
        <f>=COUNTIF(E1505:AI1505,"ÇHT")</f>
      </c>
      <c r="AS1505" s="1">
        <f>=COUNTIF(E1505:AI1505,"Ö")+COUNTIF(E1505:AI1505,"T")</f>
      </c>
      <c r="AT1505" s="1">
        <f>=COUNTIF(E1505:AI1505,"Y")</f>
      </c>
      <c r="AU1505" s="1">
        <f>=COUNTIF(E1505:AI1505,"R.")</f>
      </c>
      <c r="AV1505" s="1">
        <f>=COUNTIF(E1505:AI1505,"Ü")</f>
      </c>
      <c r="AW1505" s="1">
        <f>=COUNTIF(E1505:AI1505,"R")</f>
      </c>
      <c r="AX1505" s="1">
        <f>=COUNTIF(E1505:AI1505,"DV")</f>
      </c>
      <c r="AY1505" s="1">
        <f>=+AN1505+AO1505+AP1505+AQ1505+AR1505+AS1505+AT1505+AU1505</f>
      </c>
    </row>
    <row r="1506" ht="16" customHeight="1" spans="1:51" x14ac:dyDescent="0.25">
      <c r="A1506" s="45"/>
      <c r="B1506" s="46"/>
      <c r="C1506" s="46"/>
      <c r="D1506" s="46" t="s">
        <v>33</v>
      </c>
      <c r="E1506" s="46"/>
      <c r="F1506" s="46"/>
      <c r="G1506" s="46"/>
      <c r="H1506" s="46"/>
      <c r="I1506" s="46"/>
      <c r="J1506" s="46"/>
      <c r="K1506" s="46"/>
      <c r="L1506" s="46"/>
      <c r="M1506" s="46"/>
      <c r="N1506" s="46"/>
      <c r="O1506" s="46"/>
      <c r="P1506" s="46"/>
      <c r="Q1506" s="46"/>
      <c r="R1506" s="46"/>
      <c r="S1506" s="46"/>
      <c r="T1506" s="46"/>
      <c r="U1506" s="46"/>
      <c r="V1506" s="46"/>
      <c r="W1506" s="46"/>
      <c r="X1506" s="46"/>
      <c r="Y1506" s="46"/>
      <c r="Z1506" s="46"/>
      <c r="AA1506" s="46"/>
      <c r="AB1506" s="46"/>
      <c r="AC1506" s="46"/>
      <c r="AD1506" s="46"/>
      <c r="AE1506" s="46"/>
      <c r="AF1506" s="46"/>
      <c r="AG1506" s="46"/>
      <c r="AH1506" s="46"/>
      <c r="AI1506" s="46"/>
      <c r="AJ1506" s="46"/>
      <c r="AK1506" s="46"/>
      <c r="AL1506" s="46"/>
      <c r="AM1506" s="1"/>
      <c r="AN1506" s="1"/>
      <c r="AO1506" s="1"/>
      <c r="AP1506" s="1"/>
      <c r="AQ1506" s="1"/>
      <c r="AR1506" s="1"/>
      <c r="AS1506" s="1"/>
      <c r="AT1506" s="1"/>
      <c r="AU1506" s="1"/>
      <c r="AV1506" s="1"/>
      <c r="AW1506" s="1"/>
      <c r="AX1506" s="1"/>
      <c r="AY1506" s="1"/>
    </row>
    <row r="1507" ht="16" customHeight="1" spans="1:51" x14ac:dyDescent="0.25">
      <c r="A1507" s="45"/>
      <c r="B1507" s="46" t="s">
        <v>1559</v>
      </c>
      <c r="C1507" s="46" t="s">
        <v>1560</v>
      </c>
      <c r="D1507" s="46" t="s">
        <v>29</v>
      </c>
      <c r="E1507" s="46" t="s">
        <v>299</v>
      </c>
      <c r="F1507" s="46" t="s">
        <v>299</v>
      </c>
      <c r="G1507" s="46" t="s">
        <v>37</v>
      </c>
      <c r="H1507" s="46" t="s">
        <v>299</v>
      </c>
      <c r="I1507" s="46" t="s">
        <v>299</v>
      </c>
      <c r="J1507" s="46" t="s">
        <v>299</v>
      </c>
      <c r="K1507" s="46" t="s">
        <v>299</v>
      </c>
      <c r="L1507" s="46" t="s">
        <v>299</v>
      </c>
      <c r="M1507" s="46" t="s">
        <v>299</v>
      </c>
      <c r="N1507" s="46" t="s">
        <v>37</v>
      </c>
      <c r="O1507" s="46" t="s">
        <v>299</v>
      </c>
      <c r="P1507" s="46" t="s">
        <v>299</v>
      </c>
      <c r="Q1507" s="46" t="s">
        <v>299</v>
      </c>
      <c r="R1507" s="46" t="s">
        <v>299</v>
      </c>
      <c r="S1507" s="46" t="s">
        <v>299</v>
      </c>
      <c r="T1507" s="46" t="s">
        <v>299</v>
      </c>
      <c r="U1507" s="46" t="s">
        <v>37</v>
      </c>
      <c r="V1507" s="46" t="s">
        <v>299</v>
      </c>
      <c r="W1507" s="46" t="s">
        <v>299</v>
      </c>
      <c r="X1507" s="46" t="s">
        <v>299</v>
      </c>
      <c r="Y1507" s="46" t="s">
        <v>299</v>
      </c>
      <c r="Z1507" s="46" t="s">
        <v>299</v>
      </c>
      <c r="AA1507" s="46" t="s">
        <v>299</v>
      </c>
      <c r="AB1507" s="46" t="s">
        <v>37</v>
      </c>
      <c r="AC1507" s="46" t="s">
        <v>299</v>
      </c>
      <c r="AD1507" s="46" t="s">
        <v>299</v>
      </c>
      <c r="AE1507" s="46" t="s">
        <v>299</v>
      </c>
      <c r="AF1507" s="46" t="s">
        <v>299</v>
      </c>
      <c r="AG1507" s="46" t="s">
        <v>299</v>
      </c>
      <c r="AH1507" s="46" t="s">
        <v>43</v>
      </c>
      <c r="AI1507" s="46" t="s">
        <v>37</v>
      </c>
      <c r="AJ1507" s="46">
        <f>=SUM(E1508:AI1508)</f>
      </c>
      <c r="AK1507" s="46">
        <f>=+AY1507</f>
      </c>
      <c r="AL1507" s="46"/>
      <c r="AM1507" s="1"/>
      <c r="AN1507" s="1">
        <f>=COUNTIF(E1507:AI1507,"A")+COUNTIF(E1507:AI1507,"B")+COUNTIF(E1507:AI1507,"C")+COUNTIF(E1507:AI1507,"D")+COUNTIF(E1507:AI1507,"E")+COUNTIF(E1507:AI1507,"F")+COUNTIF(E1507:AI1507,"M")+COUNTIF(E1507:AI1507,"AB")+COUNTIF(E1507:AI1507,"UZ")+COUNTIF(E1507:AI1507,"G")+(COUNTIF(E1507:AI1507,"RT.")/2)+(COUNTIF(E1507:AI1507,"ÇRT.")/2)</f>
      </c>
      <c r="AO1507" s="1">
        <f>=COUNTIF(E1507:AI1507,"O")</f>
      </c>
      <c r="AP1507" s="1">
        <f>=COUNTIF(E1507:AI1507,"RT")+(COUNTIF(E1507:AI1507,"RT.")/2)</f>
      </c>
      <c r="AQ1507" s="1">
        <f>=COUNTIF(E1507:AI1507,"ÇRT")+(COUNTIF(E1507:AI1507,"ÇRT.")/2)</f>
      </c>
      <c r="AR1507" s="1">
        <f>=COUNTIF(E1507:AI1507,"ÇHT")</f>
      </c>
      <c r="AS1507" s="1">
        <f>=COUNTIF(E1507:AI1507,"Ö")+COUNTIF(E1507:AI1507,"T")</f>
      </c>
      <c r="AT1507" s="1">
        <f>=COUNTIF(E1507:AI1507,"Y")</f>
      </c>
      <c r="AU1507" s="1">
        <f>=COUNTIF(E1507:AI1507,"R.")</f>
      </c>
      <c r="AV1507" s="1">
        <f>=COUNTIF(E1507:AI1507,"Ü")</f>
      </c>
      <c r="AW1507" s="1">
        <f>=COUNTIF(E1507:AI1507,"R")</f>
      </c>
      <c r="AX1507" s="1">
        <f>=COUNTIF(E1507:AI1507,"DV")</f>
      </c>
      <c r="AY1507" s="1">
        <f>=+AN1507+AO1507+AP1507+AQ1507+AR1507+AS1507+AT1507+AU1507</f>
      </c>
    </row>
    <row r="1508" ht="16" customHeight="1" spans="1:51" x14ac:dyDescent="0.25">
      <c r="A1508" s="45"/>
      <c r="B1508" s="46"/>
      <c r="C1508" s="46"/>
      <c r="D1508" s="46" t="s">
        <v>33</v>
      </c>
      <c r="E1508" s="46">
        <v>3</v>
      </c>
      <c r="F1508" s="46">
        <v>3</v>
      </c>
      <c r="G1508" s="46"/>
      <c r="H1508" s="46">
        <v>2</v>
      </c>
      <c r="I1508" s="46">
        <v>2</v>
      </c>
      <c r="J1508" s="46">
        <v>2</v>
      </c>
      <c r="K1508" s="46">
        <v>2</v>
      </c>
      <c r="L1508" s="46">
        <v>2</v>
      </c>
      <c r="M1508" s="46">
        <v>2</v>
      </c>
      <c r="N1508" s="46"/>
      <c r="O1508" s="46">
        <v>2</v>
      </c>
      <c r="P1508" s="46">
        <v>2</v>
      </c>
      <c r="Q1508" s="46">
        <v>2</v>
      </c>
      <c r="R1508" s="46">
        <v>2</v>
      </c>
      <c r="S1508" s="46">
        <v>2</v>
      </c>
      <c r="T1508" s="46">
        <v>2</v>
      </c>
      <c r="U1508" s="46"/>
      <c r="V1508" s="46">
        <v>2</v>
      </c>
      <c r="W1508" s="46">
        <v>2</v>
      </c>
      <c r="X1508" s="46">
        <v>2</v>
      </c>
      <c r="Y1508" s="46">
        <v>2</v>
      </c>
      <c r="Z1508" s="46">
        <v>2</v>
      </c>
      <c r="AA1508" s="46">
        <v>2</v>
      </c>
      <c r="AB1508" s="46"/>
      <c r="AC1508" s="46">
        <v>2</v>
      </c>
      <c r="AD1508" s="46">
        <v>2</v>
      </c>
      <c r="AE1508" s="46">
        <v>2</v>
      </c>
      <c r="AF1508" s="46">
        <v>2</v>
      </c>
      <c r="AG1508" s="46">
        <v>2</v>
      </c>
      <c r="AH1508" s="46">
        <v>2</v>
      </c>
      <c r="AI1508" s="46"/>
      <c r="AJ1508" s="46"/>
      <c r="AK1508" s="46"/>
      <c r="AL1508" s="46"/>
      <c r="AM1508" s="1"/>
      <c r="AN1508" s="1"/>
      <c r="AO1508" s="1"/>
      <c r="AP1508" s="1"/>
      <c r="AQ1508" s="1"/>
      <c r="AR1508" s="1"/>
      <c r="AS1508" s="1"/>
      <c r="AT1508" s="1"/>
      <c r="AU1508" s="1"/>
      <c r="AV1508" s="1"/>
      <c r="AW1508" s="1"/>
      <c r="AX1508" s="1"/>
      <c r="AY1508" s="1"/>
    </row>
    <row r="1509" ht="16" customHeight="1" spans="1:51" x14ac:dyDescent="0.25">
      <c r="A1509" s="45"/>
      <c r="B1509" s="46" t="s">
        <v>1561</v>
      </c>
      <c r="C1509" s="46" t="s">
        <v>1562</v>
      </c>
      <c r="D1509" s="46" t="s">
        <v>29</v>
      </c>
      <c r="E1509" s="46" t="s">
        <v>30</v>
      </c>
      <c r="F1509" s="46" t="s">
        <v>30</v>
      </c>
      <c r="G1509" s="46" t="s">
        <v>30</v>
      </c>
      <c r="H1509" s="46" t="s">
        <v>37</v>
      </c>
      <c r="I1509" s="46" t="s">
        <v>36</v>
      </c>
      <c r="J1509" s="46" t="s">
        <v>36</v>
      </c>
      <c r="K1509" s="46" t="s">
        <v>36</v>
      </c>
      <c r="L1509" s="46" t="s">
        <v>299</v>
      </c>
      <c r="M1509" s="46" t="s">
        <v>299</v>
      </c>
      <c r="N1509" s="46" t="s">
        <v>36</v>
      </c>
      <c r="O1509" s="46" t="s">
        <v>37</v>
      </c>
      <c r="P1509" s="46" t="s">
        <v>337</v>
      </c>
      <c r="Q1509" s="46" t="s">
        <v>337</v>
      </c>
      <c r="R1509" s="46" t="s">
        <v>337</v>
      </c>
      <c r="S1509" s="46" t="s">
        <v>337</v>
      </c>
      <c r="T1509" s="46" t="s">
        <v>30</v>
      </c>
      <c r="U1509" s="46" t="s">
        <v>30</v>
      </c>
      <c r="V1509" s="46" t="s">
        <v>30</v>
      </c>
      <c r="W1509" s="46" t="s">
        <v>37</v>
      </c>
      <c r="X1509" s="46" t="s">
        <v>30</v>
      </c>
      <c r="Y1509" s="46" t="s">
        <v>30</v>
      </c>
      <c r="Z1509" s="46" t="s">
        <v>30</v>
      </c>
      <c r="AA1509" s="46" t="s">
        <v>30</v>
      </c>
      <c r="AB1509" s="46" t="s">
        <v>30</v>
      </c>
      <c r="AC1509" s="46" t="s">
        <v>30</v>
      </c>
      <c r="AD1509" s="46" t="s">
        <v>30</v>
      </c>
      <c r="AE1509" s="46" t="s">
        <v>37</v>
      </c>
      <c r="AF1509" s="46" t="s">
        <v>30</v>
      </c>
      <c r="AG1509" s="46" t="s">
        <v>30</v>
      </c>
      <c r="AH1509" s="46" t="s">
        <v>43</v>
      </c>
      <c r="AI1509" s="46" t="s">
        <v>30</v>
      </c>
      <c r="AJ1509" s="46">
        <f>=SUM(E1510:AI1510)</f>
      </c>
      <c r="AK1509" s="46">
        <f>=+AY1509</f>
      </c>
      <c r="AL1509" s="46"/>
      <c r="AM1509" s="1"/>
      <c r="AN1509" s="1">
        <f>=COUNTIF(E1509:AI1509,"A")+COUNTIF(E1509:AI1509,"B")+COUNTIF(E1509:AI1509,"C")+COUNTIF(E1509:AI1509,"D")+COUNTIF(E1509:AI1509,"E")+COUNTIF(E1509:AI1509,"F")+COUNTIF(E1509:AI1509,"M")+COUNTIF(E1509:AI1509,"AB")+COUNTIF(E1509:AI1509,"UZ")+COUNTIF(E1509:AI1509,"G")+(COUNTIF(E1509:AI1509,"RT.")/2)+(COUNTIF(E1509:AI1509,"ÇRT.")/2)</f>
      </c>
      <c r="AO1509" s="1">
        <f>=COUNTIF(E1509:AI1509,"O")</f>
      </c>
      <c r="AP1509" s="1">
        <f>=COUNTIF(E1509:AI1509,"RT")+(COUNTIF(E1509:AI1509,"RT.")/2)</f>
      </c>
      <c r="AQ1509" s="1">
        <f>=COUNTIF(E1509:AI1509,"ÇRT")+(COUNTIF(E1509:AI1509,"ÇRT.")/2)</f>
      </c>
      <c r="AR1509" s="1">
        <f>=COUNTIF(E1509:AI1509,"ÇHT")</f>
      </c>
      <c r="AS1509" s="1">
        <f>=COUNTIF(E1509:AI1509,"Ö")+COUNTIF(E1509:AI1509,"T")</f>
      </c>
      <c r="AT1509" s="1">
        <f>=COUNTIF(E1509:AI1509,"Y")</f>
      </c>
      <c r="AU1509" s="1">
        <f>=COUNTIF(E1509:AI1509,"R.")</f>
      </c>
      <c r="AV1509" s="1">
        <f>=COUNTIF(E1509:AI1509,"Ü")</f>
      </c>
      <c r="AW1509" s="1">
        <f>=COUNTIF(E1509:AI1509,"R")</f>
      </c>
      <c r="AX1509" s="1">
        <f>=COUNTIF(E1509:AI1509,"DV")</f>
      </c>
      <c r="AY1509" s="1">
        <f>=+AN1509+AO1509+AP1509+AQ1509+AR1509+AS1509+AT1509+AU1509</f>
      </c>
    </row>
    <row r="1510" ht="16" customHeight="1" spans="1:51" x14ac:dyDescent="0.25">
      <c r="A1510" s="45"/>
      <c r="B1510" s="46"/>
      <c r="C1510" s="46"/>
      <c r="D1510" s="46" t="s">
        <v>33</v>
      </c>
      <c r="E1510" s="46"/>
      <c r="F1510" s="46"/>
      <c r="G1510" s="46"/>
      <c r="H1510" s="46"/>
      <c r="I1510" s="46"/>
      <c r="J1510" s="46"/>
      <c r="K1510" s="46"/>
      <c r="L1510" s="46">
        <v>2</v>
      </c>
      <c r="M1510" s="46">
        <v>2</v>
      </c>
      <c r="N1510" s="46"/>
      <c r="O1510" s="46"/>
      <c r="P1510" s="46"/>
      <c r="Q1510" s="46"/>
      <c r="R1510" s="46"/>
      <c r="S1510" s="46"/>
      <c r="T1510" s="46"/>
      <c r="U1510" s="46"/>
      <c r="V1510" s="46"/>
      <c r="W1510" s="46"/>
      <c r="X1510" s="46"/>
      <c r="Y1510" s="46"/>
      <c r="Z1510" s="46"/>
      <c r="AA1510" s="46"/>
      <c r="AB1510" s="46"/>
      <c r="AC1510" s="46"/>
      <c r="AD1510" s="46"/>
      <c r="AE1510" s="46"/>
      <c r="AF1510" s="46"/>
      <c r="AG1510" s="46"/>
      <c r="AH1510" s="46"/>
      <c r="AI1510" s="46"/>
      <c r="AJ1510" s="46"/>
      <c r="AK1510" s="46"/>
      <c r="AL1510" s="46"/>
      <c r="AM1510" s="1"/>
      <c r="AN1510" s="1"/>
      <c r="AO1510" s="1"/>
      <c r="AP1510" s="1"/>
      <c r="AQ1510" s="1"/>
      <c r="AR1510" s="1"/>
      <c r="AS1510" s="1"/>
      <c r="AT1510" s="1"/>
      <c r="AU1510" s="1"/>
      <c r="AV1510" s="1"/>
      <c r="AW1510" s="1"/>
      <c r="AX1510" s="1"/>
      <c r="AY1510" s="1"/>
    </row>
    <row r="1511" ht="16" customHeight="1" spans="1:51" x14ac:dyDescent="0.25">
      <c r="A1511" s="45"/>
      <c r="B1511" s="46" t="s">
        <v>1563</v>
      </c>
      <c r="C1511" s="46" t="s">
        <v>1564</v>
      </c>
      <c r="D1511" s="46" t="s">
        <v>29</v>
      </c>
      <c r="E1511" s="46" t="s">
        <v>36</v>
      </c>
      <c r="F1511" s="46" t="s">
        <v>36</v>
      </c>
      <c r="G1511" s="46" t="s">
        <v>37</v>
      </c>
      <c r="H1511" s="46" t="s">
        <v>36</v>
      </c>
      <c r="I1511" s="46" t="s">
        <v>36</v>
      </c>
      <c r="J1511" s="46" t="s">
        <v>36</v>
      </c>
      <c r="K1511" s="46" t="s">
        <v>36</v>
      </c>
      <c r="L1511" s="46" t="s">
        <v>36</v>
      </c>
      <c r="M1511" s="46" t="s">
        <v>36</v>
      </c>
      <c r="N1511" s="46" t="s">
        <v>37</v>
      </c>
      <c r="O1511" s="46" t="s">
        <v>36</v>
      </c>
      <c r="P1511" s="46" t="s">
        <v>36</v>
      </c>
      <c r="Q1511" s="46" t="s">
        <v>36</v>
      </c>
      <c r="R1511" s="46" t="s">
        <v>36</v>
      </c>
      <c r="S1511" s="46" t="s">
        <v>36</v>
      </c>
      <c r="T1511" s="46" t="s">
        <v>36</v>
      </c>
      <c r="U1511" s="46" t="s">
        <v>37</v>
      </c>
      <c r="V1511" s="46" t="s">
        <v>36</v>
      </c>
      <c r="W1511" s="46" t="s">
        <v>36</v>
      </c>
      <c r="X1511" s="46" t="s">
        <v>36</v>
      </c>
      <c r="Y1511" s="46" t="s">
        <v>36</v>
      </c>
      <c r="Z1511" s="46" t="s">
        <v>36</v>
      </c>
      <c r="AA1511" s="46" t="s">
        <v>36</v>
      </c>
      <c r="AB1511" s="46" t="s">
        <v>36</v>
      </c>
      <c r="AC1511" s="46" t="s">
        <v>37</v>
      </c>
      <c r="AD1511" s="46" t="s">
        <v>36</v>
      </c>
      <c r="AE1511" s="46" t="s">
        <v>36</v>
      </c>
      <c r="AF1511" s="46" t="s">
        <v>36</v>
      </c>
      <c r="AG1511" s="46" t="s">
        <v>36</v>
      </c>
      <c r="AH1511" s="46" t="s">
        <v>43</v>
      </c>
      <c r="AI1511" s="46" t="s">
        <v>36</v>
      </c>
      <c r="AJ1511" s="46">
        <f>=SUM(E1512:AI1512)</f>
      </c>
      <c r="AK1511" s="46">
        <f>=+AY1511</f>
      </c>
      <c r="AL1511" s="46"/>
      <c r="AM1511" s="1"/>
      <c r="AN1511" s="1">
        <f>=COUNTIF(E1511:AI1511,"A")+COUNTIF(E1511:AI1511,"B")+COUNTIF(E1511:AI1511,"C")+COUNTIF(E1511:AI1511,"D")+COUNTIF(E1511:AI1511,"E")+COUNTIF(E1511:AI1511,"F")+COUNTIF(E1511:AI1511,"M")+COUNTIF(E1511:AI1511,"AB")+COUNTIF(E1511:AI1511,"UZ")+COUNTIF(E1511:AI1511,"G")+(COUNTIF(E1511:AI1511,"RT.")/2)+(COUNTIF(E1511:AI1511,"ÇRT.")/2)</f>
      </c>
      <c r="AO1511" s="1">
        <f>=COUNTIF(E1511:AI1511,"O")</f>
      </c>
      <c r="AP1511" s="1">
        <f>=COUNTIF(E1511:AI1511,"RT")+(COUNTIF(E1511:AI1511,"RT.")/2)</f>
      </c>
      <c r="AQ1511" s="1">
        <f>=COUNTIF(E1511:AI1511,"ÇRT")+(COUNTIF(E1511:AI1511,"ÇRT.")/2)</f>
      </c>
      <c r="AR1511" s="1">
        <f>=COUNTIF(E1511:AI1511,"ÇHT")</f>
      </c>
      <c r="AS1511" s="1">
        <f>=COUNTIF(E1511:AI1511,"Ö")+COUNTIF(E1511:AI1511,"T")</f>
      </c>
      <c r="AT1511" s="1">
        <f>=COUNTIF(E1511:AI1511,"Y")</f>
      </c>
      <c r="AU1511" s="1">
        <f>=COUNTIF(E1511:AI1511,"R.")</f>
      </c>
      <c r="AV1511" s="1">
        <f>=COUNTIF(E1511:AI1511,"Ü")</f>
      </c>
      <c r="AW1511" s="1">
        <f>=COUNTIF(E1511:AI1511,"R")</f>
      </c>
      <c r="AX1511" s="1">
        <f>=COUNTIF(E1511:AI1511,"DV")</f>
      </c>
      <c r="AY1511" s="1">
        <f>=+AN1511+AO1511+AP1511+AQ1511+AR1511+AS1511+AT1511+AU1511</f>
      </c>
    </row>
    <row r="1512" ht="16" customHeight="1" spans="1:51" x14ac:dyDescent="0.25">
      <c r="A1512" s="45"/>
      <c r="B1512" s="46"/>
      <c r="C1512" s="46"/>
      <c r="D1512" s="46" t="s">
        <v>33</v>
      </c>
      <c r="E1512" s="46">
        <v>3</v>
      </c>
      <c r="F1512" s="46"/>
      <c r="G1512" s="46"/>
      <c r="H1512" s="46">
        <v>3</v>
      </c>
      <c r="I1512" s="46">
        <v>3</v>
      </c>
      <c r="J1512" s="46">
        <v>3</v>
      </c>
      <c r="K1512" s="46">
        <v>3</v>
      </c>
      <c r="L1512" s="46">
        <v>3</v>
      </c>
      <c r="M1512" s="46">
        <v>3</v>
      </c>
      <c r="N1512" s="46"/>
      <c r="O1512" s="46">
        <v>3</v>
      </c>
      <c r="P1512" s="46">
        <v>3</v>
      </c>
      <c r="Q1512" s="46">
        <v>3</v>
      </c>
      <c r="R1512" s="46">
        <v>3</v>
      </c>
      <c r="S1512" s="46">
        <v>3</v>
      </c>
      <c r="T1512" s="46">
        <v>3</v>
      </c>
      <c r="U1512" s="46"/>
      <c r="V1512" s="46">
        <v>3</v>
      </c>
      <c r="W1512" s="46">
        <v>3</v>
      </c>
      <c r="X1512" s="46">
        <v>3</v>
      </c>
      <c r="Y1512" s="46">
        <v>3</v>
      </c>
      <c r="Z1512" s="46">
        <v>3</v>
      </c>
      <c r="AA1512" s="46">
        <v>3</v>
      </c>
      <c r="AB1512" s="46">
        <v>3</v>
      </c>
      <c r="AC1512" s="46"/>
      <c r="AD1512" s="46">
        <v>3</v>
      </c>
      <c r="AE1512" s="46">
        <v>3</v>
      </c>
      <c r="AF1512" s="46">
        <v>3</v>
      </c>
      <c r="AG1512" s="46">
        <v>3</v>
      </c>
      <c r="AH1512" s="46">
        <v>3</v>
      </c>
      <c r="AI1512" s="46">
        <v>3</v>
      </c>
      <c r="AJ1512" s="46"/>
      <c r="AK1512" s="46"/>
      <c r="AL1512" s="46"/>
      <c r="AM1512" s="1"/>
      <c r="AN1512" s="1"/>
      <c r="AO1512" s="1"/>
      <c r="AP1512" s="1"/>
      <c r="AQ1512" s="1"/>
      <c r="AR1512" s="1"/>
      <c r="AS1512" s="1"/>
      <c r="AT1512" s="1"/>
      <c r="AU1512" s="1"/>
      <c r="AV1512" s="1"/>
      <c r="AW1512" s="1"/>
      <c r="AX1512" s="1"/>
      <c r="AY1512" s="1"/>
    </row>
    <row r="1513" ht="16" customHeight="1" spans="1:51" x14ac:dyDescent="0.25">
      <c r="A1513" s="45"/>
      <c r="B1513" s="46" t="s">
        <v>1565</v>
      </c>
      <c r="C1513" s="46" t="s">
        <v>1566</v>
      </c>
      <c r="D1513" s="46" t="s">
        <v>29</v>
      </c>
      <c r="E1513" s="46" t="s">
        <v>36</v>
      </c>
      <c r="F1513" s="46" t="s">
        <v>36</v>
      </c>
      <c r="G1513" s="46" t="s">
        <v>36</v>
      </c>
      <c r="H1513" s="46" t="s">
        <v>37</v>
      </c>
      <c r="I1513" s="46" t="s">
        <v>36</v>
      </c>
      <c r="J1513" s="46" t="s">
        <v>36</v>
      </c>
      <c r="K1513" s="46" t="s">
        <v>36</v>
      </c>
      <c r="L1513" s="46" t="s">
        <v>36</v>
      </c>
      <c r="M1513" s="46" t="s">
        <v>36</v>
      </c>
      <c r="N1513" s="46" t="s">
        <v>36</v>
      </c>
      <c r="O1513" s="46" t="s">
        <v>37</v>
      </c>
      <c r="P1513" s="46" t="s">
        <v>36</v>
      </c>
      <c r="Q1513" s="46" t="s">
        <v>36</v>
      </c>
      <c r="R1513" s="46" t="s">
        <v>36</v>
      </c>
      <c r="S1513" s="46" t="s">
        <v>36</v>
      </c>
      <c r="T1513" s="46" t="s">
        <v>36</v>
      </c>
      <c r="U1513" s="46" t="s">
        <v>36</v>
      </c>
      <c r="V1513" s="46" t="s">
        <v>37</v>
      </c>
      <c r="W1513" s="46" t="s">
        <v>36</v>
      </c>
      <c r="X1513" s="46" t="s">
        <v>36</v>
      </c>
      <c r="Y1513" s="46" t="s">
        <v>36</v>
      </c>
      <c r="Z1513" s="46" t="s">
        <v>31</v>
      </c>
      <c r="AA1513" s="46" t="s">
        <v>153</v>
      </c>
      <c r="AB1513" s="46" t="s">
        <v>36</v>
      </c>
      <c r="AC1513" s="46" t="s">
        <v>37</v>
      </c>
      <c r="AD1513" s="46" t="s">
        <v>36</v>
      </c>
      <c r="AE1513" s="46" t="s">
        <v>36</v>
      </c>
      <c r="AF1513" s="46" t="s">
        <v>36</v>
      </c>
      <c r="AG1513" s="46" t="s">
        <v>36</v>
      </c>
      <c r="AH1513" s="46" t="s">
        <v>43</v>
      </c>
      <c r="AI1513" s="46" t="s">
        <v>36</v>
      </c>
      <c r="AJ1513" s="46">
        <f>=SUM(E1514:AI1514)</f>
      </c>
      <c r="AK1513" s="46">
        <f>=+AY1513</f>
      </c>
      <c r="AL1513" s="46"/>
      <c r="AM1513" s="1"/>
      <c r="AN1513" s="1">
        <f>=COUNTIF(E1513:AI1513,"A")+COUNTIF(E1513:AI1513,"B")+COUNTIF(E1513:AI1513,"C")+COUNTIF(E1513:AI1513,"D")+COUNTIF(E1513:AI1513,"E")+COUNTIF(E1513:AI1513,"F")+COUNTIF(E1513:AI1513,"M")+COUNTIF(E1513:AI1513,"AB")+COUNTIF(E1513:AI1513,"UZ")+COUNTIF(E1513:AI1513,"G")+(COUNTIF(E1513:AI1513,"RT.")/2)+(COUNTIF(E1513:AI1513,"ÇRT.")/2)</f>
      </c>
      <c r="AO1513" s="1">
        <f>=COUNTIF(E1513:AI1513,"O")</f>
      </c>
      <c r="AP1513" s="1">
        <f>=COUNTIF(E1513:AI1513,"RT")+(COUNTIF(E1513:AI1513,"RT.")/2)</f>
      </c>
      <c r="AQ1513" s="1">
        <f>=COUNTIF(E1513:AI1513,"ÇRT")+(COUNTIF(E1513:AI1513,"ÇRT.")/2)</f>
      </c>
      <c r="AR1513" s="1">
        <f>=COUNTIF(E1513:AI1513,"ÇHT")</f>
      </c>
      <c r="AS1513" s="1">
        <f>=COUNTIF(E1513:AI1513,"Ö")+COUNTIF(E1513:AI1513,"T")</f>
      </c>
      <c r="AT1513" s="1">
        <f>=COUNTIF(E1513:AI1513,"Y")</f>
      </c>
      <c r="AU1513" s="1">
        <f>=COUNTIF(E1513:AI1513,"R.")</f>
      </c>
      <c r="AV1513" s="1">
        <f>=COUNTIF(E1513:AI1513,"Ü")</f>
      </c>
      <c r="AW1513" s="1">
        <f>=COUNTIF(E1513:AI1513,"R")</f>
      </c>
      <c r="AX1513" s="1">
        <f>=COUNTIF(E1513:AI1513,"DV")</f>
      </c>
      <c r="AY1513" s="1">
        <f>=+AN1513+AO1513+AP1513+AQ1513+AR1513+AS1513+AT1513+AU1513</f>
      </c>
    </row>
    <row r="1514" ht="16" customHeight="1" spans="1:51" x14ac:dyDescent="0.25">
      <c r="A1514" s="45"/>
      <c r="B1514" s="46"/>
      <c r="C1514" s="46"/>
      <c r="D1514" s="46" t="s">
        <v>33</v>
      </c>
      <c r="E1514" s="46">
        <v>3</v>
      </c>
      <c r="F1514" s="46">
        <v>3</v>
      </c>
      <c r="G1514" s="46">
        <v>2</v>
      </c>
      <c r="H1514" s="46"/>
      <c r="I1514" s="46">
        <v>2</v>
      </c>
      <c r="J1514" s="46"/>
      <c r="K1514" s="46"/>
      <c r="L1514" s="46">
        <v>2</v>
      </c>
      <c r="M1514" s="46">
        <v>2</v>
      </c>
      <c r="N1514" s="46"/>
      <c r="O1514" s="46"/>
      <c r="P1514" s="46"/>
      <c r="Q1514" s="46"/>
      <c r="R1514" s="46"/>
      <c r="S1514" s="46"/>
      <c r="T1514" s="46"/>
      <c r="U1514" s="46"/>
      <c r="V1514" s="46"/>
      <c r="W1514" s="46"/>
      <c r="X1514" s="46"/>
      <c r="Y1514" s="46"/>
      <c r="Z1514" s="46"/>
      <c r="AA1514" s="46"/>
      <c r="AB1514" s="46"/>
      <c r="AC1514" s="46"/>
      <c r="AD1514" s="46"/>
      <c r="AE1514" s="46"/>
      <c r="AF1514" s="46"/>
      <c r="AG1514" s="46">
        <v>2</v>
      </c>
      <c r="AH1514" s="46">
        <v>2</v>
      </c>
      <c r="AI1514" s="46"/>
      <c r="AJ1514" s="46"/>
      <c r="AK1514" s="46"/>
      <c r="AL1514" s="46"/>
      <c r="AM1514" s="1"/>
      <c r="AN1514" s="1"/>
      <c r="AO1514" s="1"/>
      <c r="AP1514" s="1"/>
      <c r="AQ1514" s="1"/>
      <c r="AR1514" s="1"/>
      <c r="AS1514" s="1"/>
      <c r="AT1514" s="1"/>
      <c r="AU1514" s="1"/>
      <c r="AV1514" s="1"/>
      <c r="AW1514" s="1"/>
      <c r="AX1514" s="1"/>
      <c r="AY1514" s="1"/>
    </row>
    <row r="1515" ht="16" customHeight="1" spans="1:51" x14ac:dyDescent="0.25">
      <c r="A1515" s="45"/>
      <c r="B1515" s="46" t="s">
        <v>1567</v>
      </c>
      <c r="C1515" s="46" t="s">
        <v>1568</v>
      </c>
      <c r="D1515" s="46" t="s">
        <v>29</v>
      </c>
      <c r="E1515" s="46"/>
      <c r="F1515" s="46"/>
      <c r="G1515" s="46"/>
      <c r="H1515" s="46"/>
      <c r="I1515" s="46"/>
      <c r="J1515" s="46"/>
      <c r="K1515" s="46"/>
      <c r="L1515" s="46"/>
      <c r="M1515" s="46"/>
      <c r="N1515" s="46"/>
      <c r="O1515" s="46"/>
      <c r="P1515" s="46"/>
      <c r="Q1515" s="46"/>
      <c r="R1515" s="46"/>
      <c r="S1515" s="46"/>
      <c r="T1515" s="46"/>
      <c r="U1515" s="46"/>
      <c r="V1515" s="46"/>
      <c r="W1515" s="46"/>
      <c r="X1515" s="46"/>
      <c r="Y1515" s="46"/>
      <c r="Z1515" s="46"/>
      <c r="AA1515" s="46"/>
      <c r="AB1515" s="46"/>
      <c r="AC1515" s="46"/>
      <c r="AD1515" s="46"/>
      <c r="AE1515" s="46"/>
      <c r="AF1515" s="46"/>
      <c r="AG1515" s="46"/>
      <c r="AH1515" s="46"/>
      <c r="AI1515" s="46"/>
      <c r="AJ1515" s="46">
        <f>=SUM(E1516:AI1516)</f>
      </c>
      <c r="AK1515" s="46">
        <f>=+AY1515</f>
      </c>
      <c r="AL1515" s="46"/>
      <c r="AM1515" s="1"/>
      <c r="AN1515" s="1">
        <f>=COUNTIF(E1515:AI1515,"A")+COUNTIF(E1515:AI1515,"B")+COUNTIF(E1515:AI1515,"C")+COUNTIF(E1515:AI1515,"D")+COUNTIF(E1515:AI1515,"E")+COUNTIF(E1515:AI1515,"F")+COUNTIF(E1515:AI1515,"M")+COUNTIF(E1515:AI1515,"AB")+COUNTIF(E1515:AI1515,"UZ")+COUNTIF(E1515:AI1515,"G")+(COUNTIF(E1515:AI1515,"RT.")/2)+(COUNTIF(E1515:AI1515,"ÇRT.")/2)</f>
      </c>
      <c r="AO1515" s="1">
        <f>=COUNTIF(E1515:AI1515,"O")</f>
      </c>
      <c r="AP1515" s="1">
        <f>=COUNTIF(E1515:AI1515,"RT")+(COUNTIF(E1515:AI1515,"RT.")/2)</f>
      </c>
      <c r="AQ1515" s="1">
        <f>=COUNTIF(E1515:AI1515,"ÇRT")+(COUNTIF(E1515:AI1515,"ÇRT.")/2)</f>
      </c>
      <c r="AR1515" s="1">
        <f>=COUNTIF(E1515:AI1515,"ÇHT")</f>
      </c>
      <c r="AS1515" s="1">
        <f>=COUNTIF(E1515:AI1515,"Ö")+COUNTIF(E1515:AI1515,"T")</f>
      </c>
      <c r="AT1515" s="1">
        <f>=COUNTIF(E1515:AI1515,"Y")</f>
      </c>
      <c r="AU1515" s="1">
        <f>=COUNTIF(E1515:AI1515,"R.")</f>
      </c>
      <c r="AV1515" s="1">
        <f>=COUNTIF(E1515:AI1515,"Ü")</f>
      </c>
      <c r="AW1515" s="1">
        <f>=COUNTIF(E1515:AI1515,"R")</f>
      </c>
      <c r="AX1515" s="1">
        <f>=COUNTIF(E1515:AI1515,"DV")</f>
      </c>
      <c r="AY1515" s="1">
        <f>=+AN1515+AO1515+AP1515+AQ1515+AR1515+AS1515+AT1515+AU1515</f>
      </c>
    </row>
    <row r="1516" ht="16" customHeight="1" spans="1:51" x14ac:dyDescent="0.25">
      <c r="A1516" s="45"/>
      <c r="B1516" s="46"/>
      <c r="C1516" s="46"/>
      <c r="D1516" s="46" t="s">
        <v>33</v>
      </c>
      <c r="E1516" s="46"/>
      <c r="F1516" s="46"/>
      <c r="G1516" s="46"/>
      <c r="H1516" s="46"/>
      <c r="I1516" s="46"/>
      <c r="J1516" s="46"/>
      <c r="K1516" s="46"/>
      <c r="L1516" s="46"/>
      <c r="M1516" s="46"/>
      <c r="N1516" s="46"/>
      <c r="O1516" s="46"/>
      <c r="P1516" s="46"/>
      <c r="Q1516" s="46"/>
      <c r="R1516" s="46"/>
      <c r="S1516" s="46"/>
      <c r="T1516" s="46"/>
      <c r="U1516" s="46"/>
      <c r="V1516" s="46"/>
      <c r="W1516" s="46"/>
      <c r="X1516" s="46"/>
      <c r="Y1516" s="46"/>
      <c r="Z1516" s="46"/>
      <c r="AA1516" s="46"/>
      <c r="AB1516" s="46"/>
      <c r="AC1516" s="46"/>
      <c r="AD1516" s="46"/>
      <c r="AE1516" s="46"/>
      <c r="AF1516" s="46"/>
      <c r="AG1516" s="46"/>
      <c r="AH1516" s="46"/>
      <c r="AI1516" s="46"/>
      <c r="AJ1516" s="46"/>
      <c r="AK1516" s="46"/>
      <c r="AL1516" s="46"/>
      <c r="AM1516" s="1"/>
      <c r="AN1516" s="1"/>
      <c r="AO1516" s="1"/>
      <c r="AP1516" s="1"/>
      <c r="AQ1516" s="1"/>
      <c r="AR1516" s="1"/>
      <c r="AS1516" s="1"/>
      <c r="AT1516" s="1"/>
      <c r="AU1516" s="1"/>
      <c r="AV1516" s="1"/>
      <c r="AW1516" s="1"/>
      <c r="AX1516" s="1"/>
      <c r="AY1516" s="1"/>
    </row>
    <row r="1517" ht="16" customHeight="1" spans="1:51" x14ac:dyDescent="0.25">
      <c r="A1517" s="45"/>
      <c r="B1517" s="46" t="s">
        <v>1569</v>
      </c>
      <c r="C1517" s="46" t="s">
        <v>1570</v>
      </c>
      <c r="D1517" s="46" t="s">
        <v>29</v>
      </c>
      <c r="E1517" s="46" t="s">
        <v>46</v>
      </c>
      <c r="F1517" s="46" t="s">
        <v>37</v>
      </c>
      <c r="G1517" s="46" t="s">
        <v>59</v>
      </c>
      <c r="H1517" s="46" t="s">
        <v>37</v>
      </c>
      <c r="I1517" s="46" t="s">
        <v>59</v>
      </c>
      <c r="J1517" s="46" t="s">
        <v>59</v>
      </c>
      <c r="K1517" s="46" t="s">
        <v>59</v>
      </c>
      <c r="L1517" s="46" t="s">
        <v>59</v>
      </c>
      <c r="M1517" s="46" t="s">
        <v>46</v>
      </c>
      <c r="N1517" s="46" t="s">
        <v>59</v>
      </c>
      <c r="O1517" s="46" t="s">
        <v>59</v>
      </c>
      <c r="P1517" s="46" t="s">
        <v>37</v>
      </c>
      <c r="Q1517" s="46" t="s">
        <v>59</v>
      </c>
      <c r="R1517" s="46" t="s">
        <v>59</v>
      </c>
      <c r="S1517" s="46" t="s">
        <v>59</v>
      </c>
      <c r="T1517" s="46" t="s">
        <v>46</v>
      </c>
      <c r="U1517" s="46" t="s">
        <v>59</v>
      </c>
      <c r="V1517" s="46" t="s">
        <v>59</v>
      </c>
      <c r="W1517" s="46" t="s">
        <v>37</v>
      </c>
      <c r="X1517" s="46" t="s">
        <v>59</v>
      </c>
      <c r="Y1517" s="46" t="s">
        <v>59</v>
      </c>
      <c r="Z1517" s="46" t="s">
        <v>41</v>
      </c>
      <c r="AA1517" s="46" t="s">
        <v>46</v>
      </c>
      <c r="AB1517" s="46" t="s">
        <v>36</v>
      </c>
      <c r="AC1517" s="46" t="s">
        <v>36</v>
      </c>
      <c r="AD1517" s="46" t="s">
        <v>37</v>
      </c>
      <c r="AE1517" s="46" t="s">
        <v>36</v>
      </c>
      <c r="AF1517" s="46" t="s">
        <v>46</v>
      </c>
      <c r="AG1517" s="46" t="s">
        <v>46</v>
      </c>
      <c r="AH1517" s="46" t="s">
        <v>43</v>
      </c>
      <c r="AI1517" s="46" t="s">
        <v>59</v>
      </c>
      <c r="AJ1517" s="46">
        <f>=SUM(E1518:AI1518)</f>
      </c>
      <c r="AK1517" s="46">
        <f>=+AY1517</f>
      </c>
      <c r="AL1517" s="46"/>
      <c r="AM1517" s="1"/>
      <c r="AN1517" s="1">
        <f>=COUNTIF(E1517:AI1517,"A")+COUNTIF(E1517:AI1517,"B")+COUNTIF(E1517:AI1517,"C")+COUNTIF(E1517:AI1517,"D")+COUNTIF(E1517:AI1517,"E")+COUNTIF(E1517:AI1517,"F")+COUNTIF(E1517:AI1517,"M")+COUNTIF(E1517:AI1517,"AB")+COUNTIF(E1517:AI1517,"UZ")+COUNTIF(E1517:AI1517,"G")+(COUNTIF(E1517:AI1517,"RT.")/2)+(COUNTIF(E1517:AI1517,"ÇRT.")/2)</f>
      </c>
      <c r="AO1517" s="1">
        <f>=COUNTIF(E1517:AI1517,"O")</f>
      </c>
      <c r="AP1517" s="1">
        <f>=COUNTIF(E1517:AI1517,"RT")+(COUNTIF(E1517:AI1517,"RT.")/2)</f>
      </c>
      <c r="AQ1517" s="1">
        <f>=COUNTIF(E1517:AI1517,"ÇRT")+(COUNTIF(E1517:AI1517,"ÇRT.")/2)</f>
      </c>
      <c r="AR1517" s="1">
        <f>=COUNTIF(E1517:AI1517,"ÇHT")</f>
      </c>
      <c r="AS1517" s="1">
        <f>=COUNTIF(E1517:AI1517,"Ö")+COUNTIF(E1517:AI1517,"T")</f>
      </c>
      <c r="AT1517" s="1">
        <f>=COUNTIF(E1517:AI1517,"Y")</f>
      </c>
      <c r="AU1517" s="1">
        <f>=COUNTIF(E1517:AI1517,"R.")</f>
      </c>
      <c r="AV1517" s="1">
        <f>=COUNTIF(E1517:AI1517,"Ü")</f>
      </c>
      <c r="AW1517" s="1">
        <f>=COUNTIF(E1517:AI1517,"R")</f>
      </c>
      <c r="AX1517" s="1">
        <f>=COUNTIF(E1517:AI1517,"DV")</f>
      </c>
      <c r="AY1517" s="1">
        <f>=+AN1517+AO1517+AP1517+AQ1517+AR1517+AS1517+AT1517+AU1517</f>
      </c>
    </row>
    <row r="1518" ht="16" customHeight="1" spans="1:51" x14ac:dyDescent="0.25">
      <c r="A1518" s="45"/>
      <c r="B1518" s="46"/>
      <c r="C1518" s="46"/>
      <c r="D1518" s="46" t="s">
        <v>33</v>
      </c>
      <c r="E1518" s="46">
        <v>2</v>
      </c>
      <c r="F1518" s="46"/>
      <c r="G1518" s="46">
        <v>3</v>
      </c>
      <c r="H1518" s="46"/>
      <c r="I1518" s="46">
        <v>2</v>
      </c>
      <c r="J1518" s="46">
        <v>3</v>
      </c>
      <c r="K1518" s="46">
        <v>2</v>
      </c>
      <c r="L1518" s="46">
        <v>2</v>
      </c>
      <c r="M1518" s="46">
        <v>2</v>
      </c>
      <c r="N1518" s="46"/>
      <c r="O1518" s="46">
        <v>2</v>
      </c>
      <c r="P1518" s="46"/>
      <c r="Q1518" s="46"/>
      <c r="R1518" s="46"/>
      <c r="S1518" s="46"/>
      <c r="T1518" s="46"/>
      <c r="U1518" s="46"/>
      <c r="V1518" s="46"/>
      <c r="W1518" s="46"/>
      <c r="X1518" s="46"/>
      <c r="Y1518" s="46">
        <v>2</v>
      </c>
      <c r="Z1518" s="46"/>
      <c r="AA1518" s="46"/>
      <c r="AB1518" s="46"/>
      <c r="AC1518" s="46"/>
      <c r="AD1518" s="46"/>
      <c r="AE1518" s="46"/>
      <c r="AF1518" s="46"/>
      <c r="AG1518" s="46"/>
      <c r="AH1518" s="46"/>
      <c r="AI1518" s="46">
        <v>2</v>
      </c>
      <c r="AJ1518" s="46"/>
      <c r="AK1518" s="46"/>
      <c r="AL1518" s="46"/>
      <c r="AM1518" s="1"/>
      <c r="AN1518" s="1"/>
      <c r="AO1518" s="1"/>
      <c r="AP1518" s="1"/>
      <c r="AQ1518" s="1"/>
      <c r="AR1518" s="1"/>
      <c r="AS1518" s="1"/>
      <c r="AT1518" s="1"/>
      <c r="AU1518" s="1"/>
      <c r="AV1518" s="1"/>
      <c r="AW1518" s="1"/>
      <c r="AX1518" s="1"/>
      <c r="AY1518" s="1"/>
    </row>
    <row r="1519" ht="16" customHeight="1" spans="1:51" x14ac:dyDescent="0.25">
      <c r="A1519" s="45"/>
      <c r="B1519" s="46" t="s">
        <v>1571</v>
      </c>
      <c r="C1519" s="46" t="s">
        <v>1572</v>
      </c>
      <c r="D1519" s="46" t="s">
        <v>29</v>
      </c>
      <c r="E1519" s="46"/>
      <c r="F1519" s="46"/>
      <c r="G1519" s="46"/>
      <c r="H1519" s="46" t="s">
        <v>36</v>
      </c>
      <c r="I1519" s="46" t="s">
        <v>41</v>
      </c>
      <c r="J1519" s="46" t="s">
        <v>41</v>
      </c>
      <c r="K1519" s="46" t="s">
        <v>37</v>
      </c>
      <c r="L1519" s="46" t="s">
        <v>41</v>
      </c>
      <c r="M1519" s="46" t="s">
        <v>41</v>
      </c>
      <c r="N1519" s="46" t="s">
        <v>41</v>
      </c>
      <c r="O1519" s="46" t="s">
        <v>41</v>
      </c>
      <c r="P1519" s="46" t="s">
        <v>41</v>
      </c>
      <c r="Q1519" s="46" t="s">
        <v>41</v>
      </c>
      <c r="R1519" s="46" t="s">
        <v>37</v>
      </c>
      <c r="S1519" s="46" t="s">
        <v>41</v>
      </c>
      <c r="T1519" s="46" t="s">
        <v>41</v>
      </c>
      <c r="U1519" s="46" t="s">
        <v>41</v>
      </c>
      <c r="V1519" s="46" t="s">
        <v>41</v>
      </c>
      <c r="W1519" s="46" t="s">
        <v>41</v>
      </c>
      <c r="X1519" s="46" t="s">
        <v>41</v>
      </c>
      <c r="Y1519" s="46" t="s">
        <v>37</v>
      </c>
      <c r="Z1519" s="46" t="s">
        <v>41</v>
      </c>
      <c r="AA1519" s="46" t="s">
        <v>41</v>
      </c>
      <c r="AB1519" s="46" t="s">
        <v>41</v>
      </c>
      <c r="AC1519" s="46" t="s">
        <v>41</v>
      </c>
      <c r="AD1519" s="46" t="s">
        <v>41</v>
      </c>
      <c r="AE1519" s="46" t="s">
        <v>41</v>
      </c>
      <c r="AF1519" s="46" t="s">
        <v>37</v>
      </c>
      <c r="AG1519" s="46" t="s">
        <v>36</v>
      </c>
      <c r="AH1519" s="46" t="s">
        <v>43</v>
      </c>
      <c r="AI1519" s="46" t="s">
        <v>36</v>
      </c>
      <c r="AJ1519" s="46">
        <f>=SUM(E1520:AI1520)</f>
      </c>
      <c r="AK1519" s="46">
        <f>=+AY1519</f>
      </c>
      <c r="AL1519" s="46"/>
      <c r="AM1519" s="1"/>
      <c r="AN1519" s="1">
        <f>=COUNTIF(E1519:AI1519,"A")+COUNTIF(E1519:AI1519,"B")+COUNTIF(E1519:AI1519,"C")+COUNTIF(E1519:AI1519,"D")+COUNTIF(E1519:AI1519,"E")+COUNTIF(E1519:AI1519,"F")+COUNTIF(E1519:AI1519,"M")+COUNTIF(E1519:AI1519,"AB")+COUNTIF(E1519:AI1519,"UZ")+COUNTIF(E1519:AI1519,"G")+(COUNTIF(E1519:AI1519,"RT.")/2)+(COUNTIF(E1519:AI1519,"ÇRT.")/2)</f>
      </c>
      <c r="AO1519" s="1">
        <f>=COUNTIF(E1519:AI1519,"O")</f>
      </c>
      <c r="AP1519" s="1">
        <f>=COUNTIF(E1519:AI1519,"RT")+(COUNTIF(E1519:AI1519,"RT.")/2)</f>
      </c>
      <c r="AQ1519" s="1">
        <f>=COUNTIF(E1519:AI1519,"ÇRT")+(COUNTIF(E1519:AI1519,"ÇRT.")/2)</f>
      </c>
      <c r="AR1519" s="1">
        <f>=COUNTIF(E1519:AI1519,"ÇHT")</f>
      </c>
      <c r="AS1519" s="1">
        <f>=COUNTIF(E1519:AI1519,"Ö")+COUNTIF(E1519:AI1519,"T")</f>
      </c>
      <c r="AT1519" s="1">
        <f>=COUNTIF(E1519:AI1519,"Y")</f>
      </c>
      <c r="AU1519" s="1">
        <f>=COUNTIF(E1519:AI1519,"R.")</f>
      </c>
      <c r="AV1519" s="1">
        <f>=COUNTIF(E1519:AI1519,"Ü")</f>
      </c>
      <c r="AW1519" s="1">
        <f>=COUNTIF(E1519:AI1519,"R")</f>
      </c>
      <c r="AX1519" s="1">
        <f>=COUNTIF(E1519:AI1519,"DV")</f>
      </c>
      <c r="AY1519" s="1">
        <f>=+AN1519+AO1519+AP1519+AQ1519+AR1519+AS1519+AT1519+AU1519</f>
      </c>
    </row>
    <row r="1520" ht="16" customHeight="1" spans="1:51" x14ac:dyDescent="0.25">
      <c r="A1520" s="45"/>
      <c r="B1520" s="46"/>
      <c r="C1520" s="46"/>
      <c r="D1520" s="46" t="s">
        <v>33</v>
      </c>
      <c r="E1520" s="46"/>
      <c r="F1520" s="46"/>
      <c r="G1520" s="46"/>
      <c r="H1520" s="46"/>
      <c r="I1520" s="46">
        <v>2</v>
      </c>
      <c r="J1520" s="46">
        <v>2</v>
      </c>
      <c r="K1520" s="46"/>
      <c r="L1520" s="46">
        <v>2</v>
      </c>
      <c r="M1520" s="46">
        <v>2</v>
      </c>
      <c r="N1520" s="46">
        <v>2</v>
      </c>
      <c r="O1520" s="46">
        <v>2</v>
      </c>
      <c r="P1520" s="46">
        <v>2</v>
      </c>
      <c r="Q1520" s="46">
        <v>2</v>
      </c>
      <c r="R1520" s="46"/>
      <c r="S1520" s="46">
        <v>2</v>
      </c>
      <c r="T1520" s="46">
        <v>2</v>
      </c>
      <c r="U1520" s="46">
        <v>2</v>
      </c>
      <c r="V1520" s="46">
        <v>2</v>
      </c>
      <c r="W1520" s="46">
        <v>2</v>
      </c>
      <c r="X1520" s="46">
        <v>2</v>
      </c>
      <c r="Y1520" s="46"/>
      <c r="Z1520" s="46">
        <v>2</v>
      </c>
      <c r="AA1520" s="46">
        <v>2</v>
      </c>
      <c r="AB1520" s="46">
        <v>3</v>
      </c>
      <c r="AC1520" s="46">
        <v>3</v>
      </c>
      <c r="AD1520" s="46">
        <v>3</v>
      </c>
      <c r="AE1520" s="46">
        <v>3</v>
      </c>
      <c r="AF1520" s="46"/>
      <c r="AG1520" s="46">
        <v>3</v>
      </c>
      <c r="AH1520" s="46">
        <v>3</v>
      </c>
      <c r="AI1520" s="46"/>
      <c r="AJ1520" s="46"/>
      <c r="AK1520" s="46"/>
      <c r="AL1520" s="46"/>
      <c r="AM1520" s="1"/>
      <c r="AN1520" s="1"/>
      <c r="AO1520" s="1"/>
      <c r="AP1520" s="1"/>
      <c r="AQ1520" s="1"/>
      <c r="AR1520" s="1"/>
      <c r="AS1520" s="1"/>
      <c r="AT1520" s="1"/>
      <c r="AU1520" s="1"/>
      <c r="AV1520" s="1"/>
      <c r="AW1520" s="1"/>
      <c r="AX1520" s="1"/>
      <c r="AY1520" s="1"/>
    </row>
    <row r="1521" ht="16" customHeight="1" spans="1:51" x14ac:dyDescent="0.25">
      <c r="A1521" s="45"/>
      <c r="B1521" s="46" t="s">
        <v>1573</v>
      </c>
      <c r="C1521" s="46" t="s">
        <v>1574</v>
      </c>
      <c r="D1521" s="46" t="s">
        <v>29</v>
      </c>
      <c r="E1521" s="46"/>
      <c r="F1521" s="46"/>
      <c r="G1521" s="46"/>
      <c r="H1521" s="46"/>
      <c r="I1521" s="46" t="s">
        <v>46</v>
      </c>
      <c r="J1521" s="46" t="s">
        <v>36</v>
      </c>
      <c r="K1521" s="46" t="s">
        <v>36</v>
      </c>
      <c r="L1521" s="46" t="s">
        <v>36</v>
      </c>
      <c r="M1521" s="46" t="s">
        <v>36</v>
      </c>
      <c r="N1521" s="46" t="s">
        <v>299</v>
      </c>
      <c r="O1521" s="46" t="s">
        <v>299</v>
      </c>
      <c r="P1521" s="46" t="s">
        <v>36</v>
      </c>
      <c r="Q1521" s="46" t="s">
        <v>299</v>
      </c>
      <c r="R1521" s="46" t="s">
        <v>36</v>
      </c>
      <c r="S1521" s="46" t="s">
        <v>37</v>
      </c>
      <c r="T1521" s="46" t="s">
        <v>36</v>
      </c>
      <c r="U1521" s="46" t="s">
        <v>36</v>
      </c>
      <c r="V1521" s="46" t="s">
        <v>299</v>
      </c>
      <c r="W1521" s="46" t="s">
        <v>36</v>
      </c>
      <c r="X1521" s="46" t="s">
        <v>299</v>
      </c>
      <c r="Y1521" s="46" t="s">
        <v>36</v>
      </c>
      <c r="Z1521" s="46" t="s">
        <v>36</v>
      </c>
      <c r="AA1521" s="46" t="s">
        <v>37</v>
      </c>
      <c r="AB1521" s="46" t="s">
        <v>299</v>
      </c>
      <c r="AC1521" s="46" t="s">
        <v>299</v>
      </c>
      <c r="AD1521" s="46" t="s">
        <v>36</v>
      </c>
      <c r="AE1521" s="46" t="s">
        <v>299</v>
      </c>
      <c r="AF1521" s="46" t="s">
        <v>36</v>
      </c>
      <c r="AG1521" s="46" t="s">
        <v>36</v>
      </c>
      <c r="AH1521" s="46" t="s">
        <v>37</v>
      </c>
      <c r="AI1521" s="46" t="s">
        <v>299</v>
      </c>
      <c r="AJ1521" s="46">
        <f>=SUM(E1522:AI1522)</f>
      </c>
      <c r="AK1521" s="46">
        <f>=+AY1521</f>
      </c>
      <c r="AL1521" s="46"/>
      <c r="AM1521" s="1"/>
      <c r="AN1521" s="1">
        <f>=COUNTIF(E1521:AI1521,"A")+COUNTIF(E1521:AI1521,"B")+COUNTIF(E1521:AI1521,"C")+COUNTIF(E1521:AI1521,"D")+COUNTIF(E1521:AI1521,"E")+COUNTIF(E1521:AI1521,"F")+COUNTIF(E1521:AI1521,"M")+COUNTIF(E1521:AI1521,"AB")+COUNTIF(E1521:AI1521,"UZ")+COUNTIF(E1521:AI1521,"G")+(COUNTIF(E1521:AI1521,"RT.")/2)+(COUNTIF(E1521:AI1521,"ÇRT.")/2)</f>
      </c>
      <c r="AO1521" s="1">
        <f>=COUNTIF(E1521:AI1521,"O")</f>
      </c>
      <c r="AP1521" s="1">
        <f>=COUNTIF(E1521:AI1521,"RT")+(COUNTIF(E1521:AI1521,"RT.")/2)</f>
      </c>
      <c r="AQ1521" s="1">
        <f>=COUNTIF(E1521:AI1521,"ÇRT")+(COUNTIF(E1521:AI1521,"ÇRT.")/2)</f>
      </c>
      <c r="AR1521" s="1">
        <f>=COUNTIF(E1521:AI1521,"ÇHT")</f>
      </c>
      <c r="AS1521" s="1">
        <f>=COUNTIF(E1521:AI1521,"Ö")+COUNTIF(E1521:AI1521,"T")</f>
      </c>
      <c r="AT1521" s="1">
        <f>=COUNTIF(E1521:AI1521,"Y")</f>
      </c>
      <c r="AU1521" s="1">
        <f>=COUNTIF(E1521:AI1521,"R.")</f>
      </c>
      <c r="AV1521" s="1">
        <f>=COUNTIF(E1521:AI1521,"Ü")</f>
      </c>
      <c r="AW1521" s="1">
        <f>=COUNTIF(E1521:AI1521,"R")</f>
      </c>
      <c r="AX1521" s="1">
        <f>=COUNTIF(E1521:AI1521,"DV")</f>
      </c>
      <c r="AY1521" s="1">
        <f>=+AN1521+AO1521+AP1521+AQ1521+AR1521+AS1521+AT1521+AU1521</f>
      </c>
    </row>
    <row r="1522" ht="16" customHeight="1" spans="1:51" x14ac:dyDescent="0.25">
      <c r="A1522" s="45"/>
      <c r="B1522" s="46"/>
      <c r="C1522" s="46"/>
      <c r="D1522" s="46" t="s">
        <v>33</v>
      </c>
      <c r="E1522" s="46"/>
      <c r="F1522" s="46"/>
      <c r="G1522" s="46"/>
      <c r="H1522" s="46"/>
      <c r="I1522" s="46"/>
      <c r="J1522" s="46"/>
      <c r="K1522" s="46"/>
      <c r="L1522" s="46"/>
      <c r="M1522" s="46"/>
      <c r="N1522" s="46">
        <v>2</v>
      </c>
      <c r="O1522" s="46">
        <v>2</v>
      </c>
      <c r="P1522" s="46"/>
      <c r="Q1522" s="46">
        <v>2</v>
      </c>
      <c r="R1522" s="46"/>
      <c r="S1522" s="46"/>
      <c r="T1522" s="46"/>
      <c r="U1522" s="46">
        <v>2</v>
      </c>
      <c r="V1522" s="46">
        <v>2</v>
      </c>
      <c r="W1522" s="46"/>
      <c r="X1522" s="46">
        <v>2</v>
      </c>
      <c r="Y1522" s="46"/>
      <c r="Z1522" s="46"/>
      <c r="AA1522" s="46"/>
      <c r="AB1522" s="46">
        <v>2</v>
      </c>
      <c r="AC1522" s="46">
        <v>2</v>
      </c>
      <c r="AD1522" s="46"/>
      <c r="AE1522" s="46">
        <v>2</v>
      </c>
      <c r="AF1522" s="46"/>
      <c r="AG1522" s="46"/>
      <c r="AH1522" s="46"/>
      <c r="AI1522" s="46">
        <v>2</v>
      </c>
      <c r="AJ1522" s="46"/>
      <c r="AK1522" s="46"/>
      <c r="AL1522" s="46"/>
      <c r="AM1522" s="1"/>
      <c r="AN1522" s="1"/>
      <c r="AO1522" s="1"/>
      <c r="AP1522" s="1"/>
      <c r="AQ1522" s="1"/>
      <c r="AR1522" s="1"/>
      <c r="AS1522" s="1"/>
      <c r="AT1522" s="1"/>
      <c r="AU1522" s="1"/>
      <c r="AV1522" s="1"/>
      <c r="AW1522" s="1"/>
      <c r="AX1522" s="1"/>
      <c r="AY1522" s="1"/>
    </row>
    <row r="1523" ht="16" customHeight="1" spans="1:51" x14ac:dyDescent="0.25">
      <c r="A1523" s="45"/>
      <c r="B1523" s="46" t="s">
        <v>1575</v>
      </c>
      <c r="C1523" s="46" t="s">
        <v>1576</v>
      </c>
      <c r="D1523" s="46" t="s">
        <v>29</v>
      </c>
      <c r="E1523" s="46" t="s">
        <v>36</v>
      </c>
      <c r="F1523" s="46" t="s">
        <v>37</v>
      </c>
      <c r="G1523" s="46" t="s">
        <v>36</v>
      </c>
      <c r="H1523" s="46" t="s">
        <v>36</v>
      </c>
      <c r="I1523" s="46" t="s">
        <v>36</v>
      </c>
      <c r="J1523" s="46" t="s">
        <v>36</v>
      </c>
      <c r="K1523" s="46" t="s">
        <v>36</v>
      </c>
      <c r="L1523" s="46" t="s">
        <v>36</v>
      </c>
      <c r="M1523" s="46" t="s">
        <v>37</v>
      </c>
      <c r="N1523" s="46" t="s">
        <v>36</v>
      </c>
      <c r="O1523" s="46" t="s">
        <v>36</v>
      </c>
      <c r="P1523" s="46" t="s">
        <v>36</v>
      </c>
      <c r="Q1523" s="46" t="s">
        <v>36</v>
      </c>
      <c r="R1523" s="46" t="s">
        <v>36</v>
      </c>
      <c r="S1523" s="46" t="s">
        <v>36</v>
      </c>
      <c r="T1523" s="46" t="s">
        <v>37</v>
      </c>
      <c r="U1523" s="46" t="s">
        <v>36</v>
      </c>
      <c r="V1523" s="46" t="s">
        <v>36</v>
      </c>
      <c r="W1523" s="46" t="s">
        <v>36</v>
      </c>
      <c r="X1523" s="46" t="s">
        <v>36</v>
      </c>
      <c r="Y1523" s="46" t="s">
        <v>36</v>
      </c>
      <c r="Z1523" s="46" t="s">
        <v>36</v>
      </c>
      <c r="AA1523" s="46" t="s">
        <v>37</v>
      </c>
      <c r="AB1523" s="46" t="s">
        <v>36</v>
      </c>
      <c r="AC1523" s="46" t="s">
        <v>36</v>
      </c>
      <c r="AD1523" s="46" t="s">
        <v>36</v>
      </c>
      <c r="AE1523" s="46" t="s">
        <v>36</v>
      </c>
      <c r="AF1523" s="46" t="s">
        <v>36</v>
      </c>
      <c r="AG1523" s="46" t="s">
        <v>36</v>
      </c>
      <c r="AH1523" s="46" t="s">
        <v>37</v>
      </c>
      <c r="AI1523" s="46" t="s">
        <v>36</v>
      </c>
      <c r="AJ1523" s="46">
        <f>=SUM(E1524:AI1524)</f>
      </c>
      <c r="AK1523" s="46">
        <f>=+AY1523</f>
      </c>
      <c r="AL1523" s="46"/>
      <c r="AM1523" s="1"/>
      <c r="AN1523" s="1">
        <f>=COUNTIF(E1523:AI1523,"A")+COUNTIF(E1523:AI1523,"B")+COUNTIF(E1523:AI1523,"C")+COUNTIF(E1523:AI1523,"D")+COUNTIF(E1523:AI1523,"E")+COUNTIF(E1523:AI1523,"F")+COUNTIF(E1523:AI1523,"M")+COUNTIF(E1523:AI1523,"AB")+COUNTIF(E1523:AI1523,"UZ")+COUNTIF(E1523:AI1523,"G")+(COUNTIF(E1523:AI1523,"RT.")/2)+(COUNTIF(E1523:AI1523,"ÇRT.")/2)</f>
      </c>
      <c r="AO1523" s="1">
        <f>=COUNTIF(E1523:AI1523,"O")</f>
      </c>
      <c r="AP1523" s="1">
        <f>=COUNTIF(E1523:AI1523,"RT")+(COUNTIF(E1523:AI1523,"RT.")/2)</f>
      </c>
      <c r="AQ1523" s="1">
        <f>=COUNTIF(E1523:AI1523,"ÇRT")+(COUNTIF(E1523:AI1523,"ÇRT.")/2)</f>
      </c>
      <c r="AR1523" s="1">
        <f>=COUNTIF(E1523:AI1523,"ÇHT")</f>
      </c>
      <c r="AS1523" s="1">
        <f>=COUNTIF(E1523:AI1523,"Ö")+COUNTIF(E1523:AI1523,"T")</f>
      </c>
      <c r="AT1523" s="1">
        <f>=COUNTIF(E1523:AI1523,"Y")</f>
      </c>
      <c r="AU1523" s="1">
        <f>=COUNTIF(E1523:AI1523,"R.")</f>
      </c>
      <c r="AV1523" s="1">
        <f>=COUNTIF(E1523:AI1523,"Ü")</f>
      </c>
      <c r="AW1523" s="1">
        <f>=COUNTIF(E1523:AI1523,"R")</f>
      </c>
      <c r="AX1523" s="1">
        <f>=COUNTIF(E1523:AI1523,"DV")</f>
      </c>
      <c r="AY1523" s="1">
        <f>=+AN1523+AO1523+AP1523+AQ1523+AR1523+AS1523+AT1523+AU1523</f>
      </c>
    </row>
    <row r="1524" ht="16" customHeight="1" spans="1:51" x14ac:dyDescent="0.25">
      <c r="A1524" s="45"/>
      <c r="B1524" s="46"/>
      <c r="C1524" s="46"/>
      <c r="D1524" s="46" t="s">
        <v>33</v>
      </c>
      <c r="E1524" s="46"/>
      <c r="F1524" s="46"/>
      <c r="G1524" s="46"/>
      <c r="H1524" s="46"/>
      <c r="I1524" s="46"/>
      <c r="J1524" s="46"/>
      <c r="K1524" s="46"/>
      <c r="L1524" s="46"/>
      <c r="M1524" s="46"/>
      <c r="N1524" s="46"/>
      <c r="O1524" s="46"/>
      <c r="P1524" s="46"/>
      <c r="Q1524" s="46"/>
      <c r="R1524" s="46"/>
      <c r="S1524" s="46"/>
      <c r="T1524" s="46"/>
      <c r="U1524" s="46"/>
      <c r="V1524" s="46"/>
      <c r="W1524" s="46"/>
      <c r="X1524" s="46"/>
      <c r="Y1524" s="46"/>
      <c r="Z1524" s="46"/>
      <c r="AA1524" s="46"/>
      <c r="AB1524" s="46"/>
      <c r="AC1524" s="46"/>
      <c r="AD1524" s="46"/>
      <c r="AE1524" s="46"/>
      <c r="AF1524" s="46"/>
      <c r="AG1524" s="46"/>
      <c r="AH1524" s="46"/>
      <c r="AI1524" s="46"/>
      <c r="AJ1524" s="46"/>
      <c r="AK1524" s="46"/>
      <c r="AL1524" s="46"/>
      <c r="AM1524" s="1"/>
      <c r="AN1524" s="1"/>
      <c r="AO1524" s="1"/>
      <c r="AP1524" s="1"/>
      <c r="AQ1524" s="1"/>
      <c r="AR1524" s="1"/>
      <c r="AS1524" s="1"/>
      <c r="AT1524" s="1"/>
      <c r="AU1524" s="1"/>
      <c r="AV1524" s="1"/>
      <c r="AW1524" s="1"/>
      <c r="AX1524" s="1"/>
      <c r="AY1524" s="1"/>
    </row>
    <row r="1525" ht="16" customHeight="1" spans="1:51" x14ac:dyDescent="0.25">
      <c r="A1525" s="45"/>
      <c r="B1525" s="46" t="s">
        <v>1577</v>
      </c>
      <c r="C1525" s="46" t="s">
        <v>1578</v>
      </c>
      <c r="D1525" s="46" t="s">
        <v>29</v>
      </c>
      <c r="E1525" s="46" t="s">
        <v>36</v>
      </c>
      <c r="F1525" s="46" t="s">
        <v>36</v>
      </c>
      <c r="G1525" s="46" t="s">
        <v>36</v>
      </c>
      <c r="H1525" s="46" t="s">
        <v>37</v>
      </c>
      <c r="I1525" s="46" t="s">
        <v>36</v>
      </c>
      <c r="J1525" s="46" t="s">
        <v>36</v>
      </c>
      <c r="K1525" s="46" t="s">
        <v>36</v>
      </c>
      <c r="L1525" s="46" t="s">
        <v>36</v>
      </c>
      <c r="M1525" s="46" t="s">
        <v>36</v>
      </c>
      <c r="N1525" s="46" t="s">
        <v>36</v>
      </c>
      <c r="O1525" s="46" t="s">
        <v>37</v>
      </c>
      <c r="P1525" s="46" t="s">
        <v>36</v>
      </c>
      <c r="Q1525" s="46" t="s">
        <v>36</v>
      </c>
      <c r="R1525" s="46" t="s">
        <v>36</v>
      </c>
      <c r="S1525" s="46" t="s">
        <v>36</v>
      </c>
      <c r="T1525" s="46" t="s">
        <v>36</v>
      </c>
      <c r="U1525" s="46" t="s">
        <v>36</v>
      </c>
      <c r="V1525" s="46" t="s">
        <v>37</v>
      </c>
      <c r="W1525" s="46" t="s">
        <v>36</v>
      </c>
      <c r="X1525" s="46" t="s">
        <v>36</v>
      </c>
      <c r="Y1525" s="46" t="s">
        <v>36</v>
      </c>
      <c r="Z1525" s="46" t="s">
        <v>36</v>
      </c>
      <c r="AA1525" s="46" t="s">
        <v>36</v>
      </c>
      <c r="AB1525" s="46" t="s">
        <v>36</v>
      </c>
      <c r="AC1525" s="46" t="s">
        <v>37</v>
      </c>
      <c r="AD1525" s="46" t="s">
        <v>36</v>
      </c>
      <c r="AE1525" s="46" t="s">
        <v>36</v>
      </c>
      <c r="AF1525" s="46" t="s">
        <v>36</v>
      </c>
      <c r="AG1525" s="46" t="s">
        <v>36</v>
      </c>
      <c r="AH1525" s="46" t="s">
        <v>43</v>
      </c>
      <c r="AI1525" s="46" t="s">
        <v>36</v>
      </c>
      <c r="AJ1525" s="46">
        <f>=SUM(E1526:AI1526)</f>
      </c>
      <c r="AK1525" s="46">
        <f>=+AY1525</f>
      </c>
      <c r="AL1525" s="46"/>
      <c r="AM1525" s="1"/>
      <c r="AN1525" s="1">
        <f>=COUNTIF(E1525:AI1525,"A")+COUNTIF(E1525:AI1525,"B")+COUNTIF(E1525:AI1525,"C")+COUNTIF(E1525:AI1525,"D")+COUNTIF(E1525:AI1525,"E")+COUNTIF(E1525:AI1525,"F")+COUNTIF(E1525:AI1525,"M")+COUNTIF(E1525:AI1525,"AB")+COUNTIF(E1525:AI1525,"UZ")+COUNTIF(E1525:AI1525,"G")+(COUNTIF(E1525:AI1525,"RT.")/2)+(COUNTIF(E1525:AI1525,"ÇRT.")/2)</f>
      </c>
      <c r="AO1525" s="1">
        <f>=COUNTIF(E1525:AI1525,"O")</f>
      </c>
      <c r="AP1525" s="1">
        <f>=COUNTIF(E1525:AI1525,"RT")+(COUNTIF(E1525:AI1525,"RT.")/2)</f>
      </c>
      <c r="AQ1525" s="1">
        <f>=COUNTIF(E1525:AI1525,"ÇRT")+(COUNTIF(E1525:AI1525,"ÇRT.")/2)</f>
      </c>
      <c r="AR1525" s="1">
        <f>=COUNTIF(E1525:AI1525,"ÇHT")</f>
      </c>
      <c r="AS1525" s="1">
        <f>=COUNTIF(E1525:AI1525,"Ö")+COUNTIF(E1525:AI1525,"T")</f>
      </c>
      <c r="AT1525" s="1">
        <f>=COUNTIF(E1525:AI1525,"Y")</f>
      </c>
      <c r="AU1525" s="1">
        <f>=COUNTIF(E1525:AI1525,"R.")</f>
      </c>
      <c r="AV1525" s="1">
        <f>=COUNTIF(E1525:AI1525,"Ü")</f>
      </c>
      <c r="AW1525" s="1">
        <f>=COUNTIF(E1525:AI1525,"R")</f>
      </c>
      <c r="AX1525" s="1">
        <f>=COUNTIF(E1525:AI1525,"DV")</f>
      </c>
      <c r="AY1525" s="1">
        <f>=+AN1525+AO1525+AP1525+AQ1525+AR1525+AS1525+AT1525+AU1525</f>
      </c>
    </row>
    <row r="1526" ht="16" customHeight="1" spans="1:51" x14ac:dyDescent="0.25">
      <c r="A1526" s="45"/>
      <c r="B1526" s="46"/>
      <c r="C1526" s="46"/>
      <c r="D1526" s="46" t="s">
        <v>33</v>
      </c>
      <c r="E1526" s="46"/>
      <c r="F1526" s="46"/>
      <c r="G1526" s="46"/>
      <c r="H1526" s="46"/>
      <c r="I1526" s="46"/>
      <c r="J1526" s="46"/>
      <c r="K1526" s="46"/>
      <c r="L1526" s="46"/>
      <c r="M1526" s="46"/>
      <c r="N1526" s="46"/>
      <c r="O1526" s="46"/>
      <c r="P1526" s="46"/>
      <c r="Q1526" s="46"/>
      <c r="R1526" s="46"/>
      <c r="S1526" s="46"/>
      <c r="T1526" s="46"/>
      <c r="U1526" s="46"/>
      <c r="V1526" s="46"/>
      <c r="W1526" s="46"/>
      <c r="X1526" s="46"/>
      <c r="Y1526" s="46"/>
      <c r="Z1526" s="46"/>
      <c r="AA1526" s="46"/>
      <c r="AB1526" s="46"/>
      <c r="AC1526" s="46"/>
      <c r="AD1526" s="46"/>
      <c r="AE1526" s="46"/>
      <c r="AF1526" s="46"/>
      <c r="AG1526" s="46"/>
      <c r="AH1526" s="46"/>
      <c r="AI1526" s="46"/>
      <c r="AJ1526" s="46"/>
      <c r="AK1526" s="46"/>
      <c r="AL1526" s="46"/>
      <c r="AM1526" s="1"/>
      <c r="AN1526" s="1"/>
      <c r="AO1526" s="1"/>
      <c r="AP1526" s="1"/>
      <c r="AQ1526" s="1"/>
      <c r="AR1526" s="1"/>
      <c r="AS1526" s="1"/>
      <c r="AT1526" s="1"/>
      <c r="AU1526" s="1"/>
      <c r="AV1526" s="1"/>
      <c r="AW1526" s="1"/>
      <c r="AX1526" s="1"/>
      <c r="AY1526" s="1"/>
    </row>
    <row r="1527" ht="16" customHeight="1" spans="1:51" x14ac:dyDescent="0.25">
      <c r="A1527" s="45"/>
      <c r="B1527" s="46" t="s">
        <v>1579</v>
      </c>
      <c r="C1527" s="46" t="s">
        <v>1580</v>
      </c>
      <c r="D1527" s="46" t="s">
        <v>29</v>
      </c>
      <c r="E1527" s="46" t="s">
        <v>41</v>
      </c>
      <c r="F1527" s="46" t="s">
        <v>41</v>
      </c>
      <c r="G1527" s="46" t="s">
        <v>41</v>
      </c>
      <c r="H1527" s="46" t="s">
        <v>37</v>
      </c>
      <c r="I1527" s="46" t="s">
        <v>41</v>
      </c>
      <c r="J1527" s="46" t="s">
        <v>41</v>
      </c>
      <c r="K1527" s="46" t="s">
        <v>41</v>
      </c>
      <c r="L1527" s="46" t="s">
        <v>41</v>
      </c>
      <c r="M1527" s="46" t="s">
        <v>41</v>
      </c>
      <c r="N1527" s="46" t="s">
        <v>41</v>
      </c>
      <c r="O1527" s="46" t="s">
        <v>37</v>
      </c>
      <c r="P1527" s="46" t="s">
        <v>41</v>
      </c>
      <c r="Q1527" s="46" t="s">
        <v>41</v>
      </c>
      <c r="R1527" s="46" t="s">
        <v>41</v>
      </c>
      <c r="S1527" s="46" t="s">
        <v>41</v>
      </c>
      <c r="T1527" s="46" t="s">
        <v>41</v>
      </c>
      <c r="U1527" s="46" t="s">
        <v>41</v>
      </c>
      <c r="V1527" s="46" t="s">
        <v>37</v>
      </c>
      <c r="W1527" s="46" t="s">
        <v>41</v>
      </c>
      <c r="X1527" s="46" t="s">
        <v>41</v>
      </c>
      <c r="Y1527" s="46" t="s">
        <v>41</v>
      </c>
      <c r="Z1527" s="46" t="s">
        <v>41</v>
      </c>
      <c r="AA1527" s="46" t="s">
        <v>41</v>
      </c>
      <c r="AB1527" s="46" t="s">
        <v>41</v>
      </c>
      <c r="AC1527" s="46" t="s">
        <v>37</v>
      </c>
      <c r="AD1527" s="46" t="s">
        <v>41</v>
      </c>
      <c r="AE1527" s="46" t="s">
        <v>41</v>
      </c>
      <c r="AF1527" s="46" t="s">
        <v>41</v>
      </c>
      <c r="AG1527" s="46" t="s">
        <v>41</v>
      </c>
      <c r="AH1527" s="46" t="s">
        <v>43</v>
      </c>
      <c r="AI1527" s="46" t="s">
        <v>41</v>
      </c>
      <c r="AJ1527" s="46">
        <f>=SUM(E1528:AI1528)</f>
      </c>
      <c r="AK1527" s="46">
        <f>=+AY1527</f>
      </c>
      <c r="AL1527" s="46"/>
      <c r="AM1527" s="1"/>
      <c r="AN1527" s="1">
        <f>=COUNTIF(E1527:AI1527,"A")+COUNTIF(E1527:AI1527,"B")+COUNTIF(E1527:AI1527,"C")+COUNTIF(E1527:AI1527,"D")+COUNTIF(E1527:AI1527,"E")+COUNTIF(E1527:AI1527,"F")+COUNTIF(E1527:AI1527,"M")+COUNTIF(E1527:AI1527,"AB")+COUNTIF(E1527:AI1527,"UZ")+COUNTIF(E1527:AI1527,"G")+(COUNTIF(E1527:AI1527,"RT.")/2)+(COUNTIF(E1527:AI1527,"ÇRT.")/2)</f>
      </c>
      <c r="AO1527" s="1">
        <f>=COUNTIF(E1527:AI1527,"O")</f>
      </c>
      <c r="AP1527" s="1">
        <f>=COUNTIF(E1527:AI1527,"RT")+(COUNTIF(E1527:AI1527,"RT.")/2)</f>
      </c>
      <c r="AQ1527" s="1">
        <f>=COUNTIF(E1527:AI1527,"ÇRT")+(COUNTIF(E1527:AI1527,"ÇRT.")/2)</f>
      </c>
      <c r="AR1527" s="1">
        <f>=COUNTIF(E1527:AI1527,"ÇHT")</f>
      </c>
      <c r="AS1527" s="1">
        <f>=COUNTIF(E1527:AI1527,"Ö")+COUNTIF(E1527:AI1527,"T")</f>
      </c>
      <c r="AT1527" s="1">
        <f>=COUNTIF(E1527:AI1527,"Y")</f>
      </c>
      <c r="AU1527" s="1">
        <f>=COUNTIF(E1527:AI1527,"R.")</f>
      </c>
      <c r="AV1527" s="1">
        <f>=COUNTIF(E1527:AI1527,"Ü")</f>
      </c>
      <c r="AW1527" s="1">
        <f>=COUNTIF(E1527:AI1527,"R")</f>
      </c>
      <c r="AX1527" s="1">
        <f>=COUNTIF(E1527:AI1527,"DV")</f>
      </c>
      <c r="AY1527" s="1">
        <f>=+AN1527+AO1527+AP1527+AQ1527+AR1527+AS1527+AT1527+AU1527</f>
      </c>
    </row>
    <row r="1528" ht="16" customHeight="1" spans="1:51" x14ac:dyDescent="0.25">
      <c r="A1528" s="45"/>
      <c r="B1528" s="46"/>
      <c r="C1528" s="46"/>
      <c r="D1528" s="46" t="s">
        <v>33</v>
      </c>
      <c r="E1528" s="46">
        <v>2</v>
      </c>
      <c r="F1528" s="46">
        <v>2</v>
      </c>
      <c r="G1528" s="46">
        <v>2</v>
      </c>
      <c r="H1528" s="46"/>
      <c r="I1528" s="46">
        <v>2</v>
      </c>
      <c r="J1528" s="46">
        <v>2</v>
      </c>
      <c r="K1528" s="46">
        <v>2</v>
      </c>
      <c r="L1528" s="46">
        <v>2</v>
      </c>
      <c r="M1528" s="46">
        <v>2</v>
      </c>
      <c r="N1528" s="46">
        <v>2</v>
      </c>
      <c r="O1528" s="46"/>
      <c r="P1528" s="46">
        <v>2</v>
      </c>
      <c r="Q1528" s="46">
        <v>2</v>
      </c>
      <c r="R1528" s="46">
        <v>2</v>
      </c>
      <c r="S1528" s="46">
        <v>2</v>
      </c>
      <c r="T1528" s="46">
        <v>2</v>
      </c>
      <c r="U1528" s="46">
        <v>2</v>
      </c>
      <c r="V1528" s="46"/>
      <c r="W1528" s="46">
        <v>2</v>
      </c>
      <c r="X1528" s="46">
        <v>2</v>
      </c>
      <c r="Y1528" s="46">
        <v>2</v>
      </c>
      <c r="Z1528" s="46">
        <v>2</v>
      </c>
      <c r="AA1528" s="46">
        <v>2</v>
      </c>
      <c r="AB1528" s="46">
        <v>2</v>
      </c>
      <c r="AC1528" s="46"/>
      <c r="AD1528" s="46">
        <v>2</v>
      </c>
      <c r="AE1528" s="46">
        <v>2</v>
      </c>
      <c r="AF1528" s="46">
        <v>2</v>
      </c>
      <c r="AG1528" s="46">
        <v>2</v>
      </c>
      <c r="AH1528" s="46">
        <v>2</v>
      </c>
      <c r="AI1528" s="46">
        <v>2</v>
      </c>
      <c r="AJ1528" s="46"/>
      <c r="AK1528" s="46"/>
      <c r="AL1528" s="46"/>
      <c r="AM1528" s="1"/>
      <c r="AN1528" s="1"/>
      <c r="AO1528" s="1"/>
      <c r="AP1528" s="1"/>
      <c r="AQ1528" s="1"/>
      <c r="AR1528" s="1"/>
      <c r="AS1528" s="1"/>
      <c r="AT1528" s="1"/>
      <c r="AU1528" s="1"/>
      <c r="AV1528" s="1"/>
      <c r="AW1528" s="1"/>
      <c r="AX1528" s="1"/>
      <c r="AY1528" s="1"/>
    </row>
    <row r="1529" ht="16" customHeight="1" spans="1:51" x14ac:dyDescent="0.25">
      <c r="A1529" s="45"/>
      <c r="B1529" s="46" t="s">
        <v>1581</v>
      </c>
      <c r="C1529" s="46" t="s">
        <v>1582</v>
      </c>
      <c r="D1529" s="46" t="s">
        <v>29</v>
      </c>
      <c r="E1529" s="46" t="s">
        <v>59</v>
      </c>
      <c r="F1529" s="46" t="s">
        <v>59</v>
      </c>
      <c r="G1529" s="46" t="s">
        <v>59</v>
      </c>
      <c r="H1529" s="46" t="s">
        <v>59</v>
      </c>
      <c r="I1529" s="46" t="s">
        <v>37</v>
      </c>
      <c r="J1529" s="46" t="s">
        <v>59</v>
      </c>
      <c r="K1529" s="46" t="s">
        <v>59</v>
      </c>
      <c r="L1529" s="46" t="s">
        <v>59</v>
      </c>
      <c r="M1529" s="46" t="s">
        <v>59</v>
      </c>
      <c r="N1529" s="46" t="s">
        <v>59</v>
      </c>
      <c r="O1529" s="46" t="s">
        <v>59</v>
      </c>
      <c r="P1529" s="46" t="s">
        <v>37</v>
      </c>
      <c r="Q1529" s="46" t="s">
        <v>59</v>
      </c>
      <c r="R1529" s="46" t="s">
        <v>59</v>
      </c>
      <c r="S1529" s="46" t="s">
        <v>59</v>
      </c>
      <c r="T1529" s="46" t="s">
        <v>59</v>
      </c>
      <c r="U1529" s="46" t="s">
        <v>59</v>
      </c>
      <c r="V1529" s="46" t="s">
        <v>59</v>
      </c>
      <c r="W1529" s="46" t="s">
        <v>37</v>
      </c>
      <c r="X1529" s="46" t="s">
        <v>59</v>
      </c>
      <c r="Y1529" s="46" t="s">
        <v>59</v>
      </c>
      <c r="Z1529" s="46" t="s">
        <v>59</v>
      </c>
      <c r="AA1529" s="46" t="s">
        <v>59</v>
      </c>
      <c r="AB1529" s="46" t="s">
        <v>59</v>
      </c>
      <c r="AC1529" s="46" t="s">
        <v>59</v>
      </c>
      <c r="AD1529" s="46" t="s">
        <v>37</v>
      </c>
      <c r="AE1529" s="46" t="s">
        <v>59</v>
      </c>
      <c r="AF1529" s="46" t="s">
        <v>59</v>
      </c>
      <c r="AG1529" s="46" t="s">
        <v>59</v>
      </c>
      <c r="AH1529" s="46" t="s">
        <v>43</v>
      </c>
      <c r="AI1529" s="46" t="s">
        <v>59</v>
      </c>
      <c r="AJ1529" s="46">
        <f>=SUM(E1530:AI1530)</f>
      </c>
      <c r="AK1529" s="46">
        <f>=+AY1529</f>
      </c>
      <c r="AL1529" s="46"/>
      <c r="AM1529" s="1"/>
      <c r="AN1529" s="1">
        <f>=COUNTIF(E1529:AI1529,"A")+COUNTIF(E1529:AI1529,"B")+COUNTIF(E1529:AI1529,"C")+COUNTIF(E1529:AI1529,"D")+COUNTIF(E1529:AI1529,"E")+COUNTIF(E1529:AI1529,"F")+COUNTIF(E1529:AI1529,"M")+COUNTIF(E1529:AI1529,"AB")+COUNTIF(E1529:AI1529,"UZ")+COUNTIF(E1529:AI1529,"G")+(COUNTIF(E1529:AI1529,"RT.")/2)+(COUNTIF(E1529:AI1529,"ÇRT.")/2)</f>
      </c>
      <c r="AO1529" s="1">
        <f>=COUNTIF(E1529:AI1529,"O")</f>
      </c>
      <c r="AP1529" s="1">
        <f>=COUNTIF(E1529:AI1529,"RT")+(COUNTIF(E1529:AI1529,"RT.")/2)</f>
      </c>
      <c r="AQ1529" s="1">
        <f>=COUNTIF(E1529:AI1529,"ÇRT")+(COUNTIF(E1529:AI1529,"ÇRT.")/2)</f>
      </c>
      <c r="AR1529" s="1">
        <f>=COUNTIF(E1529:AI1529,"ÇHT")</f>
      </c>
      <c r="AS1529" s="1">
        <f>=COUNTIF(E1529:AI1529,"Ö")+COUNTIF(E1529:AI1529,"T")</f>
      </c>
      <c r="AT1529" s="1">
        <f>=COUNTIF(E1529:AI1529,"Y")</f>
      </c>
      <c r="AU1529" s="1">
        <f>=COUNTIF(E1529:AI1529,"R.")</f>
      </c>
      <c r="AV1529" s="1">
        <f>=COUNTIF(E1529:AI1529,"Ü")</f>
      </c>
      <c r="AW1529" s="1">
        <f>=COUNTIF(E1529:AI1529,"R")</f>
      </c>
      <c r="AX1529" s="1">
        <f>=COUNTIF(E1529:AI1529,"DV")</f>
      </c>
      <c r="AY1529" s="1">
        <f>=+AN1529+AO1529+AP1529+AQ1529+AR1529+AS1529+AT1529+AU1529</f>
      </c>
    </row>
    <row r="1530" ht="16" customHeight="1" spans="1:51" x14ac:dyDescent="0.25">
      <c r="A1530" s="45"/>
      <c r="B1530" s="46"/>
      <c r="C1530" s="46"/>
      <c r="D1530" s="46" t="s">
        <v>33</v>
      </c>
      <c r="E1530" s="46">
        <v>2</v>
      </c>
      <c r="F1530" s="46">
        <v>2</v>
      </c>
      <c r="G1530" s="46">
        <v>2</v>
      </c>
      <c r="H1530" s="46"/>
      <c r="I1530" s="46"/>
      <c r="J1530" s="46">
        <v>1</v>
      </c>
      <c r="K1530" s="46">
        <v>2</v>
      </c>
      <c r="L1530" s="46"/>
      <c r="M1530" s="46">
        <v>2</v>
      </c>
      <c r="N1530" s="46"/>
      <c r="O1530" s="46">
        <v>2</v>
      </c>
      <c r="P1530" s="46"/>
      <c r="Q1530" s="46">
        <v>2</v>
      </c>
      <c r="R1530" s="46">
        <v>2</v>
      </c>
      <c r="S1530" s="46"/>
      <c r="T1530" s="46">
        <v>2</v>
      </c>
      <c r="U1530" s="46"/>
      <c r="V1530" s="46"/>
      <c r="W1530" s="46"/>
      <c r="X1530" s="46"/>
      <c r="Y1530" s="46">
        <v>2</v>
      </c>
      <c r="Z1530" s="46">
        <v>2</v>
      </c>
      <c r="AA1530" s="46"/>
      <c r="AB1530" s="46"/>
      <c r="AC1530" s="46">
        <v>2</v>
      </c>
      <c r="AD1530" s="46"/>
      <c r="AE1530" s="46"/>
      <c r="AF1530" s="46">
        <v>2</v>
      </c>
      <c r="AG1530" s="46"/>
      <c r="AH1530" s="46">
        <v>2</v>
      </c>
      <c r="AI1530" s="46"/>
      <c r="AJ1530" s="46"/>
      <c r="AK1530" s="46"/>
      <c r="AL1530" s="46"/>
      <c r="AM1530" s="1"/>
      <c r="AN1530" s="1"/>
      <c r="AO1530" s="1"/>
      <c r="AP1530" s="1"/>
      <c r="AQ1530" s="1"/>
      <c r="AR1530" s="1"/>
      <c r="AS1530" s="1"/>
      <c r="AT1530" s="1"/>
      <c r="AU1530" s="1"/>
      <c r="AV1530" s="1"/>
      <c r="AW1530" s="1"/>
      <c r="AX1530" s="1"/>
      <c r="AY1530" s="1"/>
    </row>
    <row r="1531" ht="16" customHeight="1" spans="1:51" x14ac:dyDescent="0.25">
      <c r="A1531" s="45"/>
      <c r="B1531" s="46" t="s">
        <v>1583</v>
      </c>
      <c r="C1531" s="46" t="s">
        <v>1584</v>
      </c>
      <c r="D1531" s="46" t="s">
        <v>29</v>
      </c>
      <c r="E1531" s="46" t="s">
        <v>36</v>
      </c>
      <c r="F1531" s="46" t="s">
        <v>37</v>
      </c>
      <c r="G1531" s="46" t="s">
        <v>36</v>
      </c>
      <c r="H1531" s="46" t="s">
        <v>36</v>
      </c>
      <c r="I1531" s="46" t="s">
        <v>36</v>
      </c>
      <c r="J1531" s="46" t="s">
        <v>36</v>
      </c>
      <c r="K1531" s="46" t="s">
        <v>36</v>
      </c>
      <c r="L1531" s="46" t="s">
        <v>36</v>
      </c>
      <c r="M1531" s="46" t="s">
        <v>37</v>
      </c>
      <c r="N1531" s="46" t="s">
        <v>36</v>
      </c>
      <c r="O1531" s="46" t="s">
        <v>36</v>
      </c>
      <c r="P1531" s="46" t="s">
        <v>36</v>
      </c>
      <c r="Q1531" s="46" t="s">
        <v>36</v>
      </c>
      <c r="R1531" s="46" t="s">
        <v>36</v>
      </c>
      <c r="S1531" s="46" t="s">
        <v>36</v>
      </c>
      <c r="T1531" s="46" t="s">
        <v>37</v>
      </c>
      <c r="U1531" s="46" t="s">
        <v>36</v>
      </c>
      <c r="V1531" s="46" t="s">
        <v>36</v>
      </c>
      <c r="W1531" s="46" t="s">
        <v>36</v>
      </c>
      <c r="X1531" s="46" t="s">
        <v>36</v>
      </c>
      <c r="Y1531" s="46" t="s">
        <v>36</v>
      </c>
      <c r="Z1531" s="46" t="s">
        <v>36</v>
      </c>
      <c r="AA1531" s="46" t="s">
        <v>37</v>
      </c>
      <c r="AB1531" s="46" t="s">
        <v>36</v>
      </c>
      <c r="AC1531" s="46" t="s">
        <v>36</v>
      </c>
      <c r="AD1531" s="46" t="s">
        <v>36</v>
      </c>
      <c r="AE1531" s="46" t="s">
        <v>36</v>
      </c>
      <c r="AF1531" s="46" t="s">
        <v>36</v>
      </c>
      <c r="AG1531" s="46" t="s">
        <v>36</v>
      </c>
      <c r="AH1531" s="46" t="s">
        <v>37</v>
      </c>
      <c r="AI1531" s="46" t="s">
        <v>36</v>
      </c>
      <c r="AJ1531" s="46">
        <f>=SUM(E1532:AI1532)</f>
      </c>
      <c r="AK1531" s="46">
        <f>=+AY1531</f>
      </c>
      <c r="AL1531" s="46"/>
      <c r="AM1531" s="1"/>
      <c r="AN1531" s="1">
        <f>=COUNTIF(E1531:AI1531,"A")+COUNTIF(E1531:AI1531,"B")+COUNTIF(E1531:AI1531,"C")+COUNTIF(E1531:AI1531,"D")+COUNTIF(E1531:AI1531,"E")+COUNTIF(E1531:AI1531,"F")+COUNTIF(E1531:AI1531,"M")+COUNTIF(E1531:AI1531,"AB")+COUNTIF(E1531:AI1531,"UZ")+COUNTIF(E1531:AI1531,"G")+(COUNTIF(E1531:AI1531,"RT.")/2)+(COUNTIF(E1531:AI1531,"ÇRT.")/2)</f>
      </c>
      <c r="AO1531" s="1">
        <f>=COUNTIF(E1531:AI1531,"O")</f>
      </c>
      <c r="AP1531" s="1">
        <f>=COUNTIF(E1531:AI1531,"RT")+(COUNTIF(E1531:AI1531,"RT.")/2)</f>
      </c>
      <c r="AQ1531" s="1">
        <f>=COUNTIF(E1531:AI1531,"ÇRT")+(COUNTIF(E1531:AI1531,"ÇRT.")/2)</f>
      </c>
      <c r="AR1531" s="1">
        <f>=COUNTIF(E1531:AI1531,"ÇHT")</f>
      </c>
      <c r="AS1531" s="1">
        <f>=COUNTIF(E1531:AI1531,"Ö")+COUNTIF(E1531:AI1531,"T")</f>
      </c>
      <c r="AT1531" s="1">
        <f>=COUNTIF(E1531:AI1531,"Y")</f>
      </c>
      <c r="AU1531" s="1">
        <f>=COUNTIF(E1531:AI1531,"R.")</f>
      </c>
      <c r="AV1531" s="1">
        <f>=COUNTIF(E1531:AI1531,"Ü")</f>
      </c>
      <c r="AW1531" s="1">
        <f>=COUNTIF(E1531:AI1531,"R")</f>
      </c>
      <c r="AX1531" s="1">
        <f>=COUNTIF(E1531:AI1531,"DV")</f>
      </c>
      <c r="AY1531" s="1">
        <f>=+AN1531+AO1531+AP1531+AQ1531+AR1531+AS1531+AT1531+AU1531</f>
      </c>
    </row>
    <row r="1532" ht="16" customHeight="1" spans="1:51" x14ac:dyDescent="0.25">
      <c r="A1532" s="45"/>
      <c r="B1532" s="46"/>
      <c r="C1532" s="46"/>
      <c r="D1532" s="46" t="s">
        <v>33</v>
      </c>
      <c r="E1532" s="46"/>
      <c r="F1532" s="46"/>
      <c r="G1532" s="46"/>
      <c r="H1532" s="46">
        <v>2</v>
      </c>
      <c r="I1532" s="46"/>
      <c r="J1532" s="46">
        <v>2</v>
      </c>
      <c r="K1532" s="46"/>
      <c r="L1532" s="46"/>
      <c r="M1532" s="46"/>
      <c r="N1532" s="46"/>
      <c r="O1532" s="46">
        <v>2</v>
      </c>
      <c r="P1532" s="46">
        <v>2</v>
      </c>
      <c r="Q1532" s="46">
        <v>2</v>
      </c>
      <c r="R1532" s="46"/>
      <c r="S1532" s="46"/>
      <c r="T1532" s="46"/>
      <c r="U1532" s="46"/>
      <c r="V1532" s="46">
        <v>2</v>
      </c>
      <c r="W1532" s="46">
        <v>2</v>
      </c>
      <c r="X1532" s="46">
        <v>2</v>
      </c>
      <c r="Y1532" s="46"/>
      <c r="Z1532" s="46"/>
      <c r="AA1532" s="46"/>
      <c r="AB1532" s="46"/>
      <c r="AC1532" s="46">
        <v>2</v>
      </c>
      <c r="AD1532" s="46">
        <v>2</v>
      </c>
      <c r="AE1532" s="46">
        <v>2</v>
      </c>
      <c r="AF1532" s="46"/>
      <c r="AG1532" s="46"/>
      <c r="AH1532" s="46"/>
      <c r="AI1532" s="46"/>
      <c r="AJ1532" s="46"/>
      <c r="AK1532" s="46"/>
      <c r="AL1532" s="46"/>
      <c r="AM1532" s="1"/>
      <c r="AN1532" s="1"/>
      <c r="AO1532" s="1"/>
      <c r="AP1532" s="1"/>
      <c r="AQ1532" s="1"/>
      <c r="AR1532" s="1"/>
      <c r="AS1532" s="1"/>
      <c r="AT1532" s="1"/>
      <c r="AU1532" s="1"/>
      <c r="AV1532" s="1"/>
      <c r="AW1532" s="1"/>
      <c r="AX1532" s="1"/>
      <c r="AY1532" s="1"/>
    </row>
    <row r="1533" ht="16" customHeight="1" spans="1:51" x14ac:dyDescent="0.25">
      <c r="A1533" s="45"/>
      <c r="B1533" s="46" t="s">
        <v>1585</v>
      </c>
      <c r="C1533" s="46" t="s">
        <v>1586</v>
      </c>
      <c r="D1533" s="46" t="s">
        <v>29</v>
      </c>
      <c r="E1533" s="46" t="s">
        <v>36</v>
      </c>
      <c r="F1533" s="46" t="s">
        <v>36</v>
      </c>
      <c r="G1533" s="46" t="s">
        <v>36</v>
      </c>
      <c r="H1533" s="46" t="s">
        <v>36</v>
      </c>
      <c r="I1533" s="46" t="s">
        <v>37</v>
      </c>
      <c r="J1533" s="46" t="s">
        <v>337</v>
      </c>
      <c r="K1533" s="46" t="s">
        <v>337</v>
      </c>
      <c r="L1533" s="46" t="s">
        <v>36</v>
      </c>
      <c r="M1533" s="46" t="s">
        <v>36</v>
      </c>
      <c r="N1533" s="46" t="s">
        <v>36</v>
      </c>
      <c r="O1533" s="46" t="s">
        <v>36</v>
      </c>
      <c r="P1533" s="46" t="s">
        <v>37</v>
      </c>
      <c r="Q1533" s="46" t="s">
        <v>36</v>
      </c>
      <c r="R1533" s="46" t="s">
        <v>36</v>
      </c>
      <c r="S1533" s="46" t="s">
        <v>36</v>
      </c>
      <c r="T1533" s="46" t="s">
        <v>36</v>
      </c>
      <c r="U1533" s="46" t="s">
        <v>36</v>
      </c>
      <c r="V1533" s="46" t="s">
        <v>36</v>
      </c>
      <c r="W1533" s="46" t="s">
        <v>36</v>
      </c>
      <c r="X1533" s="46" t="s">
        <v>36</v>
      </c>
      <c r="Y1533" s="46" t="s">
        <v>36</v>
      </c>
      <c r="Z1533" s="46" t="s">
        <v>36</v>
      </c>
      <c r="AA1533" s="46" t="s">
        <v>37</v>
      </c>
      <c r="AB1533" s="46" t="s">
        <v>41</v>
      </c>
      <c r="AC1533" s="46" t="s">
        <v>41</v>
      </c>
      <c r="AD1533" s="46" t="s">
        <v>41</v>
      </c>
      <c r="AE1533" s="46" t="s">
        <v>41</v>
      </c>
      <c r="AF1533" s="46" t="s">
        <v>41</v>
      </c>
      <c r="AG1533" s="46" t="s">
        <v>41</v>
      </c>
      <c r="AH1533" s="46" t="s">
        <v>37</v>
      </c>
      <c r="AI1533" s="46" t="s">
        <v>41</v>
      </c>
      <c r="AJ1533" s="46">
        <f>=SUM(E1534:AI1534)</f>
      </c>
      <c r="AK1533" s="46">
        <f>=+AY1533</f>
      </c>
      <c r="AL1533" s="46"/>
      <c r="AM1533" s="1"/>
      <c r="AN1533" s="1">
        <f>=COUNTIF(E1533:AI1533,"A")+COUNTIF(E1533:AI1533,"B")+COUNTIF(E1533:AI1533,"C")+COUNTIF(E1533:AI1533,"D")+COUNTIF(E1533:AI1533,"E")+COUNTIF(E1533:AI1533,"F")+COUNTIF(E1533:AI1533,"M")+COUNTIF(E1533:AI1533,"AB")+COUNTIF(E1533:AI1533,"UZ")+COUNTIF(E1533:AI1533,"G")+(COUNTIF(E1533:AI1533,"RT.")/2)+(COUNTIF(E1533:AI1533,"ÇRT.")/2)</f>
      </c>
      <c r="AO1533" s="1">
        <f>=COUNTIF(E1533:AI1533,"O")</f>
      </c>
      <c r="AP1533" s="1">
        <f>=COUNTIF(E1533:AI1533,"RT")+(COUNTIF(E1533:AI1533,"RT.")/2)</f>
      </c>
      <c r="AQ1533" s="1">
        <f>=COUNTIF(E1533:AI1533,"ÇRT")+(COUNTIF(E1533:AI1533,"ÇRT.")/2)</f>
      </c>
      <c r="AR1533" s="1">
        <f>=COUNTIF(E1533:AI1533,"ÇHT")</f>
      </c>
      <c r="AS1533" s="1">
        <f>=COUNTIF(E1533:AI1533,"Ö")+COUNTIF(E1533:AI1533,"T")</f>
      </c>
      <c r="AT1533" s="1">
        <f>=COUNTIF(E1533:AI1533,"Y")</f>
      </c>
      <c r="AU1533" s="1">
        <f>=COUNTIF(E1533:AI1533,"R.")</f>
      </c>
      <c r="AV1533" s="1">
        <f>=COUNTIF(E1533:AI1533,"Ü")</f>
      </c>
      <c r="AW1533" s="1">
        <f>=COUNTIF(E1533:AI1533,"R")</f>
      </c>
      <c r="AX1533" s="1">
        <f>=COUNTIF(E1533:AI1533,"DV")</f>
      </c>
      <c r="AY1533" s="1">
        <f>=+AN1533+AO1533+AP1533+AQ1533+AR1533+AS1533+AT1533+AU1533</f>
      </c>
    </row>
    <row r="1534" ht="16" customHeight="1" spans="1:51" x14ac:dyDescent="0.25">
      <c r="A1534" s="45"/>
      <c r="B1534" s="46"/>
      <c r="C1534" s="46"/>
      <c r="D1534" s="46" t="s">
        <v>33</v>
      </c>
      <c r="E1534" s="46">
        <v>3</v>
      </c>
      <c r="F1534" s="46">
        <v>3</v>
      </c>
      <c r="G1534" s="46">
        <v>2.5</v>
      </c>
      <c r="H1534" s="46"/>
      <c r="I1534" s="46"/>
      <c r="J1534" s="46"/>
      <c r="K1534" s="46"/>
      <c r="L1534" s="46">
        <v>3</v>
      </c>
      <c r="M1534" s="46">
        <v>3</v>
      </c>
      <c r="N1534" s="46">
        <v>3</v>
      </c>
      <c r="O1534" s="46">
        <v>3</v>
      </c>
      <c r="P1534" s="46"/>
      <c r="Q1534" s="46">
        <v>3</v>
      </c>
      <c r="R1534" s="46">
        <v>3</v>
      </c>
      <c r="S1534" s="46"/>
      <c r="T1534" s="46"/>
      <c r="U1534" s="46"/>
      <c r="V1534" s="46">
        <v>3</v>
      </c>
      <c r="W1534" s="46">
        <v>3</v>
      </c>
      <c r="X1534" s="46">
        <v>3</v>
      </c>
      <c r="Y1534" s="46">
        <v>3</v>
      </c>
      <c r="Z1534" s="46"/>
      <c r="AA1534" s="46"/>
      <c r="AB1534" s="46"/>
      <c r="AC1534" s="46"/>
      <c r="AD1534" s="46"/>
      <c r="AE1534" s="46"/>
      <c r="AF1534" s="46"/>
      <c r="AG1534" s="46"/>
      <c r="AH1534" s="46"/>
      <c r="AI1534" s="46"/>
      <c r="AJ1534" s="46"/>
      <c r="AK1534" s="46"/>
      <c r="AL1534" s="46"/>
      <c r="AM1534" s="1"/>
      <c r="AN1534" s="1"/>
      <c r="AO1534" s="1"/>
      <c r="AP1534" s="1"/>
      <c r="AQ1534" s="1"/>
      <c r="AR1534" s="1"/>
      <c r="AS1534" s="1"/>
      <c r="AT1534" s="1"/>
      <c r="AU1534" s="1"/>
      <c r="AV1534" s="1"/>
      <c r="AW1534" s="1"/>
      <c r="AX1534" s="1"/>
      <c r="AY1534" s="1"/>
    </row>
    <row r="1535" ht="16" customHeight="1" spans="1:51" x14ac:dyDescent="0.25">
      <c r="A1535" s="45"/>
      <c r="B1535" s="46" t="s">
        <v>1587</v>
      </c>
      <c r="C1535" s="46" t="s">
        <v>1588</v>
      </c>
      <c r="D1535" s="46" t="s">
        <v>29</v>
      </c>
      <c r="E1535" s="46" t="s">
        <v>36</v>
      </c>
      <c r="F1535" s="46" t="s">
        <v>36</v>
      </c>
      <c r="G1535" s="46" t="s">
        <v>37</v>
      </c>
      <c r="H1535" s="46" t="s">
        <v>299</v>
      </c>
      <c r="I1535" s="46" t="s">
        <v>299</v>
      </c>
      <c r="J1535" s="46" t="s">
        <v>299</v>
      </c>
      <c r="K1535" s="46" t="s">
        <v>36</v>
      </c>
      <c r="L1535" s="46" t="s">
        <v>36</v>
      </c>
      <c r="M1535" s="46" t="s">
        <v>36</v>
      </c>
      <c r="N1535" s="46" t="s">
        <v>37</v>
      </c>
      <c r="O1535" s="46" t="s">
        <v>299</v>
      </c>
      <c r="P1535" s="46" t="s">
        <v>299</v>
      </c>
      <c r="Q1535" s="46" t="s">
        <v>299</v>
      </c>
      <c r="R1535" s="46" t="s">
        <v>36</v>
      </c>
      <c r="S1535" s="46" t="s">
        <v>36</v>
      </c>
      <c r="T1535" s="46" t="s">
        <v>36</v>
      </c>
      <c r="U1535" s="46" t="s">
        <v>37</v>
      </c>
      <c r="V1535" s="46" t="s">
        <v>299</v>
      </c>
      <c r="W1535" s="46" t="s">
        <v>31</v>
      </c>
      <c r="X1535" s="46" t="s">
        <v>299</v>
      </c>
      <c r="Y1535" s="46" t="s">
        <v>36</v>
      </c>
      <c r="Z1535" s="46" t="s">
        <v>36</v>
      </c>
      <c r="AA1535" s="46" t="s">
        <v>36</v>
      </c>
      <c r="AB1535" s="46" t="s">
        <v>37</v>
      </c>
      <c r="AC1535" s="46" t="s">
        <v>299</v>
      </c>
      <c r="AD1535" s="46" t="s">
        <v>299</v>
      </c>
      <c r="AE1535" s="46" t="s">
        <v>299</v>
      </c>
      <c r="AF1535" s="46" t="s">
        <v>36</v>
      </c>
      <c r="AG1535" s="46" t="s">
        <v>36</v>
      </c>
      <c r="AH1535" s="46" t="s">
        <v>43</v>
      </c>
      <c r="AI1535" s="46" t="s">
        <v>299</v>
      </c>
      <c r="AJ1535" s="46">
        <f>=SUM(E1536:AI1536)</f>
      </c>
      <c r="AK1535" s="46">
        <f>=+AY1535</f>
      </c>
      <c r="AL1535" s="46"/>
      <c r="AM1535" s="1"/>
      <c r="AN1535" s="1">
        <f>=COUNTIF(E1535:AI1535,"A")+COUNTIF(E1535:AI1535,"B")+COUNTIF(E1535:AI1535,"C")+COUNTIF(E1535:AI1535,"D")+COUNTIF(E1535:AI1535,"E")+COUNTIF(E1535:AI1535,"F")+COUNTIF(E1535:AI1535,"M")+COUNTIF(E1535:AI1535,"AB")+COUNTIF(E1535:AI1535,"UZ")+COUNTIF(E1535:AI1535,"G")+(COUNTIF(E1535:AI1535,"RT.")/2)+(COUNTIF(E1535:AI1535,"ÇRT.")/2)</f>
      </c>
      <c r="AO1535" s="1">
        <f>=COUNTIF(E1535:AI1535,"O")</f>
      </c>
      <c r="AP1535" s="1">
        <f>=COUNTIF(E1535:AI1535,"RT")+(COUNTIF(E1535:AI1535,"RT.")/2)</f>
      </c>
      <c r="AQ1535" s="1">
        <f>=COUNTIF(E1535:AI1535,"ÇRT")+(COUNTIF(E1535:AI1535,"ÇRT.")/2)</f>
      </c>
      <c r="AR1535" s="1">
        <f>=COUNTIF(E1535:AI1535,"ÇHT")</f>
      </c>
      <c r="AS1535" s="1">
        <f>=COUNTIF(E1535:AI1535,"Ö")+COUNTIF(E1535:AI1535,"T")</f>
      </c>
      <c r="AT1535" s="1">
        <f>=COUNTIF(E1535:AI1535,"Y")</f>
      </c>
      <c r="AU1535" s="1">
        <f>=COUNTIF(E1535:AI1535,"R.")</f>
      </c>
      <c r="AV1535" s="1">
        <f>=COUNTIF(E1535:AI1535,"Ü")</f>
      </c>
      <c r="AW1535" s="1">
        <f>=COUNTIF(E1535:AI1535,"R")</f>
      </c>
      <c r="AX1535" s="1">
        <f>=COUNTIF(E1535:AI1535,"DV")</f>
      </c>
      <c r="AY1535" s="1">
        <f>=+AN1535+AO1535+AP1535+AQ1535+AR1535+AS1535+AT1535+AU1535</f>
      </c>
    </row>
    <row r="1536" ht="16" customHeight="1" spans="1:51" x14ac:dyDescent="0.25">
      <c r="A1536" s="45"/>
      <c r="B1536" s="46"/>
      <c r="C1536" s="46"/>
      <c r="D1536" s="46" t="s">
        <v>33</v>
      </c>
      <c r="E1536" s="46">
        <v>2</v>
      </c>
      <c r="F1536" s="46"/>
      <c r="G1536" s="46"/>
      <c r="H1536" s="46">
        <v>2</v>
      </c>
      <c r="I1536" s="46">
        <v>2</v>
      </c>
      <c r="J1536" s="46">
        <v>2</v>
      </c>
      <c r="K1536" s="46"/>
      <c r="L1536" s="46"/>
      <c r="M1536" s="46"/>
      <c r="N1536" s="46"/>
      <c r="O1536" s="46">
        <v>2</v>
      </c>
      <c r="P1536" s="46">
        <v>2</v>
      </c>
      <c r="Q1536" s="46">
        <v>2</v>
      </c>
      <c r="R1536" s="46"/>
      <c r="S1536" s="46"/>
      <c r="T1536" s="46"/>
      <c r="U1536" s="46"/>
      <c r="V1536" s="46">
        <v>2</v>
      </c>
      <c r="W1536" s="46"/>
      <c r="X1536" s="46">
        <v>2</v>
      </c>
      <c r="Y1536" s="46"/>
      <c r="Z1536" s="46"/>
      <c r="AA1536" s="46"/>
      <c r="AB1536" s="46"/>
      <c r="AC1536" s="46">
        <v>2</v>
      </c>
      <c r="AD1536" s="46">
        <v>2</v>
      </c>
      <c r="AE1536" s="46">
        <v>2</v>
      </c>
      <c r="AF1536" s="46"/>
      <c r="AG1536" s="46"/>
      <c r="AH1536" s="46">
        <v>2</v>
      </c>
      <c r="AI1536" s="46">
        <v>2</v>
      </c>
      <c r="AJ1536" s="46"/>
      <c r="AK1536" s="46"/>
      <c r="AL1536" s="46"/>
      <c r="AM1536" s="1"/>
      <c r="AN1536" s="1"/>
      <c r="AO1536" s="1"/>
      <c r="AP1536" s="1"/>
      <c r="AQ1536" s="1"/>
      <c r="AR1536" s="1"/>
      <c r="AS1536" s="1"/>
      <c r="AT1536" s="1"/>
      <c r="AU1536" s="1"/>
      <c r="AV1536" s="1"/>
      <c r="AW1536" s="1"/>
      <c r="AX1536" s="1"/>
      <c r="AY1536" s="1"/>
    </row>
    <row r="1537" ht="16" customHeight="1" spans="1:51" x14ac:dyDescent="0.25">
      <c r="A1537" s="45"/>
      <c r="B1537" s="46" t="s">
        <v>1589</v>
      </c>
      <c r="C1537" s="46" t="s">
        <v>1590</v>
      </c>
      <c r="D1537" s="46" t="s">
        <v>29</v>
      </c>
      <c r="E1537" s="46" t="s">
        <v>41</v>
      </c>
      <c r="F1537" s="46" t="s">
        <v>41</v>
      </c>
      <c r="G1537" s="46" t="s">
        <v>41</v>
      </c>
      <c r="H1537" s="46" t="s">
        <v>41</v>
      </c>
      <c r="I1537" s="46" t="s">
        <v>41</v>
      </c>
      <c r="J1537" s="46" t="s">
        <v>41</v>
      </c>
      <c r="K1537" s="46" t="s">
        <v>41</v>
      </c>
      <c r="L1537" s="46" t="s">
        <v>37</v>
      </c>
      <c r="M1537" s="46" t="s">
        <v>41</v>
      </c>
      <c r="N1537" s="46" t="s">
        <v>41</v>
      </c>
      <c r="O1537" s="46" t="s">
        <v>41</v>
      </c>
      <c r="P1537" s="46" t="s">
        <v>41</v>
      </c>
      <c r="Q1537" s="46" t="s">
        <v>41</v>
      </c>
      <c r="R1537" s="46" t="s">
        <v>41</v>
      </c>
      <c r="S1537" s="46" t="s">
        <v>37</v>
      </c>
      <c r="T1537" s="46" t="s">
        <v>41</v>
      </c>
      <c r="U1537" s="46" t="s">
        <v>41</v>
      </c>
      <c r="V1537" s="46" t="s">
        <v>41</v>
      </c>
      <c r="W1537" s="46" t="s">
        <v>41</v>
      </c>
      <c r="X1537" s="46" t="s">
        <v>41</v>
      </c>
      <c r="Y1537" s="46" t="s">
        <v>41</v>
      </c>
      <c r="Z1537" s="46" t="s">
        <v>37</v>
      </c>
      <c r="AA1537" s="46" t="s">
        <v>41</v>
      </c>
      <c r="AB1537" s="46" t="s">
        <v>41</v>
      </c>
      <c r="AC1537" s="46" t="s">
        <v>37</v>
      </c>
      <c r="AD1537" s="46" t="s">
        <v>41</v>
      </c>
      <c r="AE1537" s="46" t="s">
        <v>41</v>
      </c>
      <c r="AF1537" s="46" t="s">
        <v>41</v>
      </c>
      <c r="AG1537" s="46" t="s">
        <v>41</v>
      </c>
      <c r="AH1537" s="46" t="s">
        <v>43</v>
      </c>
      <c r="AI1537" s="46" t="s">
        <v>41</v>
      </c>
      <c r="AJ1537" s="46">
        <f>=SUM(E1538:AI1538)</f>
      </c>
      <c r="AK1537" s="46">
        <f>=+AY1537</f>
      </c>
      <c r="AL1537" s="46"/>
      <c r="AM1537" s="1"/>
      <c r="AN1537" s="1">
        <f>=COUNTIF(E1537:AI1537,"A")+COUNTIF(E1537:AI1537,"B")+COUNTIF(E1537:AI1537,"C")+COUNTIF(E1537:AI1537,"D")+COUNTIF(E1537:AI1537,"E")+COUNTIF(E1537:AI1537,"F")+COUNTIF(E1537:AI1537,"M")+COUNTIF(E1537:AI1537,"AB")+COUNTIF(E1537:AI1537,"UZ")+COUNTIF(E1537:AI1537,"G")+(COUNTIF(E1537:AI1537,"RT.")/2)+(COUNTIF(E1537:AI1537,"ÇRT.")/2)</f>
      </c>
      <c r="AO1537" s="1">
        <f>=COUNTIF(E1537:AI1537,"O")</f>
      </c>
      <c r="AP1537" s="1">
        <f>=COUNTIF(E1537:AI1537,"RT")+(COUNTIF(E1537:AI1537,"RT.")/2)</f>
      </c>
      <c r="AQ1537" s="1">
        <f>=COUNTIF(E1537:AI1537,"ÇRT")+(COUNTIF(E1537:AI1537,"ÇRT.")/2)</f>
      </c>
      <c r="AR1537" s="1">
        <f>=COUNTIF(E1537:AI1537,"ÇHT")</f>
      </c>
      <c r="AS1537" s="1">
        <f>=COUNTIF(E1537:AI1537,"Ö")+COUNTIF(E1537:AI1537,"T")</f>
      </c>
      <c r="AT1537" s="1">
        <f>=COUNTIF(E1537:AI1537,"Y")</f>
      </c>
      <c r="AU1537" s="1">
        <f>=COUNTIF(E1537:AI1537,"R.")</f>
      </c>
      <c r="AV1537" s="1">
        <f>=COUNTIF(E1537:AI1537,"Ü")</f>
      </c>
      <c r="AW1537" s="1">
        <f>=COUNTIF(E1537:AI1537,"R")</f>
      </c>
      <c r="AX1537" s="1">
        <f>=COUNTIF(E1537:AI1537,"DV")</f>
      </c>
      <c r="AY1537" s="1">
        <f>=+AN1537+AO1537+AP1537+AQ1537+AR1537+AS1537+AT1537+AU1537</f>
      </c>
    </row>
    <row r="1538" ht="16" customHeight="1" spans="1:51" x14ac:dyDescent="0.25">
      <c r="A1538" s="45"/>
      <c r="B1538" s="46"/>
      <c r="C1538" s="46"/>
      <c r="D1538" s="46" t="s">
        <v>33</v>
      </c>
      <c r="E1538" s="46"/>
      <c r="F1538" s="46">
        <v>2</v>
      </c>
      <c r="G1538" s="46">
        <v>2</v>
      </c>
      <c r="H1538" s="46"/>
      <c r="I1538" s="46"/>
      <c r="J1538" s="46"/>
      <c r="K1538" s="46"/>
      <c r="L1538" s="46"/>
      <c r="M1538" s="46"/>
      <c r="N1538" s="46">
        <v>2</v>
      </c>
      <c r="O1538" s="46">
        <v>2</v>
      </c>
      <c r="P1538" s="46"/>
      <c r="Q1538" s="46"/>
      <c r="R1538" s="46"/>
      <c r="S1538" s="46"/>
      <c r="T1538" s="46"/>
      <c r="U1538" s="46">
        <v>2</v>
      </c>
      <c r="V1538" s="46">
        <v>2</v>
      </c>
      <c r="W1538" s="46"/>
      <c r="X1538" s="46"/>
      <c r="Y1538" s="46"/>
      <c r="Z1538" s="46"/>
      <c r="AA1538" s="46"/>
      <c r="AB1538" s="46">
        <v>2</v>
      </c>
      <c r="AC1538" s="46"/>
      <c r="AD1538" s="46"/>
      <c r="AE1538" s="46"/>
      <c r="AF1538" s="46"/>
      <c r="AG1538" s="46">
        <v>2</v>
      </c>
      <c r="AH1538" s="46"/>
      <c r="AI1538" s="46"/>
      <c r="AJ1538" s="46"/>
      <c r="AK1538" s="46"/>
      <c r="AL1538" s="46"/>
      <c r="AM1538" s="1"/>
      <c r="AN1538" s="1"/>
      <c r="AO1538" s="1"/>
      <c r="AP1538" s="1"/>
      <c r="AQ1538" s="1"/>
      <c r="AR1538" s="1"/>
      <c r="AS1538" s="1"/>
      <c r="AT1538" s="1"/>
      <c r="AU1538" s="1"/>
      <c r="AV1538" s="1"/>
      <c r="AW1538" s="1"/>
      <c r="AX1538" s="1"/>
      <c r="AY1538" s="1"/>
    </row>
    <row r="1539" ht="16" customHeight="1" spans="1:51" x14ac:dyDescent="0.25">
      <c r="A1539" s="45"/>
      <c r="B1539" s="46" t="s">
        <v>1591</v>
      </c>
      <c r="C1539" s="46" t="s">
        <v>1592</v>
      </c>
      <c r="D1539" s="46" t="s">
        <v>29</v>
      </c>
      <c r="E1539" s="46" t="s">
        <v>299</v>
      </c>
      <c r="F1539" s="46" t="s">
        <v>299</v>
      </c>
      <c r="G1539" s="46" t="s">
        <v>299</v>
      </c>
      <c r="H1539" s="46" t="s">
        <v>37</v>
      </c>
      <c r="I1539" s="46" t="s">
        <v>299</v>
      </c>
      <c r="J1539" s="46" t="s">
        <v>299</v>
      </c>
      <c r="K1539" s="46" t="s">
        <v>299</v>
      </c>
      <c r="L1539" s="46" t="s">
        <v>299</v>
      </c>
      <c r="M1539" s="46" t="s">
        <v>299</v>
      </c>
      <c r="N1539" s="46" t="s">
        <v>36</v>
      </c>
      <c r="O1539" s="46" t="s">
        <v>37</v>
      </c>
      <c r="P1539" s="46" t="s">
        <v>299</v>
      </c>
      <c r="Q1539" s="46" t="s">
        <v>299</v>
      </c>
      <c r="R1539" s="46" t="s">
        <v>299</v>
      </c>
      <c r="S1539" s="46" t="s">
        <v>299</v>
      </c>
      <c r="T1539" s="46" t="s">
        <v>299</v>
      </c>
      <c r="U1539" s="46" t="s">
        <v>299</v>
      </c>
      <c r="V1539" s="46" t="s">
        <v>37</v>
      </c>
      <c r="W1539" s="46" t="s">
        <v>299</v>
      </c>
      <c r="X1539" s="46" t="s">
        <v>36</v>
      </c>
      <c r="Y1539" s="46" t="s">
        <v>299</v>
      </c>
      <c r="Z1539" s="46" t="s">
        <v>299</v>
      </c>
      <c r="AA1539" s="46" t="s">
        <v>299</v>
      </c>
      <c r="AB1539" s="46" t="s">
        <v>36</v>
      </c>
      <c r="AC1539" s="46" t="s">
        <v>37</v>
      </c>
      <c r="AD1539" s="46" t="s">
        <v>299</v>
      </c>
      <c r="AE1539" s="46" t="s">
        <v>299</v>
      </c>
      <c r="AF1539" s="46" t="s">
        <v>299</v>
      </c>
      <c r="AG1539" s="46" t="s">
        <v>299</v>
      </c>
      <c r="AH1539" s="46" t="s">
        <v>43</v>
      </c>
      <c r="AI1539" s="46" t="s">
        <v>31</v>
      </c>
      <c r="AJ1539" s="46">
        <f>=SUM(E1540:AI1540)</f>
      </c>
      <c r="AK1539" s="46">
        <f>=+AY1539</f>
      </c>
      <c r="AL1539" s="46"/>
      <c r="AM1539" s="1"/>
      <c r="AN1539" s="1">
        <f>=COUNTIF(E1539:AI1539,"A")+COUNTIF(E1539:AI1539,"B")+COUNTIF(E1539:AI1539,"C")+COUNTIF(E1539:AI1539,"D")+COUNTIF(E1539:AI1539,"E")+COUNTIF(E1539:AI1539,"F")+COUNTIF(E1539:AI1539,"M")+COUNTIF(E1539:AI1539,"AB")+COUNTIF(E1539:AI1539,"UZ")+COUNTIF(E1539:AI1539,"G")+(COUNTIF(E1539:AI1539,"RT.")/2)+(COUNTIF(E1539:AI1539,"ÇRT.")/2)</f>
      </c>
      <c r="AO1539" s="1">
        <f>=COUNTIF(E1539:AI1539,"O")</f>
      </c>
      <c r="AP1539" s="1">
        <f>=COUNTIF(E1539:AI1539,"RT")+(COUNTIF(E1539:AI1539,"RT.")/2)</f>
      </c>
      <c r="AQ1539" s="1">
        <f>=COUNTIF(E1539:AI1539,"ÇRT")+(COUNTIF(E1539:AI1539,"ÇRT.")/2)</f>
      </c>
      <c r="AR1539" s="1">
        <f>=COUNTIF(E1539:AI1539,"ÇHT")</f>
      </c>
      <c r="AS1539" s="1">
        <f>=COUNTIF(E1539:AI1539,"Ö")+COUNTIF(E1539:AI1539,"T")</f>
      </c>
      <c r="AT1539" s="1">
        <f>=COUNTIF(E1539:AI1539,"Y")</f>
      </c>
      <c r="AU1539" s="1">
        <f>=COUNTIF(E1539:AI1539,"R.")</f>
      </c>
      <c r="AV1539" s="1">
        <f>=COUNTIF(E1539:AI1539,"Ü")</f>
      </c>
      <c r="AW1539" s="1">
        <f>=COUNTIF(E1539:AI1539,"R")</f>
      </c>
      <c r="AX1539" s="1">
        <f>=COUNTIF(E1539:AI1539,"DV")</f>
      </c>
      <c r="AY1539" s="1">
        <f>=+AN1539+AO1539+AP1539+AQ1539+AR1539+AS1539+AT1539+AU1539</f>
      </c>
    </row>
    <row r="1540" ht="16" customHeight="1" spans="1:51" x14ac:dyDescent="0.25">
      <c r="A1540" s="45"/>
      <c r="B1540" s="46"/>
      <c r="C1540" s="46"/>
      <c r="D1540" s="46" t="s">
        <v>33</v>
      </c>
      <c r="E1540" s="46">
        <v>2</v>
      </c>
      <c r="F1540" s="46">
        <v>2</v>
      </c>
      <c r="G1540" s="46"/>
      <c r="H1540" s="46"/>
      <c r="I1540" s="46">
        <v>2</v>
      </c>
      <c r="J1540" s="46">
        <v>2</v>
      </c>
      <c r="K1540" s="46">
        <v>2</v>
      </c>
      <c r="L1540" s="46">
        <v>2</v>
      </c>
      <c r="M1540" s="46">
        <v>2</v>
      </c>
      <c r="N1540" s="46"/>
      <c r="O1540" s="46"/>
      <c r="P1540" s="46">
        <v>2</v>
      </c>
      <c r="Q1540" s="46">
        <v>2</v>
      </c>
      <c r="R1540" s="46">
        <v>2</v>
      </c>
      <c r="S1540" s="46">
        <v>2</v>
      </c>
      <c r="T1540" s="46">
        <v>2</v>
      </c>
      <c r="U1540" s="46"/>
      <c r="V1540" s="46"/>
      <c r="W1540" s="46">
        <v>2</v>
      </c>
      <c r="X1540" s="46">
        <v>2</v>
      </c>
      <c r="Y1540" s="46">
        <v>2</v>
      </c>
      <c r="Z1540" s="46">
        <v>2</v>
      </c>
      <c r="AA1540" s="46">
        <v>2</v>
      </c>
      <c r="AB1540" s="46"/>
      <c r="AC1540" s="46"/>
      <c r="AD1540" s="46">
        <v>2</v>
      </c>
      <c r="AE1540" s="46">
        <v>2</v>
      </c>
      <c r="AF1540" s="46">
        <v>2</v>
      </c>
      <c r="AG1540" s="46">
        <v>2</v>
      </c>
      <c r="AH1540" s="46"/>
      <c r="AI1540" s="46"/>
      <c r="AJ1540" s="46"/>
      <c r="AK1540" s="46"/>
      <c r="AL1540" s="46"/>
      <c r="AM1540" s="1"/>
      <c r="AN1540" s="1"/>
      <c r="AO1540" s="1"/>
      <c r="AP1540" s="1"/>
      <c r="AQ1540" s="1"/>
      <c r="AR1540" s="1"/>
      <c r="AS1540" s="1"/>
      <c r="AT1540" s="1"/>
      <c r="AU1540" s="1"/>
      <c r="AV1540" s="1"/>
      <c r="AW1540" s="1"/>
      <c r="AX1540" s="1"/>
      <c r="AY1540" s="1"/>
    </row>
    <row r="1541" ht="16" customHeight="1" spans="1:51" x14ac:dyDescent="0.25">
      <c r="A1541" s="45"/>
      <c r="B1541" s="46" t="s">
        <v>1593</v>
      </c>
      <c r="C1541" s="46" t="s">
        <v>1594</v>
      </c>
      <c r="D1541" s="46" t="s">
        <v>29</v>
      </c>
      <c r="E1541" s="46" t="s">
        <v>37</v>
      </c>
      <c r="F1541" s="46" t="s">
        <v>59</v>
      </c>
      <c r="G1541" s="46" t="s">
        <v>59</v>
      </c>
      <c r="H1541" s="46" t="s">
        <v>59</v>
      </c>
      <c r="I1541" s="46" t="s">
        <v>59</v>
      </c>
      <c r="J1541" s="46" t="s">
        <v>59</v>
      </c>
      <c r="K1541" s="46" t="s">
        <v>59</v>
      </c>
      <c r="L1541" s="46" t="s">
        <v>37</v>
      </c>
      <c r="M1541" s="46" t="s">
        <v>59</v>
      </c>
      <c r="N1541" s="46" t="s">
        <v>59</v>
      </c>
      <c r="O1541" s="46" t="s">
        <v>59</v>
      </c>
      <c r="P1541" s="46" t="s">
        <v>59</v>
      </c>
      <c r="Q1541" s="46" t="s">
        <v>59</v>
      </c>
      <c r="R1541" s="46" t="s">
        <v>59</v>
      </c>
      <c r="S1541" s="46" t="s">
        <v>37</v>
      </c>
      <c r="T1541" s="46" t="s">
        <v>59</v>
      </c>
      <c r="U1541" s="46" t="s">
        <v>59</v>
      </c>
      <c r="V1541" s="46" t="s">
        <v>59</v>
      </c>
      <c r="W1541" s="46" t="s">
        <v>59</v>
      </c>
      <c r="X1541" s="46" t="s">
        <v>59</v>
      </c>
      <c r="Y1541" s="46" t="s">
        <v>59</v>
      </c>
      <c r="Z1541" s="46" t="s">
        <v>37</v>
      </c>
      <c r="AA1541" s="46" t="s">
        <v>59</v>
      </c>
      <c r="AB1541" s="46" t="s">
        <v>59</v>
      </c>
      <c r="AC1541" s="46" t="s">
        <v>59</v>
      </c>
      <c r="AD1541" s="46" t="s">
        <v>37</v>
      </c>
      <c r="AE1541" s="46" t="s">
        <v>59</v>
      </c>
      <c r="AF1541" s="46" t="s">
        <v>59</v>
      </c>
      <c r="AG1541" s="46" t="s">
        <v>59</v>
      </c>
      <c r="AH1541" s="46" t="s">
        <v>43</v>
      </c>
      <c r="AI1541" s="46"/>
      <c r="AJ1541" s="46">
        <f>=SUM(E1542:AI1542)</f>
      </c>
      <c r="AK1541" s="46">
        <f>=+AY1541</f>
      </c>
      <c r="AL1541" s="46"/>
      <c r="AM1541" s="1"/>
      <c r="AN1541" s="1">
        <f>=COUNTIF(E1541:AI1541,"A")+COUNTIF(E1541:AI1541,"B")+COUNTIF(E1541:AI1541,"C")+COUNTIF(E1541:AI1541,"D")+COUNTIF(E1541:AI1541,"E")+COUNTIF(E1541:AI1541,"F")+COUNTIF(E1541:AI1541,"M")+COUNTIF(E1541:AI1541,"AB")+COUNTIF(E1541:AI1541,"UZ")+COUNTIF(E1541:AI1541,"G")+(COUNTIF(E1541:AI1541,"RT.")/2)+(COUNTIF(E1541:AI1541,"ÇRT.")/2)</f>
      </c>
      <c r="AO1541" s="1">
        <f>=COUNTIF(E1541:AI1541,"O")</f>
      </c>
      <c r="AP1541" s="1">
        <f>=COUNTIF(E1541:AI1541,"RT")+(COUNTIF(E1541:AI1541,"RT.")/2)</f>
      </c>
      <c r="AQ1541" s="1">
        <f>=COUNTIF(E1541:AI1541,"ÇRT")+(COUNTIF(E1541:AI1541,"ÇRT.")/2)</f>
      </c>
      <c r="AR1541" s="1">
        <f>=COUNTIF(E1541:AI1541,"ÇHT")</f>
      </c>
      <c r="AS1541" s="1">
        <f>=COUNTIF(E1541:AI1541,"Ö")+COUNTIF(E1541:AI1541,"T")</f>
      </c>
      <c r="AT1541" s="1">
        <f>=COUNTIF(E1541:AI1541,"Y")</f>
      </c>
      <c r="AU1541" s="1">
        <f>=COUNTIF(E1541:AI1541,"R.")</f>
      </c>
      <c r="AV1541" s="1">
        <f>=COUNTIF(E1541:AI1541,"Ü")</f>
      </c>
      <c r="AW1541" s="1">
        <f>=COUNTIF(E1541:AI1541,"R")</f>
      </c>
      <c r="AX1541" s="1">
        <f>=COUNTIF(E1541:AI1541,"DV")</f>
      </c>
      <c r="AY1541" s="1">
        <f>=+AN1541+AO1541+AP1541+AQ1541+AR1541+AS1541+AT1541+AU1541</f>
      </c>
    </row>
    <row r="1542" ht="16" customHeight="1" spans="1:51" x14ac:dyDescent="0.25">
      <c r="A1542" s="45"/>
      <c r="B1542" s="46"/>
      <c r="C1542" s="46"/>
      <c r="D1542" s="46" t="s">
        <v>33</v>
      </c>
      <c r="E1542" s="46"/>
      <c r="F1542" s="46"/>
      <c r="G1542" s="46"/>
      <c r="H1542" s="46"/>
      <c r="I1542" s="46"/>
      <c r="J1542" s="46"/>
      <c r="K1542" s="46"/>
      <c r="L1542" s="46"/>
      <c r="M1542" s="46"/>
      <c r="N1542" s="46"/>
      <c r="O1542" s="46"/>
      <c r="P1542" s="46"/>
      <c r="Q1542" s="46"/>
      <c r="R1542" s="46"/>
      <c r="S1542" s="46"/>
      <c r="T1542" s="46"/>
      <c r="U1542" s="46"/>
      <c r="V1542" s="46"/>
      <c r="W1542" s="46"/>
      <c r="X1542" s="46"/>
      <c r="Y1542" s="46"/>
      <c r="Z1542" s="46"/>
      <c r="AA1542" s="46"/>
      <c r="AB1542" s="46"/>
      <c r="AC1542" s="46"/>
      <c r="AD1542" s="46"/>
      <c r="AE1542" s="46"/>
      <c r="AF1542" s="46"/>
      <c r="AG1542" s="46"/>
      <c r="AH1542" s="46"/>
      <c r="AI1542" s="46"/>
      <c r="AJ1542" s="46"/>
      <c r="AK1542" s="46"/>
      <c r="AL1542" s="46"/>
      <c r="AM1542" s="1"/>
      <c r="AN1542" s="1"/>
      <c r="AO1542" s="1"/>
      <c r="AP1542" s="1"/>
      <c r="AQ1542" s="1"/>
      <c r="AR1542" s="1"/>
      <c r="AS1542" s="1"/>
      <c r="AT1542" s="1"/>
      <c r="AU1542" s="1"/>
      <c r="AV1542" s="1"/>
      <c r="AW1542" s="1"/>
      <c r="AX1542" s="1"/>
      <c r="AY1542" s="1"/>
    </row>
    <row r="1543" ht="16" customHeight="1" spans="1:51" x14ac:dyDescent="0.25">
      <c r="A1543" s="45"/>
      <c r="B1543" s="46" t="s">
        <v>1595</v>
      </c>
      <c r="C1543" s="46" t="s">
        <v>1596</v>
      </c>
      <c r="D1543" s="46" t="s">
        <v>29</v>
      </c>
      <c r="E1543" s="46" t="s">
        <v>31</v>
      </c>
      <c r="F1543" s="46" t="s">
        <v>59</v>
      </c>
      <c r="G1543" s="46" t="s">
        <v>59</v>
      </c>
      <c r="H1543" s="46" t="s">
        <v>59</v>
      </c>
      <c r="I1543" s="46" t="s">
        <v>59</v>
      </c>
      <c r="J1543" s="46" t="s">
        <v>59</v>
      </c>
      <c r="K1543" s="46" t="s">
        <v>37</v>
      </c>
      <c r="L1543" s="46" t="s">
        <v>59</v>
      </c>
      <c r="M1543" s="46" t="s">
        <v>59</v>
      </c>
      <c r="N1543" s="46" t="s">
        <v>59</v>
      </c>
      <c r="O1543" s="46" t="s">
        <v>59</v>
      </c>
      <c r="P1543" s="46" t="s">
        <v>59</v>
      </c>
      <c r="Q1543" s="46" t="s">
        <v>59</v>
      </c>
      <c r="R1543" s="46" t="s">
        <v>37</v>
      </c>
      <c r="S1543" s="46" t="s">
        <v>59</v>
      </c>
      <c r="T1543" s="46" t="s">
        <v>59</v>
      </c>
      <c r="U1543" s="46" t="s">
        <v>59</v>
      </c>
      <c r="V1543" s="46" t="s">
        <v>59</v>
      </c>
      <c r="W1543" s="46" t="s">
        <v>59</v>
      </c>
      <c r="X1543" s="46" t="s">
        <v>59</v>
      </c>
      <c r="Y1543" s="46" t="s">
        <v>37</v>
      </c>
      <c r="Z1543" s="46" t="s">
        <v>59</v>
      </c>
      <c r="AA1543" s="46" t="s">
        <v>59</v>
      </c>
      <c r="AB1543" s="46" t="s">
        <v>31</v>
      </c>
      <c r="AC1543" s="46" t="s">
        <v>59</v>
      </c>
      <c r="AD1543" s="46" t="s">
        <v>59</v>
      </c>
      <c r="AE1543" s="46" t="s">
        <v>59</v>
      </c>
      <c r="AF1543" s="46" t="s">
        <v>37</v>
      </c>
      <c r="AG1543" s="46" t="s">
        <v>59</v>
      </c>
      <c r="AH1543" s="46" t="s">
        <v>43</v>
      </c>
      <c r="AI1543" s="46" t="s">
        <v>59</v>
      </c>
      <c r="AJ1543" s="46">
        <f>=SUM(E1544:AI1544)</f>
      </c>
      <c r="AK1543" s="46">
        <f>=+AY1543</f>
      </c>
      <c r="AL1543" s="46"/>
      <c r="AM1543" s="1"/>
      <c r="AN1543" s="1">
        <f>=COUNTIF(E1543:AI1543,"A")+COUNTIF(E1543:AI1543,"B")+COUNTIF(E1543:AI1543,"C")+COUNTIF(E1543:AI1543,"D")+COUNTIF(E1543:AI1543,"E")+COUNTIF(E1543:AI1543,"F")+COUNTIF(E1543:AI1543,"M")+COUNTIF(E1543:AI1543,"AB")+COUNTIF(E1543:AI1543,"UZ")+COUNTIF(E1543:AI1543,"G")+(COUNTIF(E1543:AI1543,"RT.")/2)+(COUNTIF(E1543:AI1543,"ÇRT.")/2)</f>
      </c>
      <c r="AO1543" s="1">
        <f>=COUNTIF(E1543:AI1543,"O")</f>
      </c>
      <c r="AP1543" s="1">
        <f>=COUNTIF(E1543:AI1543,"RT")+(COUNTIF(E1543:AI1543,"RT.")/2)</f>
      </c>
      <c r="AQ1543" s="1">
        <f>=COUNTIF(E1543:AI1543,"ÇRT")+(COUNTIF(E1543:AI1543,"ÇRT.")/2)</f>
      </c>
      <c r="AR1543" s="1">
        <f>=COUNTIF(E1543:AI1543,"ÇHT")</f>
      </c>
      <c r="AS1543" s="1">
        <f>=COUNTIF(E1543:AI1543,"Ö")+COUNTIF(E1543:AI1543,"T")</f>
      </c>
      <c r="AT1543" s="1">
        <f>=COUNTIF(E1543:AI1543,"Y")</f>
      </c>
      <c r="AU1543" s="1">
        <f>=COUNTIF(E1543:AI1543,"R.")</f>
      </c>
      <c r="AV1543" s="1">
        <f>=COUNTIF(E1543:AI1543,"Ü")</f>
      </c>
      <c r="AW1543" s="1">
        <f>=COUNTIF(E1543:AI1543,"R")</f>
      </c>
      <c r="AX1543" s="1">
        <f>=COUNTIF(E1543:AI1543,"DV")</f>
      </c>
      <c r="AY1543" s="1">
        <f>=+AN1543+AO1543+AP1543+AQ1543+AR1543+AS1543+AT1543+AU1543</f>
      </c>
    </row>
    <row r="1544" ht="16" customHeight="1" spans="1:51" x14ac:dyDescent="0.25">
      <c r="A1544" s="45"/>
      <c r="B1544" s="46"/>
      <c r="C1544" s="46"/>
      <c r="D1544" s="46" t="s">
        <v>33</v>
      </c>
      <c r="E1544" s="46"/>
      <c r="F1544" s="46"/>
      <c r="G1544" s="46"/>
      <c r="H1544" s="46"/>
      <c r="I1544" s="46"/>
      <c r="J1544" s="46"/>
      <c r="K1544" s="46"/>
      <c r="L1544" s="46"/>
      <c r="M1544" s="46"/>
      <c r="N1544" s="46"/>
      <c r="O1544" s="46"/>
      <c r="P1544" s="46"/>
      <c r="Q1544" s="46"/>
      <c r="R1544" s="46"/>
      <c r="S1544" s="46"/>
      <c r="T1544" s="46"/>
      <c r="U1544" s="46"/>
      <c r="V1544" s="46"/>
      <c r="W1544" s="46"/>
      <c r="X1544" s="46"/>
      <c r="Y1544" s="46"/>
      <c r="Z1544" s="46"/>
      <c r="AA1544" s="46"/>
      <c r="AB1544" s="46"/>
      <c r="AC1544" s="46"/>
      <c r="AD1544" s="46"/>
      <c r="AE1544" s="46"/>
      <c r="AF1544" s="46"/>
      <c r="AG1544" s="46"/>
      <c r="AH1544" s="46"/>
      <c r="AI1544" s="46"/>
      <c r="AJ1544" s="46"/>
      <c r="AK1544" s="46"/>
      <c r="AL1544" s="46"/>
      <c r="AM1544" s="1"/>
      <c r="AN1544" s="1"/>
      <c r="AO1544" s="1"/>
      <c r="AP1544" s="1"/>
      <c r="AQ1544" s="1"/>
      <c r="AR1544" s="1"/>
      <c r="AS1544" s="1"/>
      <c r="AT1544" s="1"/>
      <c r="AU1544" s="1"/>
      <c r="AV1544" s="1"/>
      <c r="AW1544" s="1"/>
      <c r="AX1544" s="1"/>
      <c r="AY1544" s="1"/>
    </row>
    <row r="1545" ht="16" customHeight="1" spans="1:51" x14ac:dyDescent="0.25">
      <c r="A1545" s="45"/>
      <c r="B1545" s="46" t="s">
        <v>1597</v>
      </c>
      <c r="C1545" s="46" t="s">
        <v>1598</v>
      </c>
      <c r="D1545" s="46" t="s">
        <v>29</v>
      </c>
      <c r="E1545" s="46" t="s">
        <v>36</v>
      </c>
      <c r="F1545" s="46" t="s">
        <v>36</v>
      </c>
      <c r="G1545" s="46" t="s">
        <v>37</v>
      </c>
      <c r="H1545" s="46" t="s">
        <v>36</v>
      </c>
      <c r="I1545" s="46" t="s">
        <v>36</v>
      </c>
      <c r="J1545" s="46" t="s">
        <v>36</v>
      </c>
      <c r="K1545" s="46" t="s">
        <v>36</v>
      </c>
      <c r="L1545" s="46" t="s">
        <v>36</v>
      </c>
      <c r="M1545" s="46" t="s">
        <v>36</v>
      </c>
      <c r="N1545" s="46" t="s">
        <v>36</v>
      </c>
      <c r="O1545" s="46" t="s">
        <v>36</v>
      </c>
      <c r="P1545" s="46" t="s">
        <v>36</v>
      </c>
      <c r="Q1545" s="46" t="s">
        <v>36</v>
      </c>
      <c r="R1545" s="46" t="s">
        <v>37</v>
      </c>
      <c r="S1545" s="46" t="s">
        <v>36</v>
      </c>
      <c r="T1545" s="46" t="s">
        <v>36</v>
      </c>
      <c r="U1545" s="46" t="s">
        <v>37</v>
      </c>
      <c r="V1545" s="46" t="s">
        <v>36</v>
      </c>
      <c r="W1545" s="46" t="s">
        <v>36</v>
      </c>
      <c r="X1545" s="46" t="s">
        <v>36</v>
      </c>
      <c r="Y1545" s="46" t="s">
        <v>36</v>
      </c>
      <c r="Z1545" s="46" t="s">
        <v>36</v>
      </c>
      <c r="AA1545" s="46" t="s">
        <v>36</v>
      </c>
      <c r="AB1545" s="46" t="s">
        <v>37</v>
      </c>
      <c r="AC1545" s="46" t="s">
        <v>36</v>
      </c>
      <c r="AD1545" s="46" t="s">
        <v>36</v>
      </c>
      <c r="AE1545" s="46" t="s">
        <v>36</v>
      </c>
      <c r="AF1545" s="46" t="s">
        <v>36</v>
      </c>
      <c r="AG1545" s="46" t="s">
        <v>36</v>
      </c>
      <c r="AH1545" s="46" t="s">
        <v>43</v>
      </c>
      <c r="AI1545" s="46" t="s">
        <v>36</v>
      </c>
      <c r="AJ1545" s="46">
        <f>=SUM(E1546:AI1546)</f>
      </c>
      <c r="AK1545" s="46">
        <f>=+AY1545</f>
      </c>
      <c r="AL1545" s="46"/>
      <c r="AM1545" s="1"/>
      <c r="AN1545" s="1">
        <f>=COUNTIF(E1545:AI1545,"A")+COUNTIF(E1545:AI1545,"B")+COUNTIF(E1545:AI1545,"C")+COUNTIF(E1545:AI1545,"D")+COUNTIF(E1545:AI1545,"E")+COUNTIF(E1545:AI1545,"F")+COUNTIF(E1545:AI1545,"M")+COUNTIF(E1545:AI1545,"AB")+COUNTIF(E1545:AI1545,"UZ")+COUNTIF(E1545:AI1545,"G")+(COUNTIF(E1545:AI1545,"RT.")/2)+(COUNTIF(E1545:AI1545,"ÇRT.")/2)</f>
      </c>
      <c r="AO1545" s="1">
        <f>=COUNTIF(E1545:AI1545,"O")</f>
      </c>
      <c r="AP1545" s="1">
        <f>=COUNTIF(E1545:AI1545,"RT")+(COUNTIF(E1545:AI1545,"RT.")/2)</f>
      </c>
      <c r="AQ1545" s="1">
        <f>=COUNTIF(E1545:AI1545,"ÇRT")+(COUNTIF(E1545:AI1545,"ÇRT.")/2)</f>
      </c>
      <c r="AR1545" s="1">
        <f>=COUNTIF(E1545:AI1545,"ÇHT")</f>
      </c>
      <c r="AS1545" s="1">
        <f>=COUNTIF(E1545:AI1545,"Ö")+COUNTIF(E1545:AI1545,"T")</f>
      </c>
      <c r="AT1545" s="1">
        <f>=COUNTIF(E1545:AI1545,"Y")</f>
      </c>
      <c r="AU1545" s="1">
        <f>=COUNTIF(E1545:AI1545,"R.")</f>
      </c>
      <c r="AV1545" s="1">
        <f>=COUNTIF(E1545:AI1545,"Ü")</f>
      </c>
      <c r="AW1545" s="1">
        <f>=COUNTIF(E1545:AI1545,"R")</f>
      </c>
      <c r="AX1545" s="1">
        <f>=COUNTIF(E1545:AI1545,"DV")</f>
      </c>
      <c r="AY1545" s="1">
        <f>=+AN1545+AO1545+AP1545+AQ1545+AR1545+AS1545+AT1545+AU1545</f>
      </c>
    </row>
    <row r="1546" ht="16" customHeight="1" spans="1:51" x14ac:dyDescent="0.25">
      <c r="A1546" s="45"/>
      <c r="B1546" s="46"/>
      <c r="C1546" s="46"/>
      <c r="D1546" s="46" t="s">
        <v>33</v>
      </c>
      <c r="E1546" s="46">
        <v>2</v>
      </c>
      <c r="F1546" s="46">
        <v>2</v>
      </c>
      <c r="G1546" s="46"/>
      <c r="H1546" s="46">
        <v>2</v>
      </c>
      <c r="I1546" s="46">
        <v>2</v>
      </c>
      <c r="J1546" s="46">
        <v>2</v>
      </c>
      <c r="K1546" s="46">
        <v>2</v>
      </c>
      <c r="L1546" s="46">
        <v>3</v>
      </c>
      <c r="M1546" s="46">
        <v>3</v>
      </c>
      <c r="N1546" s="46">
        <v>2</v>
      </c>
      <c r="O1546" s="46">
        <v>2</v>
      </c>
      <c r="P1546" s="46">
        <v>2</v>
      </c>
      <c r="Q1546" s="46">
        <v>2</v>
      </c>
      <c r="R1546" s="46"/>
      <c r="S1546" s="46">
        <v>2</v>
      </c>
      <c r="T1546" s="46">
        <v>2</v>
      </c>
      <c r="U1546" s="46"/>
      <c r="V1546" s="46">
        <v>2</v>
      </c>
      <c r="W1546" s="46">
        <v>2</v>
      </c>
      <c r="X1546" s="46">
        <v>2</v>
      </c>
      <c r="Y1546" s="46">
        <v>2</v>
      </c>
      <c r="Z1546" s="46">
        <v>2</v>
      </c>
      <c r="AA1546" s="46">
        <v>2</v>
      </c>
      <c r="AB1546" s="46"/>
      <c r="AC1546" s="46">
        <v>2</v>
      </c>
      <c r="AD1546" s="46">
        <v>2</v>
      </c>
      <c r="AE1546" s="46">
        <v>2</v>
      </c>
      <c r="AF1546" s="46">
        <v>2</v>
      </c>
      <c r="AG1546" s="46">
        <v>2</v>
      </c>
      <c r="AH1546" s="46">
        <v>2</v>
      </c>
      <c r="AI1546" s="46">
        <v>2</v>
      </c>
      <c r="AJ1546" s="46"/>
      <c r="AK1546" s="46"/>
      <c r="AL1546" s="46"/>
      <c r="AM1546" s="1"/>
      <c r="AN1546" s="1"/>
      <c r="AO1546" s="1"/>
      <c r="AP1546" s="1"/>
      <c r="AQ1546" s="1"/>
      <c r="AR1546" s="1"/>
      <c r="AS1546" s="1"/>
      <c r="AT1546" s="1"/>
      <c r="AU1546" s="1"/>
      <c r="AV1546" s="1"/>
      <c r="AW1546" s="1"/>
      <c r="AX1546" s="1"/>
      <c r="AY1546" s="1"/>
    </row>
    <row r="1547" ht="16" customHeight="1" spans="1:51" x14ac:dyDescent="0.25">
      <c r="A1547" s="45"/>
      <c r="B1547" s="46" t="s">
        <v>1599</v>
      </c>
      <c r="C1547" s="46" t="s">
        <v>1600</v>
      </c>
      <c r="D1547" s="46" t="s">
        <v>29</v>
      </c>
      <c r="E1547" s="46"/>
      <c r="F1547" s="46"/>
      <c r="G1547" s="46"/>
      <c r="H1547" s="46"/>
      <c r="I1547" s="46"/>
      <c r="J1547" s="46"/>
      <c r="K1547" s="46"/>
      <c r="L1547" s="46"/>
      <c r="M1547" s="46"/>
      <c r="N1547" s="46"/>
      <c r="O1547" s="46"/>
      <c r="P1547" s="46"/>
      <c r="Q1547" s="46"/>
      <c r="R1547" s="46"/>
      <c r="S1547" s="46"/>
      <c r="T1547" s="46"/>
      <c r="U1547" s="46"/>
      <c r="V1547" s="46"/>
      <c r="W1547" s="46"/>
      <c r="X1547" s="46"/>
      <c r="Y1547" s="46"/>
      <c r="Z1547" s="46"/>
      <c r="AA1547" s="46"/>
      <c r="AB1547" s="46"/>
      <c r="AC1547" s="46"/>
      <c r="AD1547" s="46"/>
      <c r="AE1547" s="46"/>
      <c r="AF1547" s="46"/>
      <c r="AG1547" s="46"/>
      <c r="AH1547" s="46"/>
      <c r="AI1547" s="46"/>
      <c r="AJ1547" s="46">
        <f>=SUM(E1548:AI1548)</f>
      </c>
      <c r="AK1547" s="46">
        <f>=+AY1547</f>
      </c>
      <c r="AL1547" s="46"/>
      <c r="AM1547" s="1"/>
      <c r="AN1547" s="1">
        <f>=COUNTIF(E1547:AI1547,"A")+COUNTIF(E1547:AI1547,"B")+COUNTIF(E1547:AI1547,"C")+COUNTIF(E1547:AI1547,"D")+COUNTIF(E1547:AI1547,"E")+COUNTIF(E1547:AI1547,"F")+COUNTIF(E1547:AI1547,"M")+COUNTIF(E1547:AI1547,"AB")+COUNTIF(E1547:AI1547,"UZ")+COUNTIF(E1547:AI1547,"G")+(COUNTIF(E1547:AI1547,"RT.")/2)+(COUNTIF(E1547:AI1547,"ÇRT.")/2)</f>
      </c>
      <c r="AO1547" s="1">
        <f>=COUNTIF(E1547:AI1547,"O")</f>
      </c>
      <c r="AP1547" s="1">
        <f>=COUNTIF(E1547:AI1547,"RT")+(COUNTIF(E1547:AI1547,"RT.")/2)</f>
      </c>
      <c r="AQ1547" s="1">
        <f>=COUNTIF(E1547:AI1547,"ÇRT")+(COUNTIF(E1547:AI1547,"ÇRT.")/2)</f>
      </c>
      <c r="AR1547" s="1">
        <f>=COUNTIF(E1547:AI1547,"ÇHT")</f>
      </c>
      <c r="AS1547" s="1">
        <f>=COUNTIF(E1547:AI1547,"Ö")+COUNTIF(E1547:AI1547,"T")</f>
      </c>
      <c r="AT1547" s="1">
        <f>=COUNTIF(E1547:AI1547,"Y")</f>
      </c>
      <c r="AU1547" s="1">
        <f>=COUNTIF(E1547:AI1547,"R.")</f>
      </c>
      <c r="AV1547" s="1">
        <f>=COUNTIF(E1547:AI1547,"Ü")</f>
      </c>
      <c r="AW1547" s="1">
        <f>=COUNTIF(E1547:AI1547,"R")</f>
      </c>
      <c r="AX1547" s="1">
        <f>=COUNTIF(E1547:AI1547,"DV")</f>
      </c>
      <c r="AY1547" s="1">
        <f>=+AN1547+AO1547+AP1547+AQ1547+AR1547+AS1547+AT1547+AU1547</f>
      </c>
    </row>
    <row r="1548" ht="16" customHeight="1" spans="1:51" x14ac:dyDescent="0.25">
      <c r="A1548" s="45"/>
      <c r="B1548" s="46"/>
      <c r="C1548" s="46"/>
      <c r="D1548" s="46" t="s">
        <v>33</v>
      </c>
      <c r="E1548" s="46"/>
      <c r="F1548" s="46"/>
      <c r="G1548" s="46"/>
      <c r="H1548" s="46"/>
      <c r="I1548" s="46"/>
      <c r="J1548" s="46"/>
      <c r="K1548" s="46"/>
      <c r="L1548" s="46"/>
      <c r="M1548" s="46"/>
      <c r="N1548" s="46"/>
      <c r="O1548" s="46"/>
      <c r="P1548" s="46"/>
      <c r="Q1548" s="46"/>
      <c r="R1548" s="46"/>
      <c r="S1548" s="46"/>
      <c r="T1548" s="46"/>
      <c r="U1548" s="46"/>
      <c r="V1548" s="46"/>
      <c r="W1548" s="46"/>
      <c r="X1548" s="46"/>
      <c r="Y1548" s="46"/>
      <c r="Z1548" s="46"/>
      <c r="AA1548" s="46"/>
      <c r="AB1548" s="46"/>
      <c r="AC1548" s="46"/>
      <c r="AD1548" s="46"/>
      <c r="AE1548" s="46"/>
      <c r="AF1548" s="46"/>
      <c r="AG1548" s="46"/>
      <c r="AH1548" s="46"/>
      <c r="AI1548" s="46"/>
      <c r="AJ1548" s="46"/>
      <c r="AK1548" s="46"/>
      <c r="AL1548" s="46"/>
      <c r="AM1548" s="1"/>
      <c r="AN1548" s="1"/>
      <c r="AO1548" s="1"/>
      <c r="AP1548" s="1"/>
      <c r="AQ1548" s="1"/>
      <c r="AR1548" s="1"/>
      <c r="AS1548" s="1"/>
      <c r="AT1548" s="1"/>
      <c r="AU1548" s="1"/>
      <c r="AV1548" s="1"/>
      <c r="AW1548" s="1"/>
      <c r="AX1548" s="1"/>
      <c r="AY1548" s="1"/>
    </row>
    <row r="1549" ht="16" customHeight="1" spans="1:51" x14ac:dyDescent="0.25">
      <c r="A1549" s="45"/>
      <c r="B1549" s="46" t="s">
        <v>1601</v>
      </c>
      <c r="C1549" s="46" t="s">
        <v>1602</v>
      </c>
      <c r="D1549" s="46" t="s">
        <v>29</v>
      </c>
      <c r="E1549" s="46" t="s">
        <v>41</v>
      </c>
      <c r="F1549" s="46" t="s">
        <v>41</v>
      </c>
      <c r="G1549" s="46" t="s">
        <v>37</v>
      </c>
      <c r="H1549" s="46" t="s">
        <v>41</v>
      </c>
      <c r="I1549" s="46" t="s">
        <v>41</v>
      </c>
      <c r="J1549" s="46" t="s">
        <v>41</v>
      </c>
      <c r="K1549" s="46" t="s">
        <v>41</v>
      </c>
      <c r="L1549" s="46" t="s">
        <v>41</v>
      </c>
      <c r="M1549" s="46" t="s">
        <v>41</v>
      </c>
      <c r="N1549" s="46" t="s">
        <v>37</v>
      </c>
      <c r="O1549" s="46" t="s">
        <v>41</v>
      </c>
      <c r="P1549" s="46" t="s">
        <v>41</v>
      </c>
      <c r="Q1549" s="46" t="s">
        <v>41</v>
      </c>
      <c r="R1549" s="46" t="s">
        <v>41</v>
      </c>
      <c r="S1549" s="46" t="s">
        <v>41</v>
      </c>
      <c r="T1549" s="46" t="s">
        <v>41</v>
      </c>
      <c r="U1549" s="46" t="s">
        <v>37</v>
      </c>
      <c r="V1549" s="46" t="s">
        <v>41</v>
      </c>
      <c r="W1549" s="46" t="s">
        <v>41</v>
      </c>
      <c r="X1549" s="46" t="s">
        <v>41</v>
      </c>
      <c r="Y1549" s="46" t="s">
        <v>41</v>
      </c>
      <c r="Z1549" s="46" t="s">
        <v>41</v>
      </c>
      <c r="AA1549" s="46" t="s">
        <v>41</v>
      </c>
      <c r="AB1549" s="46" t="s">
        <v>37</v>
      </c>
      <c r="AC1549" s="46" t="s">
        <v>41</v>
      </c>
      <c r="AD1549" s="46" t="s">
        <v>41</v>
      </c>
      <c r="AE1549" s="46" t="s">
        <v>41</v>
      </c>
      <c r="AF1549" s="46" t="s">
        <v>41</v>
      </c>
      <c r="AG1549" s="46" t="s">
        <v>41</v>
      </c>
      <c r="AH1549" s="46" t="s">
        <v>43</v>
      </c>
      <c r="AI1549" s="46" t="s">
        <v>37</v>
      </c>
      <c r="AJ1549" s="46">
        <f>=SUM(E1550:AI1550)</f>
      </c>
      <c r="AK1549" s="46">
        <f>=+AY1549</f>
      </c>
      <c r="AL1549" s="46"/>
      <c r="AM1549" s="1"/>
      <c r="AN1549" s="1">
        <f>=COUNTIF(E1549:AI1549,"A")+COUNTIF(E1549:AI1549,"B")+COUNTIF(E1549:AI1549,"C")+COUNTIF(E1549:AI1549,"D")+COUNTIF(E1549:AI1549,"E")+COUNTIF(E1549:AI1549,"F")+COUNTIF(E1549:AI1549,"M")+COUNTIF(E1549:AI1549,"AB")+COUNTIF(E1549:AI1549,"UZ")+COUNTIF(E1549:AI1549,"G")+(COUNTIF(E1549:AI1549,"RT.")/2)+(COUNTIF(E1549:AI1549,"ÇRT.")/2)</f>
      </c>
      <c r="AO1549" s="1">
        <f>=COUNTIF(E1549:AI1549,"O")</f>
      </c>
      <c r="AP1549" s="1">
        <f>=COUNTIF(E1549:AI1549,"RT")+(COUNTIF(E1549:AI1549,"RT.")/2)</f>
      </c>
      <c r="AQ1549" s="1">
        <f>=COUNTIF(E1549:AI1549,"ÇRT")+(COUNTIF(E1549:AI1549,"ÇRT.")/2)</f>
      </c>
      <c r="AR1549" s="1">
        <f>=COUNTIF(E1549:AI1549,"ÇHT")</f>
      </c>
      <c r="AS1549" s="1">
        <f>=COUNTIF(E1549:AI1549,"Ö")+COUNTIF(E1549:AI1549,"T")</f>
      </c>
      <c r="AT1549" s="1">
        <f>=COUNTIF(E1549:AI1549,"Y")</f>
      </c>
      <c r="AU1549" s="1">
        <f>=COUNTIF(E1549:AI1549,"R.")</f>
      </c>
      <c r="AV1549" s="1">
        <f>=COUNTIF(E1549:AI1549,"Ü")</f>
      </c>
      <c r="AW1549" s="1">
        <f>=COUNTIF(E1549:AI1549,"R")</f>
      </c>
      <c r="AX1549" s="1">
        <f>=COUNTIF(E1549:AI1549,"DV")</f>
      </c>
      <c r="AY1549" s="1">
        <f>=+AN1549+AO1549+AP1549+AQ1549+AR1549+AS1549+AT1549+AU1549</f>
      </c>
    </row>
    <row r="1550" ht="16" customHeight="1" spans="1:51" x14ac:dyDescent="0.25">
      <c r="A1550" s="45"/>
      <c r="B1550" s="46"/>
      <c r="C1550" s="46"/>
      <c r="D1550" s="46" t="s">
        <v>33</v>
      </c>
      <c r="E1550" s="46">
        <v>2</v>
      </c>
      <c r="F1550" s="46">
        <v>2</v>
      </c>
      <c r="G1550" s="46"/>
      <c r="H1550" s="46">
        <v>2</v>
      </c>
      <c r="I1550" s="46">
        <v>2</v>
      </c>
      <c r="J1550" s="46">
        <v>2</v>
      </c>
      <c r="K1550" s="46">
        <v>2</v>
      </c>
      <c r="L1550" s="46">
        <v>2</v>
      </c>
      <c r="M1550" s="46">
        <v>2</v>
      </c>
      <c r="N1550" s="46"/>
      <c r="O1550" s="46">
        <v>2</v>
      </c>
      <c r="P1550" s="46">
        <v>2</v>
      </c>
      <c r="Q1550" s="46">
        <v>2</v>
      </c>
      <c r="R1550" s="46">
        <v>2</v>
      </c>
      <c r="S1550" s="46">
        <v>2</v>
      </c>
      <c r="T1550" s="46">
        <v>2</v>
      </c>
      <c r="U1550" s="46"/>
      <c r="V1550" s="46">
        <v>2</v>
      </c>
      <c r="W1550" s="46">
        <v>2</v>
      </c>
      <c r="X1550" s="46">
        <v>2</v>
      </c>
      <c r="Y1550" s="46">
        <v>2</v>
      </c>
      <c r="Z1550" s="46">
        <v>2</v>
      </c>
      <c r="AA1550" s="46">
        <v>2</v>
      </c>
      <c r="AB1550" s="46"/>
      <c r="AC1550" s="46">
        <v>2</v>
      </c>
      <c r="AD1550" s="46">
        <v>2</v>
      </c>
      <c r="AE1550" s="46">
        <v>2</v>
      </c>
      <c r="AF1550" s="46">
        <v>2</v>
      </c>
      <c r="AG1550" s="46">
        <v>2</v>
      </c>
      <c r="AH1550" s="46">
        <v>2</v>
      </c>
      <c r="AI1550" s="46"/>
      <c r="AJ1550" s="46"/>
      <c r="AK1550" s="46"/>
      <c r="AL1550" s="46"/>
      <c r="AM1550" s="1"/>
      <c r="AN1550" s="1"/>
      <c r="AO1550" s="1"/>
      <c r="AP1550" s="1"/>
      <c r="AQ1550" s="1"/>
      <c r="AR1550" s="1"/>
      <c r="AS1550" s="1"/>
      <c r="AT1550" s="1"/>
      <c r="AU1550" s="1"/>
      <c r="AV1550" s="1"/>
      <c r="AW1550" s="1"/>
      <c r="AX1550" s="1"/>
      <c r="AY1550" s="1"/>
    </row>
    <row r="1551" ht="16" customHeight="1" spans="1:51" x14ac:dyDescent="0.25">
      <c r="A1551" s="45"/>
      <c r="B1551" s="46" t="s">
        <v>1603</v>
      </c>
      <c r="C1551" s="46" t="s">
        <v>1604</v>
      </c>
      <c r="D1551" s="46" t="s">
        <v>29</v>
      </c>
      <c r="E1551" s="46"/>
      <c r="F1551" s="46"/>
      <c r="G1551" s="46"/>
      <c r="H1551" s="46"/>
      <c r="I1551" s="46"/>
      <c r="J1551" s="46"/>
      <c r="K1551" s="46"/>
      <c r="L1551" s="46"/>
      <c r="M1551" s="46"/>
      <c r="N1551" s="46"/>
      <c r="O1551" s="46"/>
      <c r="P1551" s="46"/>
      <c r="Q1551" s="46"/>
      <c r="R1551" s="46"/>
      <c r="S1551" s="46"/>
      <c r="T1551" s="46"/>
      <c r="U1551" s="46"/>
      <c r="V1551" s="46"/>
      <c r="W1551" s="46"/>
      <c r="X1551" s="46"/>
      <c r="Y1551" s="46"/>
      <c r="Z1551" s="46"/>
      <c r="AA1551" s="46"/>
      <c r="AB1551" s="46"/>
      <c r="AC1551" s="46"/>
      <c r="AD1551" s="46"/>
      <c r="AE1551" s="46"/>
      <c r="AF1551" s="46"/>
      <c r="AG1551" s="46"/>
      <c r="AH1551" s="46"/>
      <c r="AI1551" s="46"/>
      <c r="AJ1551" s="46">
        <f>=SUM(E1552:AI1552)</f>
      </c>
      <c r="AK1551" s="46">
        <f>=+AY1551</f>
      </c>
      <c r="AL1551" s="46"/>
      <c r="AM1551" s="1"/>
      <c r="AN1551" s="1">
        <f>=COUNTIF(E1551:AI1551,"A")+COUNTIF(E1551:AI1551,"B")+COUNTIF(E1551:AI1551,"C")+COUNTIF(E1551:AI1551,"D")+COUNTIF(E1551:AI1551,"E")+COUNTIF(E1551:AI1551,"F")+COUNTIF(E1551:AI1551,"M")+COUNTIF(E1551:AI1551,"AB")+COUNTIF(E1551:AI1551,"UZ")+COUNTIF(E1551:AI1551,"G")+(COUNTIF(E1551:AI1551,"RT.")/2)+(COUNTIF(E1551:AI1551,"ÇRT.")/2)</f>
      </c>
      <c r="AO1551" s="1">
        <f>=COUNTIF(E1551:AI1551,"O")</f>
      </c>
      <c r="AP1551" s="1">
        <f>=COUNTIF(E1551:AI1551,"RT")+(COUNTIF(E1551:AI1551,"RT.")/2)</f>
      </c>
      <c r="AQ1551" s="1">
        <f>=COUNTIF(E1551:AI1551,"ÇRT")+(COUNTIF(E1551:AI1551,"ÇRT.")/2)</f>
      </c>
      <c r="AR1551" s="1">
        <f>=COUNTIF(E1551:AI1551,"ÇHT")</f>
      </c>
      <c r="AS1551" s="1">
        <f>=COUNTIF(E1551:AI1551,"Ö")+COUNTIF(E1551:AI1551,"T")</f>
      </c>
      <c r="AT1551" s="1">
        <f>=COUNTIF(E1551:AI1551,"Y")</f>
      </c>
      <c r="AU1551" s="1">
        <f>=COUNTIF(E1551:AI1551,"R.")</f>
      </c>
      <c r="AV1551" s="1">
        <f>=COUNTIF(E1551:AI1551,"Ü")</f>
      </c>
      <c r="AW1551" s="1">
        <f>=COUNTIF(E1551:AI1551,"R")</f>
      </c>
      <c r="AX1551" s="1">
        <f>=COUNTIF(E1551:AI1551,"DV")</f>
      </c>
      <c r="AY1551" s="1">
        <f>=+AN1551+AO1551+AP1551+AQ1551+AR1551+AS1551+AT1551+AU1551</f>
      </c>
    </row>
    <row r="1552" ht="16" customHeight="1" spans="1:51" x14ac:dyDescent="0.25">
      <c r="A1552" s="45"/>
      <c r="B1552" s="46"/>
      <c r="C1552" s="46"/>
      <c r="D1552" s="46" t="s">
        <v>33</v>
      </c>
      <c r="E1552" s="46"/>
      <c r="F1552" s="46"/>
      <c r="G1552" s="46"/>
      <c r="H1552" s="46"/>
      <c r="I1552" s="46"/>
      <c r="J1552" s="46"/>
      <c r="K1552" s="46"/>
      <c r="L1552" s="46"/>
      <c r="M1552" s="46"/>
      <c r="N1552" s="46"/>
      <c r="O1552" s="46"/>
      <c r="P1552" s="46"/>
      <c r="Q1552" s="46"/>
      <c r="R1552" s="46"/>
      <c r="S1552" s="46"/>
      <c r="T1552" s="46"/>
      <c r="U1552" s="46"/>
      <c r="V1552" s="46"/>
      <c r="W1552" s="46"/>
      <c r="X1552" s="46"/>
      <c r="Y1552" s="46"/>
      <c r="Z1552" s="46"/>
      <c r="AA1552" s="46"/>
      <c r="AB1552" s="46"/>
      <c r="AC1552" s="46"/>
      <c r="AD1552" s="46"/>
      <c r="AE1552" s="46"/>
      <c r="AF1552" s="46"/>
      <c r="AG1552" s="46"/>
      <c r="AH1552" s="46"/>
      <c r="AI1552" s="46"/>
      <c r="AJ1552" s="46"/>
      <c r="AK1552" s="46"/>
      <c r="AL1552" s="46"/>
      <c r="AM1552" s="1"/>
      <c r="AN1552" s="1"/>
      <c r="AO1552" s="1"/>
      <c r="AP1552" s="1"/>
      <c r="AQ1552" s="1"/>
      <c r="AR1552" s="1"/>
      <c r="AS1552" s="1"/>
      <c r="AT1552" s="1"/>
      <c r="AU1552" s="1"/>
      <c r="AV1552" s="1"/>
      <c r="AW1552" s="1"/>
      <c r="AX1552" s="1"/>
      <c r="AY1552" s="1"/>
    </row>
    <row r="1553" ht="16" customHeight="1" spans="1:51" x14ac:dyDescent="0.25">
      <c r="A1553" s="45"/>
      <c r="B1553" s="46" t="s">
        <v>1605</v>
      </c>
      <c r="C1553" s="46" t="s">
        <v>1606</v>
      </c>
      <c r="D1553" s="46" t="s">
        <v>29</v>
      </c>
      <c r="E1553" s="46" t="s">
        <v>41</v>
      </c>
      <c r="F1553" s="46" t="s">
        <v>41</v>
      </c>
      <c r="G1553" s="46" t="s">
        <v>37</v>
      </c>
      <c r="H1553" s="46" t="s">
        <v>41</v>
      </c>
      <c r="I1553" s="46" t="s">
        <v>41</v>
      </c>
      <c r="J1553" s="46" t="s">
        <v>41</v>
      </c>
      <c r="K1553" s="46" t="s">
        <v>41</v>
      </c>
      <c r="L1553" s="46" t="s">
        <v>41</v>
      </c>
      <c r="M1553" s="46" t="s">
        <v>41</v>
      </c>
      <c r="N1553" s="46" t="s">
        <v>37</v>
      </c>
      <c r="O1553" s="46" t="s">
        <v>41</v>
      </c>
      <c r="P1553" s="46" t="s">
        <v>41</v>
      </c>
      <c r="Q1553" s="46" t="s">
        <v>41</v>
      </c>
      <c r="R1553" s="46" t="s">
        <v>41</v>
      </c>
      <c r="S1553" s="46" t="s">
        <v>41</v>
      </c>
      <c r="T1553" s="46" t="s">
        <v>41</v>
      </c>
      <c r="U1553" s="46" t="s">
        <v>37</v>
      </c>
      <c r="V1553" s="46" t="s">
        <v>41</v>
      </c>
      <c r="W1553" s="46" t="s">
        <v>41</v>
      </c>
      <c r="X1553" s="46" t="s">
        <v>41</v>
      </c>
      <c r="Y1553" s="46" t="s">
        <v>41</v>
      </c>
      <c r="Z1553" s="46" t="s">
        <v>41</v>
      </c>
      <c r="AA1553" s="46" t="s">
        <v>41</v>
      </c>
      <c r="AB1553" s="46" t="s">
        <v>37</v>
      </c>
      <c r="AC1553" s="46" t="s">
        <v>41</v>
      </c>
      <c r="AD1553" s="46" t="s">
        <v>41</v>
      </c>
      <c r="AE1553" s="46" t="s">
        <v>41</v>
      </c>
      <c r="AF1553" s="46" t="s">
        <v>41</v>
      </c>
      <c r="AG1553" s="46" t="s">
        <v>41</v>
      </c>
      <c r="AH1553" s="46" t="s">
        <v>43</v>
      </c>
      <c r="AI1553" s="46" t="s">
        <v>37</v>
      </c>
      <c r="AJ1553" s="46">
        <f>=SUM(E1554:AI1554)</f>
      </c>
      <c r="AK1553" s="46">
        <f>=+AY1553</f>
      </c>
      <c r="AL1553" s="46"/>
      <c r="AM1553" s="1"/>
      <c r="AN1553" s="1">
        <f>=COUNTIF(E1553:AI1553,"A")+COUNTIF(E1553:AI1553,"B")+COUNTIF(E1553:AI1553,"C")+COUNTIF(E1553:AI1553,"D")+COUNTIF(E1553:AI1553,"E")+COUNTIF(E1553:AI1553,"F")+COUNTIF(E1553:AI1553,"M")+COUNTIF(E1553:AI1553,"AB")+COUNTIF(E1553:AI1553,"UZ")+COUNTIF(E1553:AI1553,"G")+(COUNTIF(E1553:AI1553,"RT.")/2)+(COUNTIF(E1553:AI1553,"ÇRT.")/2)</f>
      </c>
      <c r="AO1553" s="1">
        <f>=COUNTIF(E1553:AI1553,"O")</f>
      </c>
      <c r="AP1553" s="1">
        <f>=COUNTIF(E1553:AI1553,"RT")+(COUNTIF(E1553:AI1553,"RT.")/2)</f>
      </c>
      <c r="AQ1553" s="1">
        <f>=COUNTIF(E1553:AI1553,"ÇRT")+(COUNTIF(E1553:AI1553,"ÇRT.")/2)</f>
      </c>
      <c r="AR1553" s="1">
        <f>=COUNTIF(E1553:AI1553,"ÇHT")</f>
      </c>
      <c r="AS1553" s="1">
        <f>=COUNTIF(E1553:AI1553,"Ö")+COUNTIF(E1553:AI1553,"T")</f>
      </c>
      <c r="AT1553" s="1">
        <f>=COUNTIF(E1553:AI1553,"Y")</f>
      </c>
      <c r="AU1553" s="1">
        <f>=COUNTIF(E1553:AI1553,"R.")</f>
      </c>
      <c r="AV1553" s="1">
        <f>=COUNTIF(E1553:AI1553,"Ü")</f>
      </c>
      <c r="AW1553" s="1">
        <f>=COUNTIF(E1553:AI1553,"R")</f>
      </c>
      <c r="AX1553" s="1">
        <f>=COUNTIF(E1553:AI1553,"DV")</f>
      </c>
      <c r="AY1553" s="1">
        <f>=+AN1553+AO1553+AP1553+AQ1553+AR1553+AS1553+AT1553+AU1553</f>
      </c>
    </row>
    <row r="1554" ht="16" customHeight="1" spans="1:51" x14ac:dyDescent="0.25">
      <c r="A1554" s="45"/>
      <c r="B1554" s="46"/>
      <c r="C1554" s="46"/>
      <c r="D1554" s="46" t="s">
        <v>33</v>
      </c>
      <c r="E1554" s="46">
        <v>2</v>
      </c>
      <c r="F1554" s="46">
        <v>2</v>
      </c>
      <c r="G1554" s="46"/>
      <c r="H1554" s="46">
        <v>2</v>
      </c>
      <c r="I1554" s="46">
        <v>2</v>
      </c>
      <c r="J1554" s="46">
        <v>2</v>
      </c>
      <c r="K1554" s="46">
        <v>2</v>
      </c>
      <c r="L1554" s="46">
        <v>2</v>
      </c>
      <c r="M1554" s="46">
        <v>2</v>
      </c>
      <c r="N1554" s="46"/>
      <c r="O1554" s="46">
        <v>2</v>
      </c>
      <c r="P1554" s="46">
        <v>2</v>
      </c>
      <c r="Q1554" s="46">
        <v>2</v>
      </c>
      <c r="R1554" s="46">
        <v>2</v>
      </c>
      <c r="S1554" s="46">
        <v>2</v>
      </c>
      <c r="T1554" s="46">
        <v>2</v>
      </c>
      <c r="U1554" s="46"/>
      <c r="V1554" s="46">
        <v>2</v>
      </c>
      <c r="W1554" s="46">
        <v>2</v>
      </c>
      <c r="X1554" s="46">
        <v>2</v>
      </c>
      <c r="Y1554" s="46">
        <v>2</v>
      </c>
      <c r="Z1554" s="46">
        <v>2</v>
      </c>
      <c r="AA1554" s="46">
        <v>2</v>
      </c>
      <c r="AB1554" s="46"/>
      <c r="AC1554" s="46">
        <v>2</v>
      </c>
      <c r="AD1554" s="46">
        <v>2</v>
      </c>
      <c r="AE1554" s="46">
        <v>2</v>
      </c>
      <c r="AF1554" s="46">
        <v>2</v>
      </c>
      <c r="AG1554" s="46">
        <v>2</v>
      </c>
      <c r="AH1554" s="46">
        <v>2</v>
      </c>
      <c r="AI1554" s="46"/>
      <c r="AJ1554" s="46"/>
      <c r="AK1554" s="46"/>
      <c r="AL1554" s="46"/>
      <c r="AM1554" s="1"/>
      <c r="AN1554" s="1"/>
      <c r="AO1554" s="1"/>
      <c r="AP1554" s="1"/>
      <c r="AQ1554" s="1"/>
      <c r="AR1554" s="1"/>
      <c r="AS1554" s="1"/>
      <c r="AT1554" s="1"/>
      <c r="AU1554" s="1"/>
      <c r="AV1554" s="1"/>
      <c r="AW1554" s="1"/>
      <c r="AX1554" s="1"/>
      <c r="AY1554" s="1"/>
    </row>
    <row r="1555" ht="16" customHeight="1" spans="1:51" x14ac:dyDescent="0.25">
      <c r="A1555" s="45"/>
      <c r="B1555" s="46" t="s">
        <v>1607</v>
      </c>
      <c r="C1555" s="46" t="s">
        <v>1608</v>
      </c>
      <c r="D1555" s="46" t="s">
        <v>29</v>
      </c>
      <c r="E1555" s="46" t="s">
        <v>37</v>
      </c>
      <c r="F1555" s="46" t="s">
        <v>59</v>
      </c>
      <c r="G1555" s="46" t="s">
        <v>46</v>
      </c>
      <c r="H1555" s="46" t="s">
        <v>299</v>
      </c>
      <c r="I1555" s="46" t="s">
        <v>299</v>
      </c>
      <c r="J1555" s="46" t="s">
        <v>299</v>
      </c>
      <c r="K1555" s="46" t="s">
        <v>59</v>
      </c>
      <c r="L1555" s="46" t="s">
        <v>37</v>
      </c>
      <c r="M1555" s="46" t="s">
        <v>59</v>
      </c>
      <c r="N1555" s="46" t="s">
        <v>59</v>
      </c>
      <c r="O1555" s="46" t="s">
        <v>59</v>
      </c>
      <c r="P1555" s="46" t="s">
        <v>59</v>
      </c>
      <c r="Q1555" s="46" t="s">
        <v>59</v>
      </c>
      <c r="R1555" s="46" t="s">
        <v>59</v>
      </c>
      <c r="S1555" s="46" t="s">
        <v>37</v>
      </c>
      <c r="T1555" s="46" t="s">
        <v>59</v>
      </c>
      <c r="U1555" s="46" t="s">
        <v>59</v>
      </c>
      <c r="V1555" s="46" t="s">
        <v>59</v>
      </c>
      <c r="W1555" s="46" t="s">
        <v>59</v>
      </c>
      <c r="X1555" s="46" t="s">
        <v>59</v>
      </c>
      <c r="Y1555" s="46" t="s">
        <v>59</v>
      </c>
      <c r="Z1555" s="46" t="s">
        <v>37</v>
      </c>
      <c r="AA1555" s="46" t="s">
        <v>59</v>
      </c>
      <c r="AB1555" s="46" t="s">
        <v>59</v>
      </c>
      <c r="AC1555" s="46" t="s">
        <v>59</v>
      </c>
      <c r="AD1555" s="46" t="s">
        <v>59</v>
      </c>
      <c r="AE1555" s="46" t="s">
        <v>59</v>
      </c>
      <c r="AF1555" s="46" t="s">
        <v>59</v>
      </c>
      <c r="AG1555" s="46" t="s">
        <v>37</v>
      </c>
      <c r="AH1555" s="46" t="s">
        <v>43</v>
      </c>
      <c r="AI1555" s="46" t="s">
        <v>59</v>
      </c>
      <c r="AJ1555" s="46">
        <f>=SUM(E1556:AI1556)</f>
      </c>
      <c r="AK1555" s="46">
        <f>=+AY1555</f>
      </c>
      <c r="AL1555" s="46"/>
      <c r="AM1555" s="1"/>
      <c r="AN1555" s="1">
        <f>=COUNTIF(E1555:AI1555,"A")+COUNTIF(E1555:AI1555,"B")+COUNTIF(E1555:AI1555,"C")+COUNTIF(E1555:AI1555,"D")+COUNTIF(E1555:AI1555,"E")+COUNTIF(E1555:AI1555,"F")+COUNTIF(E1555:AI1555,"M")+COUNTIF(E1555:AI1555,"AB")+COUNTIF(E1555:AI1555,"UZ")+COUNTIF(E1555:AI1555,"G")+(COUNTIF(E1555:AI1555,"RT.")/2)+(COUNTIF(E1555:AI1555,"ÇRT.")/2)</f>
      </c>
      <c r="AO1555" s="1">
        <f>=COUNTIF(E1555:AI1555,"O")</f>
      </c>
      <c r="AP1555" s="1">
        <f>=COUNTIF(E1555:AI1555,"RT")+(COUNTIF(E1555:AI1555,"RT.")/2)</f>
      </c>
      <c r="AQ1555" s="1">
        <f>=COUNTIF(E1555:AI1555,"ÇRT")+(COUNTIF(E1555:AI1555,"ÇRT.")/2)</f>
      </c>
      <c r="AR1555" s="1">
        <f>=COUNTIF(E1555:AI1555,"ÇHT")</f>
      </c>
      <c r="AS1555" s="1">
        <f>=COUNTIF(E1555:AI1555,"Ö")+COUNTIF(E1555:AI1555,"T")</f>
      </c>
      <c r="AT1555" s="1">
        <f>=COUNTIF(E1555:AI1555,"Y")</f>
      </c>
      <c r="AU1555" s="1">
        <f>=COUNTIF(E1555:AI1555,"R.")</f>
      </c>
      <c r="AV1555" s="1">
        <f>=COUNTIF(E1555:AI1555,"Ü")</f>
      </c>
      <c r="AW1555" s="1">
        <f>=COUNTIF(E1555:AI1555,"R")</f>
      </c>
      <c r="AX1555" s="1">
        <f>=COUNTIF(E1555:AI1555,"DV")</f>
      </c>
      <c r="AY1555" s="1">
        <f>=+AN1555+AO1555+AP1555+AQ1555+AR1555+AS1555+AT1555+AU1555</f>
      </c>
    </row>
    <row r="1556" ht="16" customHeight="1" spans="1:51" x14ac:dyDescent="0.25">
      <c r="A1556" s="45"/>
      <c r="B1556" s="46"/>
      <c r="C1556" s="46"/>
      <c r="D1556" s="46" t="s">
        <v>33</v>
      </c>
      <c r="E1556" s="46"/>
      <c r="F1556" s="46"/>
      <c r="G1556" s="46">
        <v>2</v>
      </c>
      <c r="H1556" s="46">
        <v>2</v>
      </c>
      <c r="I1556" s="46">
        <v>2</v>
      </c>
      <c r="J1556" s="46"/>
      <c r="K1556" s="46"/>
      <c r="L1556" s="46"/>
      <c r="M1556" s="46"/>
      <c r="N1556" s="46">
        <v>2</v>
      </c>
      <c r="O1556" s="46"/>
      <c r="P1556" s="46">
        <v>2</v>
      </c>
      <c r="Q1556" s="46">
        <v>2</v>
      </c>
      <c r="R1556" s="46"/>
      <c r="S1556" s="46"/>
      <c r="T1556" s="46">
        <v>2</v>
      </c>
      <c r="U1556" s="46">
        <v>2</v>
      </c>
      <c r="V1556" s="46"/>
      <c r="W1556" s="46">
        <v>2</v>
      </c>
      <c r="X1556" s="46">
        <v>2</v>
      </c>
      <c r="Y1556" s="46"/>
      <c r="Z1556" s="46"/>
      <c r="AA1556" s="46">
        <v>2</v>
      </c>
      <c r="AB1556" s="46">
        <v>2</v>
      </c>
      <c r="AC1556" s="46"/>
      <c r="AD1556" s="46">
        <v>2</v>
      </c>
      <c r="AE1556" s="46">
        <v>2</v>
      </c>
      <c r="AF1556" s="46"/>
      <c r="AG1556" s="46"/>
      <c r="AH1556" s="46">
        <v>2</v>
      </c>
      <c r="AI1556" s="46">
        <v>2</v>
      </c>
      <c r="AJ1556" s="46"/>
      <c r="AK1556" s="46"/>
      <c r="AL1556" s="46"/>
      <c r="AM1556" s="1"/>
      <c r="AN1556" s="1"/>
      <c r="AO1556" s="1"/>
      <c r="AP1556" s="1"/>
      <c r="AQ1556" s="1"/>
      <c r="AR1556" s="1"/>
      <c r="AS1556" s="1"/>
      <c r="AT1556" s="1"/>
      <c r="AU1556" s="1"/>
      <c r="AV1556" s="1"/>
      <c r="AW1556" s="1"/>
      <c r="AX1556" s="1"/>
      <c r="AY1556" s="1"/>
    </row>
    <row r="1557" ht="16" customHeight="1" spans="1:51" x14ac:dyDescent="0.25">
      <c r="A1557" s="45"/>
      <c r="B1557" s="46" t="s">
        <v>1609</v>
      </c>
      <c r="C1557" s="46" t="s">
        <v>1610</v>
      </c>
      <c r="D1557" s="46" t="s">
        <v>29</v>
      </c>
      <c r="E1557" s="46"/>
      <c r="F1557" s="46"/>
      <c r="G1557" s="46"/>
      <c r="H1557" s="46"/>
      <c r="I1557" s="46"/>
      <c r="J1557" s="46"/>
      <c r="K1557" s="46"/>
      <c r="L1557" s="46"/>
      <c r="M1557" s="46"/>
      <c r="N1557" s="46"/>
      <c r="O1557" s="46" t="s">
        <v>36</v>
      </c>
      <c r="P1557" s="46" t="s">
        <v>36</v>
      </c>
      <c r="Q1557" s="46" t="s">
        <v>36</v>
      </c>
      <c r="R1557" s="46" t="s">
        <v>36</v>
      </c>
      <c r="S1557" s="46" t="s">
        <v>36</v>
      </c>
      <c r="T1557" s="46" t="s">
        <v>37</v>
      </c>
      <c r="U1557" s="46" t="s">
        <v>36</v>
      </c>
      <c r="V1557" s="46" t="s">
        <v>299</v>
      </c>
      <c r="W1557" s="46" t="s">
        <v>36</v>
      </c>
      <c r="X1557" s="46" t="s">
        <v>299</v>
      </c>
      <c r="Y1557" s="46" t="s">
        <v>36</v>
      </c>
      <c r="Z1557" s="46" t="s">
        <v>37</v>
      </c>
      <c r="AA1557" s="46" t="s">
        <v>36</v>
      </c>
      <c r="AB1557" s="46" t="s">
        <v>36</v>
      </c>
      <c r="AC1557" s="46" t="s">
        <v>299</v>
      </c>
      <c r="AD1557" s="46" t="s">
        <v>36</v>
      </c>
      <c r="AE1557" s="46" t="s">
        <v>299</v>
      </c>
      <c r="AF1557" s="46" t="s">
        <v>31</v>
      </c>
      <c r="AG1557" s="46" t="s">
        <v>37</v>
      </c>
      <c r="AH1557" s="46" t="s">
        <v>43</v>
      </c>
      <c r="AI1557" s="46" t="s">
        <v>299</v>
      </c>
      <c r="AJ1557" s="46">
        <f>=SUM(E1558:AI1558)</f>
      </c>
      <c r="AK1557" s="46">
        <f>=+AY1557</f>
      </c>
      <c r="AL1557" s="46"/>
      <c r="AM1557" s="1"/>
      <c r="AN1557" s="1">
        <f>=COUNTIF(E1557:AI1557,"A")+COUNTIF(E1557:AI1557,"B")+COUNTIF(E1557:AI1557,"C")+COUNTIF(E1557:AI1557,"D")+COUNTIF(E1557:AI1557,"E")+COUNTIF(E1557:AI1557,"F")+COUNTIF(E1557:AI1557,"M")+COUNTIF(E1557:AI1557,"AB")+COUNTIF(E1557:AI1557,"UZ")+COUNTIF(E1557:AI1557,"G")+(COUNTIF(E1557:AI1557,"RT.")/2)+(COUNTIF(E1557:AI1557,"ÇRT.")/2)</f>
      </c>
      <c r="AO1557" s="1">
        <f>=COUNTIF(E1557:AI1557,"O")</f>
      </c>
      <c r="AP1557" s="1">
        <f>=COUNTIF(E1557:AI1557,"RT")+(COUNTIF(E1557:AI1557,"RT.")/2)</f>
      </c>
      <c r="AQ1557" s="1">
        <f>=COUNTIF(E1557:AI1557,"ÇRT")+(COUNTIF(E1557:AI1557,"ÇRT.")/2)</f>
      </c>
      <c r="AR1557" s="1">
        <f>=COUNTIF(E1557:AI1557,"ÇHT")</f>
      </c>
      <c r="AS1557" s="1">
        <f>=COUNTIF(E1557:AI1557,"Ö")+COUNTIF(E1557:AI1557,"T")</f>
      </c>
      <c r="AT1557" s="1">
        <f>=COUNTIF(E1557:AI1557,"Y")</f>
      </c>
      <c r="AU1557" s="1">
        <f>=COUNTIF(E1557:AI1557,"R.")</f>
      </c>
      <c r="AV1557" s="1">
        <f>=COUNTIF(E1557:AI1557,"Ü")</f>
      </c>
      <c r="AW1557" s="1">
        <f>=COUNTIF(E1557:AI1557,"R")</f>
      </c>
      <c r="AX1557" s="1">
        <f>=COUNTIF(E1557:AI1557,"DV")</f>
      </c>
      <c r="AY1557" s="1">
        <f>=+AN1557+AO1557+AP1557+AQ1557+AR1557+AS1557+AT1557+AU1557</f>
      </c>
    </row>
    <row r="1558" ht="16" customHeight="1" spans="1:51" x14ac:dyDescent="0.25">
      <c r="A1558" s="45"/>
      <c r="B1558" s="46"/>
      <c r="C1558" s="46"/>
      <c r="D1558" s="46" t="s">
        <v>33</v>
      </c>
      <c r="E1558" s="46"/>
      <c r="F1558" s="46"/>
      <c r="G1558" s="46"/>
      <c r="H1558" s="46"/>
      <c r="I1558" s="46"/>
      <c r="J1558" s="46"/>
      <c r="K1558" s="46"/>
      <c r="L1558" s="46"/>
      <c r="M1558" s="46"/>
      <c r="N1558" s="46"/>
      <c r="O1558" s="46"/>
      <c r="P1558" s="46"/>
      <c r="Q1558" s="46"/>
      <c r="R1558" s="46"/>
      <c r="S1558" s="46"/>
      <c r="T1558" s="46"/>
      <c r="U1558" s="46"/>
      <c r="V1558" s="46">
        <v>2</v>
      </c>
      <c r="W1558" s="46"/>
      <c r="X1558" s="46">
        <v>2</v>
      </c>
      <c r="Y1558" s="46"/>
      <c r="Z1558" s="46"/>
      <c r="AA1558" s="46"/>
      <c r="AB1558" s="46"/>
      <c r="AC1558" s="46">
        <v>2</v>
      </c>
      <c r="AD1558" s="46"/>
      <c r="AE1558" s="46">
        <v>2</v>
      </c>
      <c r="AF1558" s="46"/>
      <c r="AG1558" s="46"/>
      <c r="AH1558" s="46"/>
      <c r="AI1558" s="46">
        <v>2</v>
      </c>
      <c r="AJ1558" s="46"/>
      <c r="AK1558" s="46"/>
      <c r="AL1558" s="46"/>
      <c r="AM1558" s="1"/>
      <c r="AN1558" s="1"/>
      <c r="AO1558" s="1"/>
      <c r="AP1558" s="1"/>
      <c r="AQ1558" s="1"/>
      <c r="AR1558" s="1"/>
      <c r="AS1558" s="1"/>
      <c r="AT1558" s="1"/>
      <c r="AU1558" s="1"/>
      <c r="AV1558" s="1"/>
      <c r="AW1558" s="1"/>
      <c r="AX1558" s="1"/>
      <c r="AY1558" s="1"/>
    </row>
    <row r="1559" ht="16" customHeight="1" spans="1:51" x14ac:dyDescent="0.25">
      <c r="A1559" s="45"/>
      <c r="B1559" s="46" t="s">
        <v>1611</v>
      </c>
      <c r="C1559" s="46" t="s">
        <v>1612</v>
      </c>
      <c r="D1559" s="46" t="s">
        <v>29</v>
      </c>
      <c r="E1559" s="46" t="s">
        <v>36</v>
      </c>
      <c r="F1559" s="46" t="s">
        <v>299</v>
      </c>
      <c r="G1559" s="46" t="s">
        <v>36</v>
      </c>
      <c r="H1559" s="46" t="s">
        <v>37</v>
      </c>
      <c r="I1559" s="46" t="s">
        <v>31</v>
      </c>
      <c r="J1559" s="46" t="s">
        <v>36</v>
      </c>
      <c r="K1559" s="46" t="s">
        <v>299</v>
      </c>
      <c r="L1559" s="46" t="s">
        <v>36</v>
      </c>
      <c r="M1559" s="46" t="s">
        <v>299</v>
      </c>
      <c r="N1559" s="46" t="s">
        <v>36</v>
      </c>
      <c r="O1559" s="46" t="s">
        <v>37</v>
      </c>
      <c r="P1559" s="46" t="s">
        <v>36</v>
      </c>
      <c r="Q1559" s="46" t="s">
        <v>36</v>
      </c>
      <c r="R1559" s="46" t="s">
        <v>299</v>
      </c>
      <c r="S1559" s="46" t="s">
        <v>31</v>
      </c>
      <c r="T1559" s="46" t="s">
        <v>31</v>
      </c>
      <c r="U1559" s="46" t="s">
        <v>31</v>
      </c>
      <c r="V1559" s="46" t="s">
        <v>37</v>
      </c>
      <c r="W1559" s="46" t="s">
        <v>299</v>
      </c>
      <c r="X1559" s="46" t="s">
        <v>36</v>
      </c>
      <c r="Y1559" s="46" t="s">
        <v>299</v>
      </c>
      <c r="Z1559" s="46" t="s">
        <v>36</v>
      </c>
      <c r="AA1559" s="46" t="s">
        <v>299</v>
      </c>
      <c r="AB1559" s="46" t="s">
        <v>36</v>
      </c>
      <c r="AC1559" s="46" t="s">
        <v>37</v>
      </c>
      <c r="AD1559" s="46" t="s">
        <v>299</v>
      </c>
      <c r="AE1559" s="46" t="s">
        <v>36</v>
      </c>
      <c r="AF1559" s="46" t="s">
        <v>299</v>
      </c>
      <c r="AG1559" s="46" t="s">
        <v>299</v>
      </c>
      <c r="AH1559" s="46" t="s">
        <v>43</v>
      </c>
      <c r="AI1559" s="46"/>
      <c r="AJ1559" s="46">
        <f>=SUM(E1560:AI1560)</f>
      </c>
      <c r="AK1559" s="46">
        <f>=+AY1559</f>
      </c>
      <c r="AL1559" s="46"/>
      <c r="AM1559" s="1"/>
      <c r="AN1559" s="1">
        <f>=COUNTIF(E1559:AI1559,"A")+COUNTIF(E1559:AI1559,"B")+COUNTIF(E1559:AI1559,"C")+COUNTIF(E1559:AI1559,"D")+COUNTIF(E1559:AI1559,"E")+COUNTIF(E1559:AI1559,"F")+COUNTIF(E1559:AI1559,"M")+COUNTIF(E1559:AI1559,"AB")+COUNTIF(E1559:AI1559,"UZ")+COUNTIF(E1559:AI1559,"G")+(COUNTIF(E1559:AI1559,"RT.")/2)+(COUNTIF(E1559:AI1559,"ÇRT.")/2)</f>
      </c>
      <c r="AO1559" s="1">
        <f>=COUNTIF(E1559:AI1559,"O")</f>
      </c>
      <c r="AP1559" s="1">
        <f>=COUNTIF(E1559:AI1559,"RT")+(COUNTIF(E1559:AI1559,"RT.")/2)</f>
      </c>
      <c r="AQ1559" s="1">
        <f>=COUNTIF(E1559:AI1559,"ÇRT")+(COUNTIF(E1559:AI1559,"ÇRT.")/2)</f>
      </c>
      <c r="AR1559" s="1">
        <f>=COUNTIF(E1559:AI1559,"ÇHT")</f>
      </c>
      <c r="AS1559" s="1">
        <f>=COUNTIF(E1559:AI1559,"Ö")+COUNTIF(E1559:AI1559,"T")</f>
      </c>
      <c r="AT1559" s="1">
        <f>=COUNTIF(E1559:AI1559,"Y")</f>
      </c>
      <c r="AU1559" s="1">
        <f>=COUNTIF(E1559:AI1559,"R.")</f>
      </c>
      <c r="AV1559" s="1">
        <f>=COUNTIF(E1559:AI1559,"Ü")</f>
      </c>
      <c r="AW1559" s="1">
        <f>=COUNTIF(E1559:AI1559,"R")</f>
      </c>
      <c r="AX1559" s="1">
        <f>=COUNTIF(E1559:AI1559,"DV")</f>
      </c>
      <c r="AY1559" s="1">
        <f>=+AN1559+AO1559+AP1559+AQ1559+AR1559+AS1559+AT1559+AU1559</f>
      </c>
    </row>
    <row r="1560" ht="16" customHeight="1" spans="1:51" x14ac:dyDescent="0.25">
      <c r="A1560" s="45"/>
      <c r="B1560" s="46"/>
      <c r="C1560" s="46"/>
      <c r="D1560" s="46" t="s">
        <v>33</v>
      </c>
      <c r="E1560" s="46"/>
      <c r="F1560" s="46">
        <v>2</v>
      </c>
      <c r="G1560" s="46"/>
      <c r="H1560" s="46"/>
      <c r="I1560" s="46"/>
      <c r="J1560" s="46"/>
      <c r="K1560" s="46">
        <v>2</v>
      </c>
      <c r="L1560" s="46">
        <v>2</v>
      </c>
      <c r="M1560" s="46">
        <v>2</v>
      </c>
      <c r="N1560" s="46"/>
      <c r="O1560" s="46"/>
      <c r="P1560" s="46">
        <v>2</v>
      </c>
      <c r="Q1560" s="46"/>
      <c r="R1560" s="46">
        <v>2</v>
      </c>
      <c r="S1560" s="46"/>
      <c r="T1560" s="46"/>
      <c r="U1560" s="46"/>
      <c r="V1560" s="46"/>
      <c r="W1560" s="46">
        <v>2</v>
      </c>
      <c r="X1560" s="46"/>
      <c r="Y1560" s="46">
        <v>2</v>
      </c>
      <c r="Z1560" s="46"/>
      <c r="AA1560" s="46"/>
      <c r="AB1560" s="46"/>
      <c r="AC1560" s="46"/>
      <c r="AD1560" s="46">
        <v>2</v>
      </c>
      <c r="AE1560" s="46"/>
      <c r="AF1560" s="46"/>
      <c r="AG1560" s="46">
        <v>2</v>
      </c>
      <c r="AH1560" s="46">
        <v>2</v>
      </c>
      <c r="AI1560" s="46"/>
      <c r="AJ1560" s="46"/>
      <c r="AK1560" s="46"/>
      <c r="AL1560" s="46"/>
      <c r="AM1560" s="1"/>
      <c r="AN1560" s="1"/>
      <c r="AO1560" s="1"/>
      <c r="AP1560" s="1"/>
      <c r="AQ1560" s="1"/>
      <c r="AR1560" s="1"/>
      <c r="AS1560" s="1"/>
      <c r="AT1560" s="1"/>
      <c r="AU1560" s="1"/>
      <c r="AV1560" s="1"/>
      <c r="AW1560" s="1"/>
      <c r="AX1560" s="1"/>
      <c r="AY1560" s="1"/>
    </row>
    <row r="1561" ht="16" customHeight="1" spans="1:51" x14ac:dyDescent="0.25">
      <c r="A1561" s="45"/>
      <c r="B1561" s="46" t="s">
        <v>1613</v>
      </c>
      <c r="C1561" s="46" t="s">
        <v>1614</v>
      </c>
      <c r="D1561" s="46" t="s">
        <v>29</v>
      </c>
      <c r="E1561" s="46" t="s">
        <v>41</v>
      </c>
      <c r="F1561" s="46" t="s">
        <v>41</v>
      </c>
      <c r="G1561" s="46" t="s">
        <v>41</v>
      </c>
      <c r="H1561" s="46" t="s">
        <v>41</v>
      </c>
      <c r="I1561" s="46" t="s">
        <v>37</v>
      </c>
      <c r="J1561" s="46" t="s">
        <v>41</v>
      </c>
      <c r="K1561" s="46" t="s">
        <v>41</v>
      </c>
      <c r="L1561" s="46" t="s">
        <v>41</v>
      </c>
      <c r="M1561" s="46" t="s">
        <v>41</v>
      </c>
      <c r="N1561" s="46" t="s">
        <v>41</v>
      </c>
      <c r="O1561" s="46" t="s">
        <v>41</v>
      </c>
      <c r="P1561" s="46" t="s">
        <v>37</v>
      </c>
      <c r="Q1561" s="46" t="s">
        <v>41</v>
      </c>
      <c r="R1561" s="46" t="s">
        <v>41</v>
      </c>
      <c r="S1561" s="46" t="s">
        <v>41</v>
      </c>
      <c r="T1561" s="46" t="s">
        <v>41</v>
      </c>
      <c r="U1561" s="46" t="s">
        <v>41</v>
      </c>
      <c r="V1561" s="46" t="s">
        <v>41</v>
      </c>
      <c r="W1561" s="46" t="s">
        <v>37</v>
      </c>
      <c r="X1561" s="46" t="s">
        <v>41</v>
      </c>
      <c r="Y1561" s="46" t="s">
        <v>41</v>
      </c>
      <c r="Z1561" s="46" t="s">
        <v>41</v>
      </c>
      <c r="AA1561" s="46" t="s">
        <v>41</v>
      </c>
      <c r="AB1561" s="46" t="s">
        <v>41</v>
      </c>
      <c r="AC1561" s="46" t="s">
        <v>41</v>
      </c>
      <c r="AD1561" s="46" t="s">
        <v>37</v>
      </c>
      <c r="AE1561" s="46" t="s">
        <v>41</v>
      </c>
      <c r="AF1561" s="46" t="s">
        <v>41</v>
      </c>
      <c r="AG1561" s="46" t="s">
        <v>41</v>
      </c>
      <c r="AH1561" s="46" t="s">
        <v>43</v>
      </c>
      <c r="AI1561" s="46" t="s">
        <v>41</v>
      </c>
      <c r="AJ1561" s="46">
        <f>=SUM(E1562:AI1562)</f>
      </c>
      <c r="AK1561" s="46">
        <f>=+AY1561</f>
      </c>
      <c r="AL1561" s="46"/>
      <c r="AM1561" s="1"/>
      <c r="AN1561" s="1">
        <f>=COUNTIF(E1561:AI1561,"A")+COUNTIF(E1561:AI1561,"B")+COUNTIF(E1561:AI1561,"C")+COUNTIF(E1561:AI1561,"D")+COUNTIF(E1561:AI1561,"E")+COUNTIF(E1561:AI1561,"F")+COUNTIF(E1561:AI1561,"M")+COUNTIF(E1561:AI1561,"AB")+COUNTIF(E1561:AI1561,"UZ")+COUNTIF(E1561:AI1561,"G")+(COUNTIF(E1561:AI1561,"RT.")/2)+(COUNTIF(E1561:AI1561,"ÇRT.")/2)</f>
      </c>
      <c r="AO1561" s="1">
        <f>=COUNTIF(E1561:AI1561,"O")</f>
      </c>
      <c r="AP1561" s="1">
        <f>=COUNTIF(E1561:AI1561,"RT")+(COUNTIF(E1561:AI1561,"RT.")/2)</f>
      </c>
      <c r="AQ1561" s="1">
        <f>=COUNTIF(E1561:AI1561,"ÇRT")+(COUNTIF(E1561:AI1561,"ÇRT.")/2)</f>
      </c>
      <c r="AR1561" s="1">
        <f>=COUNTIF(E1561:AI1561,"ÇHT")</f>
      </c>
      <c r="AS1561" s="1">
        <f>=COUNTIF(E1561:AI1561,"Ö")+COUNTIF(E1561:AI1561,"T")</f>
      </c>
      <c r="AT1561" s="1">
        <f>=COUNTIF(E1561:AI1561,"Y")</f>
      </c>
      <c r="AU1561" s="1">
        <f>=COUNTIF(E1561:AI1561,"R.")</f>
      </c>
      <c r="AV1561" s="1">
        <f>=COUNTIF(E1561:AI1561,"Ü")</f>
      </c>
      <c r="AW1561" s="1">
        <f>=COUNTIF(E1561:AI1561,"R")</f>
      </c>
      <c r="AX1561" s="1">
        <f>=COUNTIF(E1561:AI1561,"DV")</f>
      </c>
      <c r="AY1561" s="1">
        <f>=+AN1561+AO1561+AP1561+AQ1561+AR1561+AS1561+AT1561+AU1561</f>
      </c>
    </row>
    <row r="1562" ht="16" customHeight="1" spans="1:51" x14ac:dyDescent="0.25">
      <c r="A1562" s="45"/>
      <c r="B1562" s="46"/>
      <c r="C1562" s="46"/>
      <c r="D1562" s="46" t="s">
        <v>33</v>
      </c>
      <c r="E1562" s="46">
        <v>2</v>
      </c>
      <c r="F1562" s="46">
        <v>2</v>
      </c>
      <c r="G1562" s="46">
        <v>2</v>
      </c>
      <c r="H1562" s="46">
        <v>2</v>
      </c>
      <c r="I1562" s="46"/>
      <c r="J1562" s="46">
        <v>2</v>
      </c>
      <c r="K1562" s="46">
        <v>2</v>
      </c>
      <c r="L1562" s="46">
        <v>2</v>
      </c>
      <c r="M1562" s="46">
        <v>2</v>
      </c>
      <c r="N1562" s="46">
        <v>2</v>
      </c>
      <c r="O1562" s="46">
        <v>2</v>
      </c>
      <c r="P1562" s="46"/>
      <c r="Q1562" s="46">
        <v>2</v>
      </c>
      <c r="R1562" s="46">
        <v>2</v>
      </c>
      <c r="S1562" s="46">
        <v>2</v>
      </c>
      <c r="T1562" s="46">
        <v>2</v>
      </c>
      <c r="U1562" s="46">
        <v>2</v>
      </c>
      <c r="V1562" s="46">
        <v>2</v>
      </c>
      <c r="W1562" s="46"/>
      <c r="X1562" s="46">
        <v>2</v>
      </c>
      <c r="Y1562" s="46">
        <v>2</v>
      </c>
      <c r="Z1562" s="46">
        <v>2</v>
      </c>
      <c r="AA1562" s="46">
        <v>2</v>
      </c>
      <c r="AB1562" s="46">
        <v>2</v>
      </c>
      <c r="AC1562" s="46">
        <v>2</v>
      </c>
      <c r="AD1562" s="46"/>
      <c r="AE1562" s="46">
        <v>2</v>
      </c>
      <c r="AF1562" s="46">
        <v>2</v>
      </c>
      <c r="AG1562" s="46">
        <v>2</v>
      </c>
      <c r="AH1562" s="46">
        <v>2</v>
      </c>
      <c r="AI1562" s="46">
        <v>2</v>
      </c>
      <c r="AJ1562" s="46"/>
      <c r="AK1562" s="46"/>
      <c r="AL1562" s="46"/>
      <c r="AM1562" s="1"/>
      <c r="AN1562" s="1"/>
      <c r="AO1562" s="1"/>
      <c r="AP1562" s="1"/>
      <c r="AQ1562" s="1"/>
      <c r="AR1562" s="1"/>
      <c r="AS1562" s="1"/>
      <c r="AT1562" s="1"/>
      <c r="AU1562" s="1"/>
      <c r="AV1562" s="1"/>
      <c r="AW1562" s="1"/>
      <c r="AX1562" s="1"/>
      <c r="AY1562" s="1"/>
    </row>
    <row r="1563" ht="16" customHeight="1" spans="1:51" x14ac:dyDescent="0.25">
      <c r="A1563" s="45"/>
      <c r="B1563" s="46" t="s">
        <v>1615</v>
      </c>
      <c r="C1563" s="46" t="s">
        <v>1616</v>
      </c>
      <c r="D1563" s="46" t="s">
        <v>29</v>
      </c>
      <c r="E1563" s="46" t="s">
        <v>59</v>
      </c>
      <c r="F1563" s="46" t="s">
        <v>37</v>
      </c>
      <c r="G1563" s="46" t="s">
        <v>59</v>
      </c>
      <c r="H1563" s="46" t="s">
        <v>59</v>
      </c>
      <c r="I1563" s="46" t="s">
        <v>59</v>
      </c>
      <c r="J1563" s="46" t="s">
        <v>59</v>
      </c>
      <c r="K1563" s="46" t="s">
        <v>59</v>
      </c>
      <c r="L1563" s="46" t="s">
        <v>59</v>
      </c>
      <c r="M1563" s="46" t="s">
        <v>37</v>
      </c>
      <c r="N1563" s="46" t="s">
        <v>59</v>
      </c>
      <c r="O1563" s="46" t="s">
        <v>59</v>
      </c>
      <c r="P1563" s="46" t="s">
        <v>59</v>
      </c>
      <c r="Q1563" s="46" t="s">
        <v>59</v>
      </c>
      <c r="R1563" s="46" t="s">
        <v>59</v>
      </c>
      <c r="S1563" s="46" t="s">
        <v>59</v>
      </c>
      <c r="T1563" s="46" t="s">
        <v>37</v>
      </c>
      <c r="U1563" s="46" t="s">
        <v>59</v>
      </c>
      <c r="V1563" s="46" t="s">
        <v>59</v>
      </c>
      <c r="W1563" s="46" t="s">
        <v>59</v>
      </c>
      <c r="X1563" s="46" t="s">
        <v>37</v>
      </c>
      <c r="Y1563" s="46" t="s">
        <v>59</v>
      </c>
      <c r="Z1563" s="46" t="s">
        <v>59</v>
      </c>
      <c r="AA1563" s="46" t="s">
        <v>59</v>
      </c>
      <c r="AB1563" s="46" t="s">
        <v>59</v>
      </c>
      <c r="AC1563" s="46" t="s">
        <v>59</v>
      </c>
      <c r="AD1563" s="46" t="s">
        <v>59</v>
      </c>
      <c r="AE1563" s="46" t="s">
        <v>59</v>
      </c>
      <c r="AF1563" s="46" t="s">
        <v>59</v>
      </c>
      <c r="AG1563" s="46" t="s">
        <v>37</v>
      </c>
      <c r="AH1563" s="46" t="s">
        <v>43</v>
      </c>
      <c r="AI1563" s="46" t="s">
        <v>59</v>
      </c>
      <c r="AJ1563" s="46">
        <f>=SUM(E1564:AI1564)</f>
      </c>
      <c r="AK1563" s="46">
        <f>=+AY1563</f>
      </c>
      <c r="AL1563" s="46"/>
      <c r="AM1563" s="1"/>
      <c r="AN1563" s="1">
        <f>=COUNTIF(E1563:AI1563,"A")+COUNTIF(E1563:AI1563,"B")+COUNTIF(E1563:AI1563,"C")+COUNTIF(E1563:AI1563,"D")+COUNTIF(E1563:AI1563,"E")+COUNTIF(E1563:AI1563,"F")+COUNTIF(E1563:AI1563,"M")+COUNTIF(E1563:AI1563,"AB")+COUNTIF(E1563:AI1563,"UZ")+COUNTIF(E1563:AI1563,"G")+(COUNTIF(E1563:AI1563,"RT.")/2)+(COUNTIF(E1563:AI1563,"ÇRT.")/2)</f>
      </c>
      <c r="AO1563" s="1">
        <f>=COUNTIF(E1563:AI1563,"O")</f>
      </c>
      <c r="AP1563" s="1">
        <f>=COUNTIF(E1563:AI1563,"RT")+(COUNTIF(E1563:AI1563,"RT.")/2)</f>
      </c>
      <c r="AQ1563" s="1">
        <f>=COUNTIF(E1563:AI1563,"ÇRT")+(COUNTIF(E1563:AI1563,"ÇRT.")/2)</f>
      </c>
      <c r="AR1563" s="1">
        <f>=COUNTIF(E1563:AI1563,"ÇHT")</f>
      </c>
      <c r="AS1563" s="1">
        <f>=COUNTIF(E1563:AI1563,"Ö")+COUNTIF(E1563:AI1563,"T")</f>
      </c>
      <c r="AT1563" s="1">
        <f>=COUNTIF(E1563:AI1563,"Y")</f>
      </c>
      <c r="AU1563" s="1">
        <f>=COUNTIF(E1563:AI1563,"R.")</f>
      </c>
      <c r="AV1563" s="1">
        <f>=COUNTIF(E1563:AI1563,"Ü")</f>
      </c>
      <c r="AW1563" s="1">
        <f>=COUNTIF(E1563:AI1563,"R")</f>
      </c>
      <c r="AX1563" s="1">
        <f>=COUNTIF(E1563:AI1563,"DV")</f>
      </c>
      <c r="AY1563" s="1">
        <f>=+AN1563+AO1563+AP1563+AQ1563+AR1563+AS1563+AT1563+AU1563</f>
      </c>
    </row>
    <row r="1564" ht="16" customHeight="1" spans="1:51" x14ac:dyDescent="0.25">
      <c r="A1564" s="45"/>
      <c r="B1564" s="46"/>
      <c r="C1564" s="46"/>
      <c r="D1564" s="46" t="s">
        <v>33</v>
      </c>
      <c r="E1564" s="46"/>
      <c r="F1564" s="46"/>
      <c r="G1564" s="46"/>
      <c r="H1564" s="46"/>
      <c r="I1564" s="46"/>
      <c r="J1564" s="46"/>
      <c r="K1564" s="46"/>
      <c r="L1564" s="46"/>
      <c r="M1564" s="46"/>
      <c r="N1564" s="46"/>
      <c r="O1564" s="46"/>
      <c r="P1564" s="46"/>
      <c r="Q1564" s="46"/>
      <c r="R1564" s="46"/>
      <c r="S1564" s="46"/>
      <c r="T1564" s="46"/>
      <c r="U1564" s="46"/>
      <c r="V1564" s="46"/>
      <c r="W1564" s="46"/>
      <c r="X1564" s="46"/>
      <c r="Y1564" s="46"/>
      <c r="Z1564" s="46"/>
      <c r="AA1564" s="46"/>
      <c r="AB1564" s="46"/>
      <c r="AC1564" s="46"/>
      <c r="AD1564" s="46"/>
      <c r="AE1564" s="46"/>
      <c r="AF1564" s="46"/>
      <c r="AG1564" s="46"/>
      <c r="AH1564" s="46"/>
      <c r="AI1564" s="46"/>
      <c r="AJ1564" s="46"/>
      <c r="AK1564" s="46"/>
      <c r="AL1564" s="46"/>
      <c r="AM1564" s="1"/>
      <c r="AN1564" s="1"/>
      <c r="AO1564" s="1"/>
      <c r="AP1564" s="1"/>
      <c r="AQ1564" s="1"/>
      <c r="AR1564" s="1"/>
      <c r="AS1564" s="1"/>
      <c r="AT1564" s="1"/>
      <c r="AU1564" s="1"/>
      <c r="AV1564" s="1"/>
      <c r="AW1564" s="1"/>
      <c r="AX1564" s="1"/>
      <c r="AY1564" s="1"/>
    </row>
    <row r="1565" ht="16" customHeight="1" spans="1:51" x14ac:dyDescent="0.25">
      <c r="A1565" s="45"/>
      <c r="B1565" s="46" t="s">
        <v>1617</v>
      </c>
      <c r="C1565" s="46" t="s">
        <v>1618</v>
      </c>
      <c r="D1565" s="46" t="s">
        <v>29</v>
      </c>
      <c r="E1565" s="46" t="s">
        <v>37</v>
      </c>
      <c r="F1565" s="46" t="s">
        <v>36</v>
      </c>
      <c r="G1565" s="46" t="s">
        <v>36</v>
      </c>
      <c r="H1565" s="46" t="s">
        <v>36</v>
      </c>
      <c r="I1565" s="46" t="s">
        <v>36</v>
      </c>
      <c r="J1565" s="46" t="s">
        <v>36</v>
      </c>
      <c r="K1565" s="46" t="s">
        <v>36</v>
      </c>
      <c r="L1565" s="46" t="s">
        <v>37</v>
      </c>
      <c r="M1565" s="46" t="s">
        <v>36</v>
      </c>
      <c r="N1565" s="46" t="s">
        <v>36</v>
      </c>
      <c r="O1565" s="46" t="s">
        <v>37</v>
      </c>
      <c r="P1565" s="46" t="s">
        <v>36</v>
      </c>
      <c r="Q1565" s="46" t="s">
        <v>36</v>
      </c>
      <c r="R1565" s="46" t="s">
        <v>36</v>
      </c>
      <c r="S1565" s="46" t="s">
        <v>36</v>
      </c>
      <c r="T1565" s="46" t="s">
        <v>36</v>
      </c>
      <c r="U1565" s="46" t="s">
        <v>36</v>
      </c>
      <c r="V1565" s="46" t="s">
        <v>36</v>
      </c>
      <c r="W1565" s="46" t="s">
        <v>36</v>
      </c>
      <c r="X1565" s="46" t="s">
        <v>36</v>
      </c>
      <c r="Y1565" s="46" t="s">
        <v>36</v>
      </c>
      <c r="Z1565" s="46" t="s">
        <v>37</v>
      </c>
      <c r="AA1565" s="46" t="s">
        <v>36</v>
      </c>
      <c r="AB1565" s="46" t="s">
        <v>36</v>
      </c>
      <c r="AC1565" s="46" t="s">
        <v>36</v>
      </c>
      <c r="AD1565" s="46" t="s">
        <v>36</v>
      </c>
      <c r="AE1565" s="46" t="s">
        <v>36</v>
      </c>
      <c r="AF1565" s="46" t="s">
        <v>36</v>
      </c>
      <c r="AG1565" s="46" t="s">
        <v>37</v>
      </c>
      <c r="AH1565" s="46" t="s">
        <v>43</v>
      </c>
      <c r="AI1565" s="46" t="s">
        <v>36</v>
      </c>
      <c r="AJ1565" s="46">
        <f>=SUM(E1566:AI1566)</f>
      </c>
      <c r="AK1565" s="46">
        <f>=+AY1565</f>
      </c>
      <c r="AL1565" s="46"/>
      <c r="AM1565" s="1"/>
      <c r="AN1565" s="1">
        <f>=COUNTIF(E1565:AI1565,"A")+COUNTIF(E1565:AI1565,"B")+COUNTIF(E1565:AI1565,"C")+COUNTIF(E1565:AI1565,"D")+COUNTIF(E1565:AI1565,"E")+COUNTIF(E1565:AI1565,"F")+COUNTIF(E1565:AI1565,"M")+COUNTIF(E1565:AI1565,"AB")+COUNTIF(E1565:AI1565,"UZ")+COUNTIF(E1565:AI1565,"G")+(COUNTIF(E1565:AI1565,"RT.")/2)+(COUNTIF(E1565:AI1565,"ÇRT.")/2)</f>
      </c>
      <c r="AO1565" s="1">
        <f>=COUNTIF(E1565:AI1565,"O")</f>
      </c>
      <c r="AP1565" s="1">
        <f>=COUNTIF(E1565:AI1565,"RT")+(COUNTIF(E1565:AI1565,"RT.")/2)</f>
      </c>
      <c r="AQ1565" s="1">
        <f>=COUNTIF(E1565:AI1565,"ÇRT")+(COUNTIF(E1565:AI1565,"ÇRT.")/2)</f>
      </c>
      <c r="AR1565" s="1">
        <f>=COUNTIF(E1565:AI1565,"ÇHT")</f>
      </c>
      <c r="AS1565" s="1">
        <f>=COUNTIF(E1565:AI1565,"Ö")+COUNTIF(E1565:AI1565,"T")</f>
      </c>
      <c r="AT1565" s="1">
        <f>=COUNTIF(E1565:AI1565,"Y")</f>
      </c>
      <c r="AU1565" s="1">
        <f>=COUNTIF(E1565:AI1565,"R.")</f>
      </c>
      <c r="AV1565" s="1">
        <f>=COUNTIF(E1565:AI1565,"Ü")</f>
      </c>
      <c r="AW1565" s="1">
        <f>=COUNTIF(E1565:AI1565,"R")</f>
      </c>
      <c r="AX1565" s="1">
        <f>=COUNTIF(E1565:AI1565,"DV")</f>
      </c>
      <c r="AY1565" s="1">
        <f>=+AN1565+AO1565+AP1565+AQ1565+AR1565+AS1565+AT1565+AU1565</f>
      </c>
    </row>
    <row r="1566" ht="16" customHeight="1" spans="1:51" x14ac:dyDescent="0.25">
      <c r="A1566" s="45"/>
      <c r="B1566" s="46"/>
      <c r="C1566" s="46"/>
      <c r="D1566" s="46" t="s">
        <v>33</v>
      </c>
      <c r="E1566" s="46"/>
      <c r="F1566" s="46">
        <v>3</v>
      </c>
      <c r="G1566" s="46">
        <v>3</v>
      </c>
      <c r="H1566" s="46">
        <v>3</v>
      </c>
      <c r="I1566" s="46">
        <v>3</v>
      </c>
      <c r="J1566" s="46">
        <v>3</v>
      </c>
      <c r="K1566" s="46">
        <v>3</v>
      </c>
      <c r="L1566" s="46"/>
      <c r="M1566" s="46">
        <v>3</v>
      </c>
      <c r="N1566" s="46">
        <v>3</v>
      </c>
      <c r="O1566" s="46"/>
      <c r="P1566" s="46">
        <v>3</v>
      </c>
      <c r="Q1566" s="46">
        <v>3</v>
      </c>
      <c r="R1566" s="46">
        <v>3</v>
      </c>
      <c r="S1566" s="46">
        <v>3</v>
      </c>
      <c r="T1566" s="46">
        <v>3</v>
      </c>
      <c r="U1566" s="46">
        <v>3</v>
      </c>
      <c r="V1566" s="46">
        <v>3</v>
      </c>
      <c r="W1566" s="46">
        <v>3</v>
      </c>
      <c r="X1566" s="46">
        <v>3</v>
      </c>
      <c r="Y1566" s="46">
        <v>3</v>
      </c>
      <c r="Z1566" s="46"/>
      <c r="AA1566" s="46">
        <v>3</v>
      </c>
      <c r="AB1566" s="46">
        <v>3</v>
      </c>
      <c r="AC1566" s="46">
        <v>3</v>
      </c>
      <c r="AD1566" s="46">
        <v>3</v>
      </c>
      <c r="AE1566" s="46">
        <v>3</v>
      </c>
      <c r="AF1566" s="46">
        <v>3</v>
      </c>
      <c r="AG1566" s="46"/>
      <c r="AH1566" s="46">
        <v>3</v>
      </c>
      <c r="AI1566" s="46">
        <v>3</v>
      </c>
      <c r="AJ1566" s="46"/>
      <c r="AK1566" s="46"/>
      <c r="AL1566" s="46"/>
      <c r="AM1566" s="1"/>
      <c r="AN1566" s="1"/>
      <c r="AO1566" s="1"/>
      <c r="AP1566" s="1"/>
      <c r="AQ1566" s="1"/>
      <c r="AR1566" s="1"/>
      <c r="AS1566" s="1"/>
      <c r="AT1566" s="1"/>
      <c r="AU1566" s="1"/>
      <c r="AV1566" s="1"/>
      <c r="AW1566" s="1"/>
      <c r="AX1566" s="1"/>
      <c r="AY1566" s="1"/>
    </row>
    <row r="1567" ht="16" customHeight="1" spans="1:51" x14ac:dyDescent="0.25">
      <c r="A1567" s="45"/>
      <c r="B1567" s="46" t="s">
        <v>1619</v>
      </c>
      <c r="C1567" s="46" t="s">
        <v>1620</v>
      </c>
      <c r="D1567" s="46" t="s">
        <v>29</v>
      </c>
      <c r="E1567" s="46" t="s">
        <v>153</v>
      </c>
      <c r="F1567" s="46" t="s">
        <v>36</v>
      </c>
      <c r="G1567" s="46" t="s">
        <v>37</v>
      </c>
      <c r="H1567" s="46" t="s">
        <v>299</v>
      </c>
      <c r="I1567" s="46" t="s">
        <v>299</v>
      </c>
      <c r="J1567" s="46" t="s">
        <v>299</v>
      </c>
      <c r="K1567" s="46" t="s">
        <v>36</v>
      </c>
      <c r="L1567" s="46" t="s">
        <v>299</v>
      </c>
      <c r="M1567" s="46" t="s">
        <v>299</v>
      </c>
      <c r="N1567" s="46" t="s">
        <v>299</v>
      </c>
      <c r="O1567" s="46" t="s">
        <v>299</v>
      </c>
      <c r="P1567" s="46" t="s">
        <v>299</v>
      </c>
      <c r="Q1567" s="46" t="s">
        <v>36</v>
      </c>
      <c r="R1567" s="46" t="s">
        <v>37</v>
      </c>
      <c r="S1567" s="46" t="s">
        <v>299</v>
      </c>
      <c r="T1567" s="46" t="s">
        <v>299</v>
      </c>
      <c r="U1567" s="46" t="s">
        <v>299</v>
      </c>
      <c r="V1567" s="46" t="s">
        <v>299</v>
      </c>
      <c r="W1567" s="46" t="s">
        <v>299</v>
      </c>
      <c r="X1567" s="46" t="s">
        <v>36</v>
      </c>
      <c r="Y1567" s="46" t="s">
        <v>37</v>
      </c>
      <c r="Z1567" s="46" t="s">
        <v>299</v>
      </c>
      <c r="AA1567" s="46" t="s">
        <v>299</v>
      </c>
      <c r="AB1567" s="46" t="s">
        <v>299</v>
      </c>
      <c r="AC1567" s="46" t="s">
        <v>37</v>
      </c>
      <c r="AD1567" s="46" t="s">
        <v>299</v>
      </c>
      <c r="AE1567" s="46" t="s">
        <v>299</v>
      </c>
      <c r="AF1567" s="46" t="s">
        <v>299</v>
      </c>
      <c r="AG1567" s="46" t="s">
        <v>299</v>
      </c>
      <c r="AH1567" s="46" t="s">
        <v>43</v>
      </c>
      <c r="AI1567" s="46" t="s">
        <v>299</v>
      </c>
      <c r="AJ1567" s="46">
        <f>=SUM(E1568:AI1568)</f>
      </c>
      <c r="AK1567" s="46">
        <f>=+AY1567</f>
      </c>
      <c r="AL1567" s="46"/>
      <c r="AM1567" s="1"/>
      <c r="AN1567" s="1">
        <f>=COUNTIF(E1567:AI1567,"A")+COUNTIF(E1567:AI1567,"B")+COUNTIF(E1567:AI1567,"C")+COUNTIF(E1567:AI1567,"D")+COUNTIF(E1567:AI1567,"E")+COUNTIF(E1567:AI1567,"F")+COUNTIF(E1567:AI1567,"M")+COUNTIF(E1567:AI1567,"AB")+COUNTIF(E1567:AI1567,"UZ")+COUNTIF(E1567:AI1567,"G")+(COUNTIF(E1567:AI1567,"RT.")/2)+(COUNTIF(E1567:AI1567,"ÇRT.")/2)</f>
      </c>
      <c r="AO1567" s="1">
        <f>=COUNTIF(E1567:AI1567,"O")</f>
      </c>
      <c r="AP1567" s="1">
        <f>=COUNTIF(E1567:AI1567,"RT")+(COUNTIF(E1567:AI1567,"RT.")/2)</f>
      </c>
      <c r="AQ1567" s="1">
        <f>=COUNTIF(E1567:AI1567,"ÇRT")+(COUNTIF(E1567:AI1567,"ÇRT.")/2)</f>
      </c>
      <c r="AR1567" s="1">
        <f>=COUNTIF(E1567:AI1567,"ÇHT")</f>
      </c>
      <c r="AS1567" s="1">
        <f>=COUNTIF(E1567:AI1567,"Ö")+COUNTIF(E1567:AI1567,"T")</f>
      </c>
      <c r="AT1567" s="1">
        <f>=COUNTIF(E1567:AI1567,"Y")</f>
      </c>
      <c r="AU1567" s="1">
        <f>=COUNTIF(E1567:AI1567,"R.")</f>
      </c>
      <c r="AV1567" s="1">
        <f>=COUNTIF(E1567:AI1567,"Ü")</f>
      </c>
      <c r="AW1567" s="1">
        <f>=COUNTIF(E1567:AI1567,"R")</f>
      </c>
      <c r="AX1567" s="1">
        <f>=COUNTIF(E1567:AI1567,"DV")</f>
      </c>
      <c r="AY1567" s="1">
        <f>=+AN1567+AO1567+AP1567+AQ1567+AR1567+AS1567+AT1567+AU1567</f>
      </c>
    </row>
    <row r="1568" ht="16" customHeight="1" spans="1:51" x14ac:dyDescent="0.25">
      <c r="A1568" s="45"/>
      <c r="B1568" s="46"/>
      <c r="C1568" s="46"/>
      <c r="D1568" s="46" t="s">
        <v>33</v>
      </c>
      <c r="E1568" s="46"/>
      <c r="F1568" s="46"/>
      <c r="G1568" s="46"/>
      <c r="H1568" s="46">
        <v>2</v>
      </c>
      <c r="I1568" s="46">
        <v>2</v>
      </c>
      <c r="J1568" s="46">
        <v>2</v>
      </c>
      <c r="K1568" s="46">
        <v>2</v>
      </c>
      <c r="L1568" s="46">
        <v>2</v>
      </c>
      <c r="M1568" s="46">
        <v>2</v>
      </c>
      <c r="N1568" s="46">
        <v>2</v>
      </c>
      <c r="O1568" s="46">
        <v>2</v>
      </c>
      <c r="P1568" s="46">
        <v>2</v>
      </c>
      <c r="Q1568" s="46"/>
      <c r="R1568" s="46"/>
      <c r="S1568" s="46">
        <v>2</v>
      </c>
      <c r="T1568" s="46">
        <v>2</v>
      </c>
      <c r="U1568" s="46">
        <v>2</v>
      </c>
      <c r="V1568" s="46">
        <v>2</v>
      </c>
      <c r="W1568" s="46">
        <v>2</v>
      </c>
      <c r="X1568" s="46"/>
      <c r="Y1568" s="46"/>
      <c r="Z1568" s="46">
        <v>2</v>
      </c>
      <c r="AA1568" s="46">
        <v>2</v>
      </c>
      <c r="AB1568" s="46">
        <v>2</v>
      </c>
      <c r="AC1568" s="46"/>
      <c r="AD1568" s="46">
        <v>2</v>
      </c>
      <c r="AE1568" s="46"/>
      <c r="AF1568" s="46">
        <v>2</v>
      </c>
      <c r="AG1568" s="46">
        <v>2</v>
      </c>
      <c r="AH1568" s="46">
        <v>2</v>
      </c>
      <c r="AI1568" s="46">
        <v>2</v>
      </c>
      <c r="AJ1568" s="46"/>
      <c r="AK1568" s="46"/>
      <c r="AL1568" s="46"/>
      <c r="AM1568" s="1"/>
      <c r="AN1568" s="1"/>
      <c r="AO1568" s="1"/>
      <c r="AP1568" s="1"/>
      <c r="AQ1568" s="1"/>
      <c r="AR1568" s="1"/>
      <c r="AS1568" s="1"/>
      <c r="AT1568" s="1"/>
      <c r="AU1568" s="1"/>
      <c r="AV1568" s="1"/>
      <c r="AW1568" s="1"/>
      <c r="AX1568" s="1"/>
      <c r="AY1568" s="1"/>
    </row>
    <row r="1569" ht="16" customHeight="1" spans="1:51" x14ac:dyDescent="0.25">
      <c r="A1569" s="45"/>
      <c r="B1569" s="46" t="s">
        <v>1621</v>
      </c>
      <c r="C1569" s="46" t="s">
        <v>1622</v>
      </c>
      <c r="D1569" s="46" t="s">
        <v>29</v>
      </c>
      <c r="E1569" s="46" t="s">
        <v>41</v>
      </c>
      <c r="F1569" s="46" t="s">
        <v>41</v>
      </c>
      <c r="G1569" s="46" t="s">
        <v>37</v>
      </c>
      <c r="H1569" s="46" t="s">
        <v>41</v>
      </c>
      <c r="I1569" s="46" t="s">
        <v>41</v>
      </c>
      <c r="J1569" s="46" t="s">
        <v>41</v>
      </c>
      <c r="K1569" s="46" t="s">
        <v>41</v>
      </c>
      <c r="L1569" s="46" t="s">
        <v>41</v>
      </c>
      <c r="M1569" s="46" t="s">
        <v>41</v>
      </c>
      <c r="N1569" s="46" t="s">
        <v>37</v>
      </c>
      <c r="O1569" s="46" t="s">
        <v>41</v>
      </c>
      <c r="P1569" s="46" t="s">
        <v>41</v>
      </c>
      <c r="Q1569" s="46" t="s">
        <v>41</v>
      </c>
      <c r="R1569" s="46" t="s">
        <v>41</v>
      </c>
      <c r="S1569" s="46" t="s">
        <v>41</v>
      </c>
      <c r="T1569" s="46" t="s">
        <v>41</v>
      </c>
      <c r="U1569" s="46" t="s">
        <v>37</v>
      </c>
      <c r="V1569" s="46" t="s">
        <v>41</v>
      </c>
      <c r="W1569" s="46" t="s">
        <v>41</v>
      </c>
      <c r="X1569" s="46" t="s">
        <v>41</v>
      </c>
      <c r="Y1569" s="46" t="s">
        <v>41</v>
      </c>
      <c r="Z1569" s="46" t="s">
        <v>41</v>
      </c>
      <c r="AA1569" s="46" t="s">
        <v>41</v>
      </c>
      <c r="AB1569" s="46" t="s">
        <v>37</v>
      </c>
      <c r="AC1569" s="46" t="s">
        <v>41</v>
      </c>
      <c r="AD1569" s="46" t="s">
        <v>41</v>
      </c>
      <c r="AE1569" s="46" t="s">
        <v>41</v>
      </c>
      <c r="AF1569" s="46" t="s">
        <v>41</v>
      </c>
      <c r="AG1569" s="46" t="s">
        <v>41</v>
      </c>
      <c r="AH1569" s="46" t="s">
        <v>43</v>
      </c>
      <c r="AI1569" s="46" t="s">
        <v>37</v>
      </c>
      <c r="AJ1569" s="46">
        <f>=SUM(E1570:AI1570)</f>
      </c>
      <c r="AK1569" s="46">
        <f>=+AY1569</f>
      </c>
      <c r="AL1569" s="46"/>
      <c r="AM1569" s="1"/>
      <c r="AN1569" s="1">
        <f>=COUNTIF(E1569:AI1569,"A")+COUNTIF(E1569:AI1569,"B")+COUNTIF(E1569:AI1569,"C")+COUNTIF(E1569:AI1569,"D")+COUNTIF(E1569:AI1569,"E")+COUNTIF(E1569:AI1569,"F")+COUNTIF(E1569:AI1569,"M")+COUNTIF(E1569:AI1569,"AB")+COUNTIF(E1569:AI1569,"UZ")+COUNTIF(E1569:AI1569,"G")+(COUNTIF(E1569:AI1569,"RT.")/2)+(COUNTIF(E1569:AI1569,"ÇRT.")/2)</f>
      </c>
      <c r="AO1569" s="1">
        <f>=COUNTIF(E1569:AI1569,"O")</f>
      </c>
      <c r="AP1569" s="1">
        <f>=COUNTIF(E1569:AI1569,"RT")+(COUNTIF(E1569:AI1569,"RT.")/2)</f>
      </c>
      <c r="AQ1569" s="1">
        <f>=COUNTIF(E1569:AI1569,"ÇRT")+(COUNTIF(E1569:AI1569,"ÇRT.")/2)</f>
      </c>
      <c r="AR1569" s="1">
        <f>=COUNTIF(E1569:AI1569,"ÇHT")</f>
      </c>
      <c r="AS1569" s="1">
        <f>=COUNTIF(E1569:AI1569,"Ö")+COUNTIF(E1569:AI1569,"T")</f>
      </c>
      <c r="AT1569" s="1">
        <f>=COUNTIF(E1569:AI1569,"Y")</f>
      </c>
      <c r="AU1569" s="1">
        <f>=COUNTIF(E1569:AI1569,"R.")</f>
      </c>
      <c r="AV1569" s="1">
        <f>=COUNTIF(E1569:AI1569,"Ü")</f>
      </c>
      <c r="AW1569" s="1">
        <f>=COUNTIF(E1569:AI1569,"R")</f>
      </c>
      <c r="AX1569" s="1">
        <f>=COUNTIF(E1569:AI1569,"DV")</f>
      </c>
      <c r="AY1569" s="1">
        <f>=+AN1569+AO1569+AP1569+AQ1569+AR1569+AS1569+AT1569+AU1569</f>
      </c>
    </row>
    <row r="1570" ht="16" customHeight="1" spans="1:51" x14ac:dyDescent="0.25">
      <c r="A1570" s="45"/>
      <c r="B1570" s="46"/>
      <c r="C1570" s="46"/>
      <c r="D1570" s="46" t="s">
        <v>33</v>
      </c>
      <c r="E1570" s="46">
        <v>2</v>
      </c>
      <c r="F1570" s="46">
        <v>2</v>
      </c>
      <c r="G1570" s="46"/>
      <c r="H1570" s="46">
        <v>2</v>
      </c>
      <c r="I1570" s="46">
        <v>2</v>
      </c>
      <c r="J1570" s="46">
        <v>2</v>
      </c>
      <c r="K1570" s="46">
        <v>2</v>
      </c>
      <c r="L1570" s="46">
        <v>2</v>
      </c>
      <c r="M1570" s="46">
        <v>2</v>
      </c>
      <c r="N1570" s="46"/>
      <c r="O1570" s="46">
        <v>2</v>
      </c>
      <c r="P1570" s="46">
        <v>2</v>
      </c>
      <c r="Q1570" s="46">
        <v>2</v>
      </c>
      <c r="R1570" s="46">
        <v>2</v>
      </c>
      <c r="S1570" s="46">
        <v>2</v>
      </c>
      <c r="T1570" s="46">
        <v>2</v>
      </c>
      <c r="U1570" s="46"/>
      <c r="V1570" s="46">
        <v>2</v>
      </c>
      <c r="W1570" s="46">
        <v>2</v>
      </c>
      <c r="X1570" s="46">
        <v>2</v>
      </c>
      <c r="Y1570" s="46">
        <v>2</v>
      </c>
      <c r="Z1570" s="46">
        <v>2</v>
      </c>
      <c r="AA1570" s="46">
        <v>2</v>
      </c>
      <c r="AB1570" s="46"/>
      <c r="AC1570" s="46">
        <v>2</v>
      </c>
      <c r="AD1570" s="46">
        <v>2</v>
      </c>
      <c r="AE1570" s="46">
        <v>2</v>
      </c>
      <c r="AF1570" s="46">
        <v>2</v>
      </c>
      <c r="AG1570" s="46">
        <v>2</v>
      </c>
      <c r="AH1570" s="46">
        <v>2</v>
      </c>
      <c r="AI1570" s="46"/>
      <c r="AJ1570" s="46"/>
      <c r="AK1570" s="46"/>
      <c r="AL1570" s="46"/>
      <c r="AM1570" s="1"/>
      <c r="AN1570" s="1"/>
      <c r="AO1570" s="1"/>
      <c r="AP1570" s="1"/>
      <c r="AQ1570" s="1"/>
      <c r="AR1570" s="1"/>
      <c r="AS1570" s="1"/>
      <c r="AT1570" s="1"/>
      <c r="AU1570" s="1"/>
      <c r="AV1570" s="1"/>
      <c r="AW1570" s="1"/>
      <c r="AX1570" s="1"/>
      <c r="AY1570" s="1"/>
    </row>
    <row r="1571" ht="16" customHeight="1" spans="1:51" x14ac:dyDescent="0.25">
      <c r="A1571" s="45"/>
      <c r="B1571" s="46" t="s">
        <v>1623</v>
      </c>
      <c r="C1571" s="46" t="s">
        <v>1624</v>
      </c>
      <c r="D1571" s="46" t="s">
        <v>29</v>
      </c>
      <c r="E1571" s="46"/>
      <c r="F1571" s="46"/>
      <c r="G1571" s="46"/>
      <c r="H1571" s="46" t="s">
        <v>36</v>
      </c>
      <c r="I1571" s="46" t="s">
        <v>36</v>
      </c>
      <c r="J1571" s="46" t="s">
        <v>36</v>
      </c>
      <c r="K1571" s="46" t="s">
        <v>36</v>
      </c>
      <c r="L1571" s="46" t="s">
        <v>36</v>
      </c>
      <c r="M1571" s="46" t="s">
        <v>37</v>
      </c>
      <c r="N1571" s="46" t="s">
        <v>36</v>
      </c>
      <c r="O1571" s="46" t="s">
        <v>36</v>
      </c>
      <c r="P1571" s="46" t="s">
        <v>36</v>
      </c>
      <c r="Q1571" s="46" t="s">
        <v>36</v>
      </c>
      <c r="R1571" s="46" t="s">
        <v>36</v>
      </c>
      <c r="S1571" s="46" t="s">
        <v>36</v>
      </c>
      <c r="T1571" s="46" t="s">
        <v>37</v>
      </c>
      <c r="U1571" s="46" t="s">
        <v>36</v>
      </c>
      <c r="V1571" s="46" t="s">
        <v>36</v>
      </c>
      <c r="W1571" s="46" t="s">
        <v>36</v>
      </c>
      <c r="X1571" s="46" t="s">
        <v>36</v>
      </c>
      <c r="Y1571" s="46" t="s">
        <v>36</v>
      </c>
      <c r="Z1571" s="46" t="s">
        <v>36</v>
      </c>
      <c r="AA1571" s="46" t="s">
        <v>37</v>
      </c>
      <c r="AB1571" s="46" t="s">
        <v>36</v>
      </c>
      <c r="AC1571" s="46" t="s">
        <v>36</v>
      </c>
      <c r="AD1571" s="46" t="s">
        <v>36</v>
      </c>
      <c r="AE1571" s="46" t="s">
        <v>36</v>
      </c>
      <c r="AF1571" s="46" t="s">
        <v>36</v>
      </c>
      <c r="AG1571" s="46" t="s">
        <v>36</v>
      </c>
      <c r="AH1571" s="46" t="s">
        <v>37</v>
      </c>
      <c r="AI1571" s="46" t="s">
        <v>36</v>
      </c>
      <c r="AJ1571" s="46">
        <f>=SUM(E1572:AI1572)</f>
      </c>
      <c r="AK1571" s="46">
        <f>=+AY1571</f>
      </c>
      <c r="AL1571" s="46"/>
      <c r="AM1571" s="1"/>
      <c r="AN1571" s="1">
        <f>=COUNTIF(E1571:AI1571,"A")+COUNTIF(E1571:AI1571,"B")+COUNTIF(E1571:AI1571,"C")+COUNTIF(E1571:AI1571,"D")+COUNTIF(E1571:AI1571,"E")+COUNTIF(E1571:AI1571,"F")+COUNTIF(E1571:AI1571,"M")+COUNTIF(E1571:AI1571,"AB")+COUNTIF(E1571:AI1571,"UZ")+COUNTIF(E1571:AI1571,"G")+(COUNTIF(E1571:AI1571,"RT.")/2)+(COUNTIF(E1571:AI1571,"ÇRT.")/2)</f>
      </c>
      <c r="AO1571" s="1">
        <f>=COUNTIF(E1571:AI1571,"O")</f>
      </c>
      <c r="AP1571" s="1">
        <f>=COUNTIF(E1571:AI1571,"RT")+(COUNTIF(E1571:AI1571,"RT.")/2)</f>
      </c>
      <c r="AQ1571" s="1">
        <f>=COUNTIF(E1571:AI1571,"ÇRT")+(COUNTIF(E1571:AI1571,"ÇRT.")/2)</f>
      </c>
      <c r="AR1571" s="1">
        <f>=COUNTIF(E1571:AI1571,"ÇHT")</f>
      </c>
      <c r="AS1571" s="1">
        <f>=COUNTIF(E1571:AI1571,"Ö")+COUNTIF(E1571:AI1571,"T")</f>
      </c>
      <c r="AT1571" s="1">
        <f>=COUNTIF(E1571:AI1571,"Y")</f>
      </c>
      <c r="AU1571" s="1">
        <f>=COUNTIF(E1571:AI1571,"R.")</f>
      </c>
      <c r="AV1571" s="1">
        <f>=COUNTIF(E1571:AI1571,"Ü")</f>
      </c>
      <c r="AW1571" s="1">
        <f>=COUNTIF(E1571:AI1571,"R")</f>
      </c>
      <c r="AX1571" s="1">
        <f>=COUNTIF(E1571:AI1571,"DV")</f>
      </c>
      <c r="AY1571" s="1">
        <f>=+AN1571+AO1571+AP1571+AQ1571+AR1571+AS1571+AT1571+AU1571</f>
      </c>
    </row>
    <row r="1572" ht="16" customHeight="1" spans="1:51" x14ac:dyDescent="0.25">
      <c r="A1572" s="45"/>
      <c r="B1572" s="46"/>
      <c r="C1572" s="46"/>
      <c r="D1572" s="46" t="s">
        <v>33</v>
      </c>
      <c r="E1572" s="46"/>
      <c r="F1572" s="46"/>
      <c r="G1572" s="46"/>
      <c r="H1572" s="46"/>
      <c r="I1572" s="46"/>
      <c r="J1572" s="46"/>
      <c r="K1572" s="46"/>
      <c r="L1572" s="46"/>
      <c r="M1572" s="46"/>
      <c r="N1572" s="46"/>
      <c r="O1572" s="46"/>
      <c r="P1572" s="46"/>
      <c r="Q1572" s="46"/>
      <c r="R1572" s="46"/>
      <c r="S1572" s="46"/>
      <c r="T1572" s="46"/>
      <c r="U1572" s="46"/>
      <c r="V1572" s="46"/>
      <c r="W1572" s="46"/>
      <c r="X1572" s="46"/>
      <c r="Y1572" s="46"/>
      <c r="Z1572" s="46"/>
      <c r="AA1572" s="46"/>
      <c r="AB1572" s="46"/>
      <c r="AC1572" s="46"/>
      <c r="AD1572" s="46"/>
      <c r="AE1572" s="46"/>
      <c r="AF1572" s="46"/>
      <c r="AG1572" s="46"/>
      <c r="AH1572" s="46"/>
      <c r="AI1572" s="46"/>
      <c r="AJ1572" s="46"/>
      <c r="AK1572" s="46"/>
      <c r="AL1572" s="46"/>
      <c r="AM1572" s="1"/>
      <c r="AN1572" s="1"/>
      <c r="AO1572" s="1"/>
      <c r="AP1572" s="1"/>
      <c r="AQ1572" s="1"/>
      <c r="AR1572" s="1"/>
      <c r="AS1572" s="1"/>
      <c r="AT1572" s="1"/>
      <c r="AU1572" s="1"/>
      <c r="AV1572" s="1"/>
      <c r="AW1572" s="1"/>
      <c r="AX1572" s="1"/>
      <c r="AY1572" s="1"/>
    </row>
    <row r="1573" ht="16" customHeight="1" spans="1:51" x14ac:dyDescent="0.25">
      <c r="A1573" s="45"/>
      <c r="B1573" s="46" t="s">
        <v>1625</v>
      </c>
      <c r="C1573" s="46" t="s">
        <v>1626</v>
      </c>
      <c r="D1573" s="46" t="s">
        <v>29</v>
      </c>
      <c r="E1573" s="46" t="s">
        <v>36</v>
      </c>
      <c r="F1573" s="46" t="s">
        <v>37</v>
      </c>
      <c r="G1573" s="46" t="s">
        <v>299</v>
      </c>
      <c r="H1573" s="46" t="s">
        <v>299</v>
      </c>
      <c r="I1573" s="46" t="s">
        <v>37</v>
      </c>
      <c r="J1573" s="46" t="s">
        <v>299</v>
      </c>
      <c r="K1573" s="46" t="s">
        <v>299</v>
      </c>
      <c r="L1573" s="46" t="s">
        <v>299</v>
      </c>
      <c r="M1573" s="46" t="s">
        <v>299</v>
      </c>
      <c r="N1573" s="46" t="s">
        <v>299</v>
      </c>
      <c r="O1573" s="46" t="s">
        <v>36</v>
      </c>
      <c r="P1573" s="46" t="s">
        <v>37</v>
      </c>
      <c r="Q1573" s="46" t="s">
        <v>299</v>
      </c>
      <c r="R1573" s="46" t="s">
        <v>299</v>
      </c>
      <c r="S1573" s="46" t="s">
        <v>299</v>
      </c>
      <c r="T1573" s="46" t="s">
        <v>299</v>
      </c>
      <c r="U1573" s="46" t="s">
        <v>299</v>
      </c>
      <c r="V1573" s="46" t="s">
        <v>36</v>
      </c>
      <c r="W1573" s="46" t="s">
        <v>37</v>
      </c>
      <c r="X1573" s="46" t="s">
        <v>299</v>
      </c>
      <c r="Y1573" s="46" t="s">
        <v>299</v>
      </c>
      <c r="Z1573" s="46" t="s">
        <v>299</v>
      </c>
      <c r="AA1573" s="46" t="s">
        <v>299</v>
      </c>
      <c r="AB1573" s="46" t="s">
        <v>299</v>
      </c>
      <c r="AC1573" s="46" t="s">
        <v>299</v>
      </c>
      <c r="AD1573" s="46" t="s">
        <v>37</v>
      </c>
      <c r="AE1573" s="46" t="s">
        <v>36</v>
      </c>
      <c r="AF1573" s="46" t="s">
        <v>36</v>
      </c>
      <c r="AG1573" s="46" t="s">
        <v>36</v>
      </c>
      <c r="AH1573" s="46" t="s">
        <v>43</v>
      </c>
      <c r="AI1573" s="46" t="s">
        <v>36</v>
      </c>
      <c r="AJ1573" s="46">
        <f>=SUM(E1574:AI1574)</f>
      </c>
      <c r="AK1573" s="46">
        <f>=+AY1573</f>
      </c>
      <c r="AL1573" s="46"/>
      <c r="AM1573" s="1"/>
      <c r="AN1573" s="1">
        <f>=COUNTIF(E1573:AI1573,"A")+COUNTIF(E1573:AI1573,"B")+COUNTIF(E1573:AI1573,"C")+COUNTIF(E1573:AI1573,"D")+COUNTIF(E1573:AI1573,"E")+COUNTIF(E1573:AI1573,"F")+COUNTIF(E1573:AI1573,"M")+COUNTIF(E1573:AI1573,"AB")+COUNTIF(E1573:AI1573,"UZ")+COUNTIF(E1573:AI1573,"G")+(COUNTIF(E1573:AI1573,"RT.")/2)+(COUNTIF(E1573:AI1573,"ÇRT.")/2)</f>
      </c>
      <c r="AO1573" s="1">
        <f>=COUNTIF(E1573:AI1573,"O")</f>
      </c>
      <c r="AP1573" s="1">
        <f>=COUNTIF(E1573:AI1573,"RT")+(COUNTIF(E1573:AI1573,"RT.")/2)</f>
      </c>
      <c r="AQ1573" s="1">
        <f>=COUNTIF(E1573:AI1573,"ÇRT")+(COUNTIF(E1573:AI1573,"ÇRT.")/2)</f>
      </c>
      <c r="AR1573" s="1">
        <f>=COUNTIF(E1573:AI1573,"ÇHT")</f>
      </c>
      <c r="AS1573" s="1">
        <f>=COUNTIF(E1573:AI1573,"Ö")+COUNTIF(E1573:AI1573,"T")</f>
      </c>
      <c r="AT1573" s="1">
        <f>=COUNTIF(E1573:AI1573,"Y")</f>
      </c>
      <c r="AU1573" s="1">
        <f>=COUNTIF(E1573:AI1573,"R.")</f>
      </c>
      <c r="AV1573" s="1">
        <f>=COUNTIF(E1573:AI1573,"Ü")</f>
      </c>
      <c r="AW1573" s="1">
        <f>=COUNTIF(E1573:AI1573,"R")</f>
      </c>
      <c r="AX1573" s="1">
        <f>=COUNTIF(E1573:AI1573,"DV")</f>
      </c>
      <c r="AY1573" s="1">
        <f>=+AN1573+AO1573+AP1573+AQ1573+AR1573+AS1573+AT1573+AU1573</f>
      </c>
    </row>
    <row r="1574" ht="16" customHeight="1" spans="1:51" x14ac:dyDescent="0.25">
      <c r="A1574" s="45"/>
      <c r="B1574" s="46"/>
      <c r="C1574" s="46"/>
      <c r="D1574" s="46" t="s">
        <v>33</v>
      </c>
      <c r="E1574" s="46"/>
      <c r="F1574" s="46"/>
      <c r="G1574" s="46">
        <v>2</v>
      </c>
      <c r="H1574" s="46"/>
      <c r="I1574" s="46"/>
      <c r="J1574" s="46">
        <v>2</v>
      </c>
      <c r="K1574" s="46">
        <v>2</v>
      </c>
      <c r="L1574" s="46">
        <v>2</v>
      </c>
      <c r="M1574" s="46"/>
      <c r="N1574" s="46">
        <v>2</v>
      </c>
      <c r="O1574" s="46"/>
      <c r="P1574" s="46"/>
      <c r="Q1574" s="46">
        <v>2</v>
      </c>
      <c r="R1574" s="46">
        <v>2</v>
      </c>
      <c r="S1574" s="46">
        <v>2</v>
      </c>
      <c r="T1574" s="46">
        <v>2</v>
      </c>
      <c r="U1574" s="46">
        <v>2</v>
      </c>
      <c r="V1574" s="46"/>
      <c r="W1574" s="46"/>
      <c r="X1574" s="46">
        <v>2</v>
      </c>
      <c r="Y1574" s="46">
        <v>2</v>
      </c>
      <c r="Z1574" s="46">
        <v>2</v>
      </c>
      <c r="AA1574" s="46">
        <v>2</v>
      </c>
      <c r="AB1574" s="46">
        <v>2</v>
      </c>
      <c r="AC1574" s="46"/>
      <c r="AD1574" s="46"/>
      <c r="AE1574" s="46">
        <v>3</v>
      </c>
      <c r="AF1574" s="46">
        <v>3</v>
      </c>
      <c r="AG1574" s="46">
        <v>3</v>
      </c>
      <c r="AH1574" s="46">
        <v>3</v>
      </c>
      <c r="AI1574" s="46">
        <v>3</v>
      </c>
      <c r="AJ1574" s="46"/>
      <c r="AK1574" s="46"/>
      <c r="AL1574" s="46"/>
      <c r="AM1574" s="1"/>
      <c r="AN1574" s="1"/>
      <c r="AO1574" s="1"/>
      <c r="AP1574" s="1"/>
      <c r="AQ1574" s="1"/>
      <c r="AR1574" s="1"/>
      <c r="AS1574" s="1"/>
      <c r="AT1574" s="1"/>
      <c r="AU1574" s="1"/>
      <c r="AV1574" s="1"/>
      <c r="AW1574" s="1"/>
      <c r="AX1574" s="1"/>
      <c r="AY1574" s="1"/>
    </row>
    <row r="1575" ht="16" customHeight="1" spans="1:51" x14ac:dyDescent="0.25">
      <c r="A1575" s="45" t="s">
        <v>1627</v>
      </c>
      <c r="B1575" s="46" t="s">
        <v>1628</v>
      </c>
      <c r="C1575" s="46" t="s">
        <v>1629</v>
      </c>
      <c r="D1575" s="46" t="s">
        <v>29</v>
      </c>
      <c r="E1575" s="46" t="s">
        <v>59</v>
      </c>
      <c r="F1575" s="46" t="s">
        <v>59</v>
      </c>
      <c r="G1575" s="46" t="s">
        <v>37</v>
      </c>
      <c r="H1575" s="46" t="s">
        <v>1348</v>
      </c>
      <c r="I1575" s="46" t="s">
        <v>1348</v>
      </c>
      <c r="J1575" s="46" t="s">
        <v>1348</v>
      </c>
      <c r="K1575" s="46" t="s">
        <v>59</v>
      </c>
      <c r="L1575" s="46" t="s">
        <v>1348</v>
      </c>
      <c r="M1575" s="46" t="s">
        <v>1348</v>
      </c>
      <c r="N1575" s="46" t="s">
        <v>37</v>
      </c>
      <c r="O1575" s="46" t="s">
        <v>1348</v>
      </c>
      <c r="P1575" s="46" t="s">
        <v>1348</v>
      </c>
      <c r="Q1575" s="46" t="s">
        <v>1348</v>
      </c>
      <c r="R1575" s="46" t="s">
        <v>1348</v>
      </c>
      <c r="S1575" s="46" t="s">
        <v>1348</v>
      </c>
      <c r="T1575" s="46" t="s">
        <v>1348</v>
      </c>
      <c r="U1575" s="46" t="s">
        <v>37</v>
      </c>
      <c r="V1575" s="46" t="s">
        <v>59</v>
      </c>
      <c r="W1575" s="46" t="s">
        <v>59</v>
      </c>
      <c r="X1575" s="46" t="s">
        <v>59</v>
      </c>
      <c r="Y1575" s="46" t="s">
        <v>59</v>
      </c>
      <c r="Z1575" s="46" t="s">
        <v>1348</v>
      </c>
      <c r="AA1575" s="46" t="s">
        <v>59</v>
      </c>
      <c r="AB1575" s="46" t="s">
        <v>37</v>
      </c>
      <c r="AC1575" s="46" t="s">
        <v>59</v>
      </c>
      <c r="AD1575" s="46" t="s">
        <v>1348</v>
      </c>
      <c r="AE1575" s="46" t="s">
        <v>59</v>
      </c>
      <c r="AF1575" s="46" t="s">
        <v>59</v>
      </c>
      <c r="AG1575" s="46" t="s">
        <v>1348</v>
      </c>
      <c r="AH1575" s="46" t="s">
        <v>43</v>
      </c>
      <c r="AI1575" s="46" t="s">
        <v>1348</v>
      </c>
      <c r="AJ1575" s="46">
        <f>=SUM(E1576:AI1576)</f>
      </c>
      <c r="AK1575" s="46">
        <f>=+AY1575</f>
      </c>
      <c r="AL1575" s="46"/>
      <c r="AM1575" s="1"/>
      <c r="AN1575" s="1">
        <f>=COUNTIF(E1575:AI1575,"A")+COUNTIF(E1575:AI1575,"B")+COUNTIF(E1575:AI1575,"C")+COUNTIF(E1575:AI1575,"D")+COUNTIF(E1575:AI1575,"E")+COUNTIF(E1575:AI1575,"F")+COUNTIF(E1575:AI1575,"M")+COUNTIF(E1575:AI1575,"AB")+COUNTIF(E1575:AI1575,"UZ")+COUNTIF(E1575:AI1575,"G")+(COUNTIF(E1575:AI1575,"RT.")/2)+(COUNTIF(E1575:AI1575,"ÇRT.")/2)</f>
      </c>
      <c r="AO1575" s="1">
        <f>=COUNTIF(E1575:AI1575,"O")</f>
      </c>
      <c r="AP1575" s="1">
        <f>=COUNTIF(E1575:AI1575,"RT")+(COUNTIF(E1575:AI1575,"RT.")/2)</f>
      </c>
      <c r="AQ1575" s="1">
        <f>=COUNTIF(E1575:AI1575,"ÇRT")+(COUNTIF(E1575:AI1575,"ÇRT.")/2)</f>
      </c>
      <c r="AR1575" s="1">
        <f>=COUNTIF(E1575:AI1575,"ÇHT")</f>
      </c>
      <c r="AS1575" s="1">
        <f>=COUNTIF(E1575:AI1575,"Ö")+COUNTIF(E1575:AI1575,"T")</f>
      </c>
      <c r="AT1575" s="1">
        <f>=COUNTIF(E1575:AI1575,"Y")</f>
      </c>
      <c r="AU1575" s="1">
        <f>=COUNTIF(E1575:AI1575,"R.")</f>
      </c>
      <c r="AV1575" s="1">
        <f>=COUNTIF(E1575:AI1575,"Ü")</f>
      </c>
      <c r="AW1575" s="1">
        <f>=COUNTIF(E1575:AI1575,"R")</f>
      </c>
      <c r="AX1575" s="1">
        <f>=COUNTIF(E1575:AI1575,"DV")</f>
      </c>
      <c r="AY1575" s="1">
        <f>=+AN1575+AO1575+AP1575+AQ1575+AR1575+AS1575+AT1575+AU1575</f>
      </c>
    </row>
    <row r="1576" ht="16" customHeight="1" spans="1:51" x14ac:dyDescent="0.25">
      <c r="A1576" s="45"/>
      <c r="B1576" s="46"/>
      <c r="C1576" s="46"/>
      <c r="D1576" s="46" t="s">
        <v>33</v>
      </c>
      <c r="E1576" s="46"/>
      <c r="F1576" s="46"/>
      <c r="G1576" s="46"/>
      <c r="H1576" s="46"/>
      <c r="I1576" s="46"/>
      <c r="J1576" s="46"/>
      <c r="K1576" s="46"/>
      <c r="L1576" s="46"/>
      <c r="M1576" s="46"/>
      <c r="N1576" s="46"/>
      <c r="O1576" s="46"/>
      <c r="P1576" s="46"/>
      <c r="Q1576" s="46"/>
      <c r="R1576" s="46"/>
      <c r="S1576" s="46"/>
      <c r="T1576" s="46"/>
      <c r="U1576" s="46"/>
      <c r="V1576" s="46"/>
      <c r="W1576" s="46">
        <v>2</v>
      </c>
      <c r="X1576" s="46"/>
      <c r="Y1576" s="46"/>
      <c r="Z1576" s="46"/>
      <c r="AA1576" s="46"/>
      <c r="AB1576" s="46"/>
      <c r="AC1576" s="46"/>
      <c r="AD1576" s="46"/>
      <c r="AE1576" s="46"/>
      <c r="AF1576" s="46"/>
      <c r="AG1576" s="46"/>
      <c r="AH1576" s="46"/>
      <c r="AI1576" s="46"/>
      <c r="AJ1576" s="46"/>
      <c r="AK1576" s="46"/>
      <c r="AL1576" s="46"/>
      <c r="AM1576" s="1"/>
      <c r="AN1576" s="1"/>
      <c r="AO1576" s="1"/>
      <c r="AP1576" s="1"/>
      <c r="AQ1576" s="1"/>
      <c r="AR1576" s="1"/>
      <c r="AS1576" s="1"/>
      <c r="AT1576" s="1"/>
      <c r="AU1576" s="1"/>
      <c r="AV1576" s="1"/>
      <c r="AW1576" s="1"/>
      <c r="AX1576" s="1"/>
      <c r="AY1576" s="1"/>
    </row>
    <row r="1577" ht="16" customHeight="1" spans="1:51" x14ac:dyDescent="0.25">
      <c r="A1577" s="45"/>
      <c r="B1577" s="46" t="s">
        <v>1630</v>
      </c>
      <c r="C1577" s="46" t="s">
        <v>1631</v>
      </c>
      <c r="D1577" s="46" t="s">
        <v>29</v>
      </c>
      <c r="E1577" s="46"/>
      <c r="F1577" s="46"/>
      <c r="G1577" s="46"/>
      <c r="H1577" s="46"/>
      <c r="I1577" s="46"/>
      <c r="J1577" s="46"/>
      <c r="K1577" s="46"/>
      <c r="L1577" s="46"/>
      <c r="M1577" s="46"/>
      <c r="N1577" s="46"/>
      <c r="O1577" s="46"/>
      <c r="P1577" s="46"/>
      <c r="Q1577" s="46"/>
      <c r="R1577" s="46"/>
      <c r="S1577" s="46"/>
      <c r="T1577" s="46"/>
      <c r="U1577" s="46"/>
      <c r="V1577" s="46" t="s">
        <v>59</v>
      </c>
      <c r="W1577" s="46" t="s">
        <v>59</v>
      </c>
      <c r="X1577" s="46" t="s">
        <v>46</v>
      </c>
      <c r="Y1577" s="46" t="s">
        <v>59</v>
      </c>
      <c r="Z1577" s="46" t="s">
        <v>59</v>
      </c>
      <c r="AA1577" s="46" t="s">
        <v>37</v>
      </c>
      <c r="AB1577" s="46" t="s">
        <v>37</v>
      </c>
      <c r="AC1577" s="46" t="s">
        <v>1348</v>
      </c>
      <c r="AD1577" s="46" t="s">
        <v>1348</v>
      </c>
      <c r="AE1577" s="46" t="s">
        <v>1348</v>
      </c>
      <c r="AF1577" s="46" t="s">
        <v>59</v>
      </c>
      <c r="AG1577" s="46" t="s">
        <v>59</v>
      </c>
      <c r="AH1577" s="46" t="s">
        <v>43</v>
      </c>
      <c r="AI1577" s="46" t="s">
        <v>37</v>
      </c>
      <c r="AJ1577" s="46">
        <f>=SUM(E1578:AI1578)</f>
      </c>
      <c r="AK1577" s="46">
        <f>=+AY1577</f>
      </c>
      <c r="AL1577" s="46"/>
      <c r="AM1577" s="1"/>
      <c r="AN1577" s="1">
        <f>=COUNTIF(E1577:AI1577,"A")+COUNTIF(E1577:AI1577,"B")+COUNTIF(E1577:AI1577,"C")+COUNTIF(E1577:AI1577,"D")+COUNTIF(E1577:AI1577,"E")+COUNTIF(E1577:AI1577,"F")+COUNTIF(E1577:AI1577,"M")+COUNTIF(E1577:AI1577,"AB")+COUNTIF(E1577:AI1577,"UZ")+COUNTIF(E1577:AI1577,"G")+(COUNTIF(E1577:AI1577,"RT.")/2)+(COUNTIF(E1577:AI1577,"ÇRT.")/2)</f>
      </c>
      <c r="AO1577" s="1">
        <f>=COUNTIF(E1577:AI1577,"O")</f>
      </c>
      <c r="AP1577" s="1">
        <f>=COUNTIF(E1577:AI1577,"RT")+(COUNTIF(E1577:AI1577,"RT.")/2)</f>
      </c>
      <c r="AQ1577" s="1">
        <f>=COUNTIF(E1577:AI1577,"ÇRT")+(COUNTIF(E1577:AI1577,"ÇRT.")/2)</f>
      </c>
      <c r="AR1577" s="1">
        <f>=COUNTIF(E1577:AI1577,"ÇHT")</f>
      </c>
      <c r="AS1577" s="1">
        <f>=COUNTIF(E1577:AI1577,"Ö")+COUNTIF(E1577:AI1577,"T")</f>
      </c>
      <c r="AT1577" s="1">
        <f>=COUNTIF(E1577:AI1577,"Y")</f>
      </c>
      <c r="AU1577" s="1">
        <f>=COUNTIF(E1577:AI1577,"R.")</f>
      </c>
      <c r="AV1577" s="1">
        <f>=COUNTIF(E1577:AI1577,"Ü")</f>
      </c>
      <c r="AW1577" s="1">
        <f>=COUNTIF(E1577:AI1577,"R")</f>
      </c>
      <c r="AX1577" s="1">
        <f>=COUNTIF(E1577:AI1577,"DV")</f>
      </c>
      <c r="AY1577" s="1">
        <f>=+AN1577+AO1577+AP1577+AQ1577+AR1577+AS1577+AT1577+AU1577</f>
      </c>
    </row>
    <row r="1578" ht="16" customHeight="1" spans="1:51" x14ac:dyDescent="0.25">
      <c r="A1578" s="45"/>
      <c r="B1578" s="46"/>
      <c r="C1578" s="46"/>
      <c r="D1578" s="46" t="s">
        <v>33</v>
      </c>
      <c r="E1578" s="46"/>
      <c r="F1578" s="46"/>
      <c r="G1578" s="46"/>
      <c r="H1578" s="46"/>
      <c r="I1578" s="46"/>
      <c r="J1578" s="46"/>
      <c r="K1578" s="46"/>
      <c r="L1578" s="46"/>
      <c r="M1578" s="46"/>
      <c r="N1578" s="46"/>
      <c r="O1578" s="46"/>
      <c r="P1578" s="46"/>
      <c r="Q1578" s="46"/>
      <c r="R1578" s="46"/>
      <c r="S1578" s="46"/>
      <c r="T1578" s="46"/>
      <c r="U1578" s="46"/>
      <c r="V1578" s="46"/>
      <c r="W1578" s="46"/>
      <c r="X1578" s="46"/>
      <c r="Y1578" s="46"/>
      <c r="Z1578" s="46"/>
      <c r="AA1578" s="46"/>
      <c r="AB1578" s="46"/>
      <c r="AC1578" s="46"/>
      <c r="AD1578" s="46"/>
      <c r="AE1578" s="46"/>
      <c r="AF1578" s="46"/>
      <c r="AG1578" s="46"/>
      <c r="AH1578" s="46"/>
      <c r="AI1578" s="46"/>
      <c r="AJ1578" s="46"/>
      <c r="AK1578" s="46"/>
      <c r="AL1578" s="46"/>
      <c r="AM1578" s="1"/>
      <c r="AN1578" s="1"/>
      <c r="AO1578" s="1"/>
      <c r="AP1578" s="1"/>
      <c r="AQ1578" s="1"/>
      <c r="AR1578" s="1"/>
      <c r="AS1578" s="1"/>
      <c r="AT1578" s="1"/>
      <c r="AU1578" s="1"/>
      <c r="AV1578" s="1"/>
      <c r="AW1578" s="1"/>
      <c r="AX1578" s="1"/>
      <c r="AY1578" s="1"/>
    </row>
    <row r="1579" ht="16" customHeight="1" spans="1:51" x14ac:dyDescent="0.25">
      <c r="A1579" s="45"/>
      <c r="B1579" s="46" t="s">
        <v>1632</v>
      </c>
      <c r="C1579" s="46" t="s">
        <v>1633</v>
      </c>
      <c r="D1579" s="46" t="s">
        <v>29</v>
      </c>
      <c r="E1579" s="46" t="s">
        <v>59</v>
      </c>
      <c r="F1579" s="46" t="s">
        <v>59</v>
      </c>
      <c r="G1579" s="46" t="s">
        <v>37</v>
      </c>
      <c r="H1579" s="46" t="s">
        <v>59</v>
      </c>
      <c r="I1579" s="46" t="s">
        <v>59</v>
      </c>
      <c r="J1579" s="46" t="s">
        <v>59</v>
      </c>
      <c r="K1579" s="46" t="s">
        <v>59</v>
      </c>
      <c r="L1579" s="46" t="s">
        <v>59</v>
      </c>
      <c r="M1579" s="46" t="s">
        <v>59</v>
      </c>
      <c r="N1579" s="46" t="s">
        <v>37</v>
      </c>
      <c r="O1579" s="46" t="s">
        <v>59</v>
      </c>
      <c r="P1579" s="46" t="s">
        <v>59</v>
      </c>
      <c r="Q1579" s="46" t="s">
        <v>59</v>
      </c>
      <c r="R1579" s="46" t="s">
        <v>59</v>
      </c>
      <c r="S1579" s="46" t="s">
        <v>59</v>
      </c>
      <c r="T1579" s="46" t="s">
        <v>59</v>
      </c>
      <c r="U1579" s="46" t="s">
        <v>37</v>
      </c>
      <c r="V1579" s="46" t="s">
        <v>59</v>
      </c>
      <c r="W1579" s="46" t="s">
        <v>59</v>
      </c>
      <c r="X1579" s="46" t="s">
        <v>59</v>
      </c>
      <c r="Y1579" s="46" t="s">
        <v>59</v>
      </c>
      <c r="Z1579" s="46" t="s">
        <v>59</v>
      </c>
      <c r="AA1579" s="46" t="s">
        <v>59</v>
      </c>
      <c r="AB1579" s="46" t="s">
        <v>37</v>
      </c>
      <c r="AC1579" s="46" t="s">
        <v>59</v>
      </c>
      <c r="AD1579" s="46" t="s">
        <v>59</v>
      </c>
      <c r="AE1579" s="46" t="s">
        <v>59</v>
      </c>
      <c r="AF1579" s="46" t="s">
        <v>59</v>
      </c>
      <c r="AG1579" s="46" t="s">
        <v>59</v>
      </c>
      <c r="AH1579" s="46" t="s">
        <v>43</v>
      </c>
      <c r="AI1579" s="46" t="s">
        <v>37</v>
      </c>
      <c r="AJ1579" s="46">
        <f>=SUM(E1580:AI1580)</f>
      </c>
      <c r="AK1579" s="46">
        <f>=+AY1579</f>
      </c>
      <c r="AL1579" s="46"/>
      <c r="AM1579" s="1"/>
      <c r="AN1579" s="1">
        <f>=COUNTIF(E1579:AI1579,"A")+COUNTIF(E1579:AI1579,"B")+COUNTIF(E1579:AI1579,"C")+COUNTIF(E1579:AI1579,"D")+COUNTIF(E1579:AI1579,"E")+COUNTIF(E1579:AI1579,"F")+COUNTIF(E1579:AI1579,"M")+COUNTIF(E1579:AI1579,"AB")+COUNTIF(E1579:AI1579,"UZ")+COUNTIF(E1579:AI1579,"G")+(COUNTIF(E1579:AI1579,"RT.")/2)+(COUNTIF(E1579:AI1579,"ÇRT.")/2)</f>
      </c>
      <c r="AO1579" s="1">
        <f>=COUNTIF(E1579:AI1579,"O")</f>
      </c>
      <c r="AP1579" s="1">
        <f>=COUNTIF(E1579:AI1579,"RT")+(COUNTIF(E1579:AI1579,"RT.")/2)</f>
      </c>
      <c r="AQ1579" s="1">
        <f>=COUNTIF(E1579:AI1579,"ÇRT")+(COUNTIF(E1579:AI1579,"ÇRT.")/2)</f>
      </c>
      <c r="AR1579" s="1">
        <f>=COUNTIF(E1579:AI1579,"ÇHT")</f>
      </c>
      <c r="AS1579" s="1">
        <f>=COUNTIF(E1579:AI1579,"Ö")+COUNTIF(E1579:AI1579,"T")</f>
      </c>
      <c r="AT1579" s="1">
        <f>=COUNTIF(E1579:AI1579,"Y")</f>
      </c>
      <c r="AU1579" s="1">
        <f>=COUNTIF(E1579:AI1579,"R.")</f>
      </c>
      <c r="AV1579" s="1">
        <f>=COUNTIF(E1579:AI1579,"Ü")</f>
      </c>
      <c r="AW1579" s="1">
        <f>=COUNTIF(E1579:AI1579,"R")</f>
      </c>
      <c r="AX1579" s="1">
        <f>=COUNTIF(E1579:AI1579,"DV")</f>
      </c>
      <c r="AY1579" s="1">
        <f>=+AN1579+AO1579+AP1579+AQ1579+AR1579+AS1579+AT1579+AU1579</f>
      </c>
    </row>
    <row r="1580" ht="16" customHeight="1" spans="1:51" x14ac:dyDescent="0.25">
      <c r="A1580" s="45"/>
      <c r="B1580" s="46"/>
      <c r="C1580" s="46"/>
      <c r="D1580" s="46" t="s">
        <v>33</v>
      </c>
      <c r="E1580" s="46"/>
      <c r="F1580" s="46"/>
      <c r="G1580" s="46"/>
      <c r="H1580" s="46"/>
      <c r="I1580" s="46">
        <v>2</v>
      </c>
      <c r="J1580" s="46"/>
      <c r="K1580" s="46">
        <v>2</v>
      </c>
      <c r="L1580" s="46"/>
      <c r="M1580" s="46"/>
      <c r="N1580" s="46"/>
      <c r="O1580" s="46"/>
      <c r="P1580" s="46"/>
      <c r="Q1580" s="46">
        <v>2</v>
      </c>
      <c r="R1580" s="46"/>
      <c r="S1580" s="46"/>
      <c r="T1580" s="46"/>
      <c r="U1580" s="46"/>
      <c r="V1580" s="46"/>
      <c r="W1580" s="46">
        <v>2</v>
      </c>
      <c r="X1580" s="46"/>
      <c r="Y1580" s="46"/>
      <c r="Z1580" s="46"/>
      <c r="AA1580" s="46"/>
      <c r="AB1580" s="46"/>
      <c r="AC1580" s="46">
        <v>2</v>
      </c>
      <c r="AD1580" s="46">
        <v>2</v>
      </c>
      <c r="AE1580" s="46">
        <v>2</v>
      </c>
      <c r="AF1580" s="46">
        <v>2</v>
      </c>
      <c r="AG1580" s="46">
        <v>2</v>
      </c>
      <c r="AH1580" s="46">
        <v>2</v>
      </c>
      <c r="AI1580" s="46"/>
      <c r="AJ1580" s="46"/>
      <c r="AK1580" s="46"/>
      <c r="AL1580" s="46"/>
      <c r="AM1580" s="1"/>
      <c r="AN1580" s="1"/>
      <c r="AO1580" s="1"/>
      <c r="AP1580" s="1"/>
      <c r="AQ1580" s="1"/>
      <c r="AR1580" s="1"/>
      <c r="AS1580" s="1"/>
      <c r="AT1580" s="1"/>
      <c r="AU1580" s="1"/>
      <c r="AV1580" s="1"/>
      <c r="AW1580" s="1"/>
      <c r="AX1580" s="1"/>
      <c r="AY1580" s="1"/>
    </row>
    <row r="1581" ht="16" customHeight="1" spans="1:51" x14ac:dyDescent="0.25">
      <c r="A1581" s="45"/>
      <c r="B1581" s="46" t="s">
        <v>1634</v>
      </c>
      <c r="C1581" s="46" t="s">
        <v>1635</v>
      </c>
      <c r="D1581" s="46" t="s">
        <v>29</v>
      </c>
      <c r="E1581" s="46" t="s">
        <v>59</v>
      </c>
      <c r="F1581" s="46" t="s">
        <v>59</v>
      </c>
      <c r="G1581" s="46" t="s">
        <v>59</v>
      </c>
      <c r="H1581" s="46" t="s">
        <v>59</v>
      </c>
      <c r="I1581" s="46" t="s">
        <v>59</v>
      </c>
      <c r="J1581" s="46" t="s">
        <v>59</v>
      </c>
      <c r="K1581" s="46" t="s">
        <v>37</v>
      </c>
      <c r="L1581" s="46" t="s">
        <v>59</v>
      </c>
      <c r="M1581" s="46" t="s">
        <v>59</v>
      </c>
      <c r="N1581" s="46" t="s">
        <v>59</v>
      </c>
      <c r="O1581" s="46" t="s">
        <v>59</v>
      </c>
      <c r="P1581" s="46" t="s">
        <v>59</v>
      </c>
      <c r="Q1581" s="46" t="s">
        <v>59</v>
      </c>
      <c r="R1581" s="46" t="s">
        <v>37</v>
      </c>
      <c r="S1581" s="46" t="s">
        <v>59</v>
      </c>
      <c r="T1581" s="46" t="s">
        <v>59</v>
      </c>
      <c r="U1581" s="46" t="s">
        <v>59</v>
      </c>
      <c r="V1581" s="46" t="s">
        <v>59</v>
      </c>
      <c r="W1581" s="46" t="s">
        <v>59</v>
      </c>
      <c r="X1581" s="46" t="s">
        <v>59</v>
      </c>
      <c r="Y1581" s="46" t="s">
        <v>37</v>
      </c>
      <c r="Z1581" s="46" t="s">
        <v>59</v>
      </c>
      <c r="AA1581" s="46" t="s">
        <v>59</v>
      </c>
      <c r="AB1581" s="46" t="s">
        <v>59</v>
      </c>
      <c r="AC1581" s="46" t="s">
        <v>59</v>
      </c>
      <c r="AD1581" s="46" t="s">
        <v>59</v>
      </c>
      <c r="AE1581" s="46" t="s">
        <v>59</v>
      </c>
      <c r="AF1581" s="46" t="s">
        <v>37</v>
      </c>
      <c r="AG1581" s="46" t="s">
        <v>59</v>
      </c>
      <c r="AH1581" s="46" t="s">
        <v>43</v>
      </c>
      <c r="AI1581" s="46" t="s">
        <v>59</v>
      </c>
      <c r="AJ1581" s="46">
        <f>=SUM(E1582:AI1582)</f>
      </c>
      <c r="AK1581" s="46">
        <f>=+AY1581</f>
      </c>
      <c r="AL1581" s="46"/>
      <c r="AM1581" s="1"/>
      <c r="AN1581" s="1">
        <f>=COUNTIF(E1581:AI1581,"A")+COUNTIF(E1581:AI1581,"B")+COUNTIF(E1581:AI1581,"C")+COUNTIF(E1581:AI1581,"D")+COUNTIF(E1581:AI1581,"E")+COUNTIF(E1581:AI1581,"F")+COUNTIF(E1581:AI1581,"M")+COUNTIF(E1581:AI1581,"AB")+COUNTIF(E1581:AI1581,"UZ")+COUNTIF(E1581:AI1581,"G")+(COUNTIF(E1581:AI1581,"RT.")/2)+(COUNTIF(E1581:AI1581,"ÇRT.")/2)</f>
      </c>
      <c r="AO1581" s="1">
        <f>=COUNTIF(E1581:AI1581,"O")</f>
      </c>
      <c r="AP1581" s="1">
        <f>=COUNTIF(E1581:AI1581,"RT")+(COUNTIF(E1581:AI1581,"RT.")/2)</f>
      </c>
      <c r="AQ1581" s="1">
        <f>=COUNTIF(E1581:AI1581,"ÇRT")+(COUNTIF(E1581:AI1581,"ÇRT.")/2)</f>
      </c>
      <c r="AR1581" s="1">
        <f>=COUNTIF(E1581:AI1581,"ÇHT")</f>
      </c>
      <c r="AS1581" s="1">
        <f>=COUNTIF(E1581:AI1581,"Ö")+COUNTIF(E1581:AI1581,"T")</f>
      </c>
      <c r="AT1581" s="1">
        <f>=COUNTIF(E1581:AI1581,"Y")</f>
      </c>
      <c r="AU1581" s="1">
        <f>=COUNTIF(E1581:AI1581,"R.")</f>
      </c>
      <c r="AV1581" s="1">
        <f>=COUNTIF(E1581:AI1581,"Ü")</f>
      </c>
      <c r="AW1581" s="1">
        <f>=COUNTIF(E1581:AI1581,"R")</f>
      </c>
      <c r="AX1581" s="1">
        <f>=COUNTIF(E1581:AI1581,"DV")</f>
      </c>
      <c r="AY1581" s="1">
        <f>=+AN1581+AO1581+AP1581+AQ1581+AR1581+AS1581+AT1581+AU1581</f>
      </c>
    </row>
    <row r="1582" ht="16" customHeight="1" spans="1:51" x14ac:dyDescent="0.25">
      <c r="A1582" s="45"/>
      <c r="B1582" s="46"/>
      <c r="C1582" s="46"/>
      <c r="D1582" s="46" t="s">
        <v>33</v>
      </c>
      <c r="E1582" s="46"/>
      <c r="F1582" s="46"/>
      <c r="G1582" s="46"/>
      <c r="H1582" s="46"/>
      <c r="I1582" s="46"/>
      <c r="J1582" s="46"/>
      <c r="K1582" s="46"/>
      <c r="L1582" s="46"/>
      <c r="M1582" s="46"/>
      <c r="N1582" s="46"/>
      <c r="O1582" s="46"/>
      <c r="P1582" s="46"/>
      <c r="Q1582" s="46"/>
      <c r="R1582" s="46"/>
      <c r="S1582" s="46"/>
      <c r="T1582" s="46"/>
      <c r="U1582" s="46"/>
      <c r="V1582" s="46"/>
      <c r="W1582" s="46"/>
      <c r="X1582" s="46"/>
      <c r="Y1582" s="46"/>
      <c r="Z1582" s="46"/>
      <c r="AA1582" s="46"/>
      <c r="AB1582" s="46"/>
      <c r="AC1582" s="46"/>
      <c r="AD1582" s="46"/>
      <c r="AE1582" s="46"/>
      <c r="AF1582" s="46"/>
      <c r="AG1582" s="46"/>
      <c r="AH1582" s="46"/>
      <c r="AI1582" s="46"/>
      <c r="AJ1582" s="46"/>
      <c r="AK1582" s="46"/>
      <c r="AL1582" s="46"/>
      <c r="AM1582" s="1"/>
      <c r="AN1582" s="1"/>
      <c r="AO1582" s="1"/>
      <c r="AP1582" s="1"/>
      <c r="AQ1582" s="1"/>
      <c r="AR1582" s="1"/>
      <c r="AS1582" s="1"/>
      <c r="AT1582" s="1"/>
      <c r="AU1582" s="1"/>
      <c r="AV1582" s="1"/>
      <c r="AW1582" s="1"/>
      <c r="AX1582" s="1"/>
      <c r="AY1582" s="1"/>
    </row>
    <row r="1583" ht="16" customHeight="1" spans="1:51" x14ac:dyDescent="0.25">
      <c r="A1583" s="45"/>
      <c r="B1583" s="46" t="s">
        <v>1636</v>
      </c>
      <c r="C1583" s="46" t="s">
        <v>1637</v>
      </c>
      <c r="D1583" s="46" t="s">
        <v>29</v>
      </c>
      <c r="E1583" s="46"/>
      <c r="F1583" s="46"/>
      <c r="G1583" s="46"/>
      <c r="H1583" s="46"/>
      <c r="I1583" s="46"/>
      <c r="J1583" s="46"/>
      <c r="K1583" s="46"/>
      <c r="L1583" s="46"/>
      <c r="M1583" s="46"/>
      <c r="N1583" s="46"/>
      <c r="O1583" s="46"/>
      <c r="P1583" s="46"/>
      <c r="Q1583" s="46"/>
      <c r="R1583" s="46"/>
      <c r="S1583" s="46"/>
      <c r="T1583" s="46"/>
      <c r="U1583" s="46"/>
      <c r="V1583" s="46"/>
      <c r="W1583" s="46"/>
      <c r="X1583" s="46"/>
      <c r="Y1583" s="46"/>
      <c r="Z1583" s="46"/>
      <c r="AA1583" s="46"/>
      <c r="AB1583" s="46"/>
      <c r="AC1583" s="46"/>
      <c r="AD1583" s="46"/>
      <c r="AE1583" s="46"/>
      <c r="AF1583" s="46"/>
      <c r="AG1583" s="46"/>
      <c r="AH1583" s="46"/>
      <c r="AI1583" s="46"/>
      <c r="AJ1583" s="46">
        <f>=SUM(E1584:AI1584)</f>
      </c>
      <c r="AK1583" s="46">
        <f>=+AY1583</f>
      </c>
      <c r="AL1583" s="46"/>
      <c r="AM1583" s="1"/>
      <c r="AN1583" s="1">
        <f>=COUNTIF(E1583:AI1583,"A")+COUNTIF(E1583:AI1583,"B")+COUNTIF(E1583:AI1583,"C")+COUNTIF(E1583:AI1583,"D")+COUNTIF(E1583:AI1583,"E")+COUNTIF(E1583:AI1583,"F")+COUNTIF(E1583:AI1583,"M")+COUNTIF(E1583:AI1583,"AB")+COUNTIF(E1583:AI1583,"UZ")+COUNTIF(E1583:AI1583,"G")+(COUNTIF(E1583:AI1583,"RT.")/2)+(COUNTIF(E1583:AI1583,"ÇRT.")/2)</f>
      </c>
      <c r="AO1583" s="1">
        <f>=COUNTIF(E1583:AI1583,"O")</f>
      </c>
      <c r="AP1583" s="1">
        <f>=COUNTIF(E1583:AI1583,"RT")+(COUNTIF(E1583:AI1583,"RT.")/2)</f>
      </c>
      <c r="AQ1583" s="1">
        <f>=COUNTIF(E1583:AI1583,"ÇRT")+(COUNTIF(E1583:AI1583,"ÇRT.")/2)</f>
      </c>
      <c r="AR1583" s="1">
        <f>=COUNTIF(E1583:AI1583,"ÇHT")</f>
      </c>
      <c r="AS1583" s="1">
        <f>=COUNTIF(E1583:AI1583,"Ö")+COUNTIF(E1583:AI1583,"T")</f>
      </c>
      <c r="AT1583" s="1">
        <f>=COUNTIF(E1583:AI1583,"Y")</f>
      </c>
      <c r="AU1583" s="1">
        <f>=COUNTIF(E1583:AI1583,"R.")</f>
      </c>
      <c r="AV1583" s="1">
        <f>=COUNTIF(E1583:AI1583,"Ü")</f>
      </c>
      <c r="AW1583" s="1">
        <f>=COUNTIF(E1583:AI1583,"R")</f>
      </c>
      <c r="AX1583" s="1">
        <f>=COUNTIF(E1583:AI1583,"DV")</f>
      </c>
      <c r="AY1583" s="1">
        <f>=+AN1583+AO1583+AP1583+AQ1583+AR1583+AS1583+AT1583+AU1583</f>
      </c>
    </row>
    <row r="1584" ht="16" customHeight="1" spans="1:51" x14ac:dyDescent="0.25">
      <c r="A1584" s="45"/>
      <c r="B1584" s="46"/>
      <c r="C1584" s="46"/>
      <c r="D1584" s="46" t="s">
        <v>33</v>
      </c>
      <c r="E1584" s="46"/>
      <c r="F1584" s="46"/>
      <c r="G1584" s="46"/>
      <c r="H1584" s="46"/>
      <c r="I1584" s="46"/>
      <c r="J1584" s="46"/>
      <c r="K1584" s="46"/>
      <c r="L1584" s="46"/>
      <c r="M1584" s="46"/>
      <c r="N1584" s="46"/>
      <c r="O1584" s="46"/>
      <c r="P1584" s="46"/>
      <c r="Q1584" s="46"/>
      <c r="R1584" s="46"/>
      <c r="S1584" s="46"/>
      <c r="T1584" s="46"/>
      <c r="U1584" s="46"/>
      <c r="V1584" s="46"/>
      <c r="W1584" s="46"/>
      <c r="X1584" s="46"/>
      <c r="Y1584" s="46"/>
      <c r="Z1584" s="46"/>
      <c r="AA1584" s="46"/>
      <c r="AB1584" s="46"/>
      <c r="AC1584" s="46"/>
      <c r="AD1584" s="46"/>
      <c r="AE1584" s="46"/>
      <c r="AF1584" s="46"/>
      <c r="AG1584" s="46"/>
      <c r="AH1584" s="46"/>
      <c r="AI1584" s="46"/>
      <c r="AJ1584" s="46"/>
      <c r="AK1584" s="46"/>
      <c r="AL1584" s="46"/>
      <c r="AM1584" s="1"/>
      <c r="AN1584" s="1"/>
      <c r="AO1584" s="1"/>
      <c r="AP1584" s="1"/>
      <c r="AQ1584" s="1"/>
      <c r="AR1584" s="1"/>
      <c r="AS1584" s="1"/>
      <c r="AT1584" s="1"/>
      <c r="AU1584" s="1"/>
      <c r="AV1584" s="1"/>
      <c r="AW1584" s="1"/>
      <c r="AX1584" s="1"/>
      <c r="AY1584" s="1"/>
    </row>
    <row r="1585" ht="16" customHeight="1" spans="1:51" x14ac:dyDescent="0.25">
      <c r="A1585" s="45"/>
      <c r="B1585" s="46" t="s">
        <v>1638</v>
      </c>
      <c r="C1585" s="46" t="s">
        <v>1639</v>
      </c>
      <c r="D1585" s="46" t="s">
        <v>29</v>
      </c>
      <c r="E1585" s="46" t="s">
        <v>37</v>
      </c>
      <c r="F1585" s="46" t="s">
        <v>1348</v>
      </c>
      <c r="G1585" s="46" t="s">
        <v>337</v>
      </c>
      <c r="H1585" s="46" t="s">
        <v>153</v>
      </c>
      <c r="I1585" s="46" t="s">
        <v>37</v>
      </c>
      <c r="J1585" s="46" t="s">
        <v>153</v>
      </c>
      <c r="K1585" s="46" t="s">
        <v>153</v>
      </c>
      <c r="L1585" s="46" t="s">
        <v>153</v>
      </c>
      <c r="M1585" s="46" t="s">
        <v>153</v>
      </c>
      <c r="N1585" s="46" t="s">
        <v>153</v>
      </c>
      <c r="O1585" s="46" t="s">
        <v>153</v>
      </c>
      <c r="P1585" s="46" t="s">
        <v>1348</v>
      </c>
      <c r="Q1585" s="46" t="s">
        <v>1348</v>
      </c>
      <c r="R1585" s="46" t="s">
        <v>1348</v>
      </c>
      <c r="S1585" s="46" t="s">
        <v>1348</v>
      </c>
      <c r="T1585" s="46" t="s">
        <v>1348</v>
      </c>
      <c r="U1585" s="46" t="s">
        <v>31</v>
      </c>
      <c r="V1585" s="46" t="s">
        <v>1348</v>
      </c>
      <c r="W1585" s="46" t="s">
        <v>1348</v>
      </c>
      <c r="X1585" s="46" t="s">
        <v>1348</v>
      </c>
      <c r="Y1585" s="46" t="s">
        <v>1348</v>
      </c>
      <c r="Z1585" s="46" t="s">
        <v>37</v>
      </c>
      <c r="AA1585" s="46" t="s">
        <v>1348</v>
      </c>
      <c r="AB1585" s="46" t="s">
        <v>1348</v>
      </c>
      <c r="AC1585" s="46" t="s">
        <v>1348</v>
      </c>
      <c r="AD1585" s="46" t="s">
        <v>1348</v>
      </c>
      <c r="AE1585" s="46" t="s">
        <v>1348</v>
      </c>
      <c r="AF1585" s="46" t="s">
        <v>1348</v>
      </c>
      <c r="AG1585" s="46" t="s">
        <v>37</v>
      </c>
      <c r="AH1585" s="46" t="s">
        <v>43</v>
      </c>
      <c r="AI1585" s="46"/>
      <c r="AJ1585" s="46">
        <f>=SUM(E1586:AI1586)</f>
      </c>
      <c r="AK1585" s="46">
        <f>=+AY1585</f>
      </c>
      <c r="AL1585" s="46"/>
      <c r="AM1585" s="1"/>
      <c r="AN1585" s="1">
        <f>=COUNTIF(E1585:AI1585,"A")+COUNTIF(E1585:AI1585,"B")+COUNTIF(E1585:AI1585,"C")+COUNTIF(E1585:AI1585,"D")+COUNTIF(E1585:AI1585,"E")+COUNTIF(E1585:AI1585,"F")+COUNTIF(E1585:AI1585,"M")+COUNTIF(E1585:AI1585,"AB")+COUNTIF(E1585:AI1585,"UZ")+COUNTIF(E1585:AI1585,"G")+(COUNTIF(E1585:AI1585,"RT.")/2)+(COUNTIF(E1585:AI1585,"ÇRT.")/2)</f>
      </c>
      <c r="AO1585" s="1">
        <f>=COUNTIF(E1585:AI1585,"O")</f>
      </c>
      <c r="AP1585" s="1">
        <f>=COUNTIF(E1585:AI1585,"RT")+(COUNTIF(E1585:AI1585,"RT.")/2)</f>
      </c>
      <c r="AQ1585" s="1">
        <f>=COUNTIF(E1585:AI1585,"ÇRT")+(COUNTIF(E1585:AI1585,"ÇRT.")/2)</f>
      </c>
      <c r="AR1585" s="1">
        <f>=COUNTIF(E1585:AI1585,"ÇHT")</f>
      </c>
      <c r="AS1585" s="1">
        <f>=COUNTIF(E1585:AI1585,"Ö")+COUNTIF(E1585:AI1585,"T")</f>
      </c>
      <c r="AT1585" s="1">
        <f>=COUNTIF(E1585:AI1585,"Y")</f>
      </c>
      <c r="AU1585" s="1">
        <f>=COUNTIF(E1585:AI1585,"R.")</f>
      </c>
      <c r="AV1585" s="1">
        <f>=COUNTIF(E1585:AI1585,"Ü")</f>
      </c>
      <c r="AW1585" s="1">
        <f>=COUNTIF(E1585:AI1585,"R")</f>
      </c>
      <c r="AX1585" s="1">
        <f>=COUNTIF(E1585:AI1585,"DV")</f>
      </c>
      <c r="AY1585" s="1">
        <f>=+AN1585+AO1585+AP1585+AQ1585+AR1585+AS1585+AT1585+AU1585</f>
      </c>
    </row>
    <row r="1586" ht="16" customHeight="1" spans="1:51" x14ac:dyDescent="0.25">
      <c r="A1586" s="45"/>
      <c r="B1586" s="46"/>
      <c r="C1586" s="46"/>
      <c r="D1586" s="46" t="s">
        <v>33</v>
      </c>
      <c r="E1586" s="46"/>
      <c r="F1586" s="46"/>
      <c r="G1586" s="46"/>
      <c r="H1586" s="46"/>
      <c r="I1586" s="46"/>
      <c r="J1586" s="46"/>
      <c r="K1586" s="46"/>
      <c r="L1586" s="46"/>
      <c r="M1586" s="46"/>
      <c r="N1586" s="46"/>
      <c r="O1586" s="46"/>
      <c r="P1586" s="46">
        <v>2</v>
      </c>
      <c r="Q1586" s="46"/>
      <c r="R1586" s="46"/>
      <c r="S1586" s="46"/>
      <c r="T1586" s="46"/>
      <c r="U1586" s="46"/>
      <c r="V1586" s="46"/>
      <c r="W1586" s="46"/>
      <c r="X1586" s="46"/>
      <c r="Y1586" s="46"/>
      <c r="Z1586" s="46"/>
      <c r="AA1586" s="46"/>
      <c r="AB1586" s="46"/>
      <c r="AC1586" s="46"/>
      <c r="AD1586" s="46"/>
      <c r="AE1586" s="46"/>
      <c r="AF1586" s="46"/>
      <c r="AG1586" s="46"/>
      <c r="AH1586" s="46"/>
      <c r="AI1586" s="46"/>
      <c r="AJ1586" s="46"/>
      <c r="AK1586" s="46"/>
      <c r="AL1586" s="46"/>
      <c r="AM1586" s="1"/>
      <c r="AN1586" s="1"/>
      <c r="AO1586" s="1"/>
      <c r="AP1586" s="1"/>
      <c r="AQ1586" s="1"/>
      <c r="AR1586" s="1"/>
      <c r="AS1586" s="1"/>
      <c r="AT1586" s="1"/>
      <c r="AU1586" s="1"/>
      <c r="AV1586" s="1"/>
      <c r="AW1586" s="1"/>
      <c r="AX1586" s="1"/>
      <c r="AY1586" s="1"/>
    </row>
    <row r="1587" ht="16" customHeight="1" spans="1:51" x14ac:dyDescent="0.25">
      <c r="A1587" s="45"/>
      <c r="B1587" s="46" t="s">
        <v>1640</v>
      </c>
      <c r="C1587" s="46" t="s">
        <v>1641</v>
      </c>
      <c r="D1587" s="46" t="s">
        <v>29</v>
      </c>
      <c r="E1587" s="46" t="s">
        <v>59</v>
      </c>
      <c r="F1587" s="46" t="s">
        <v>37</v>
      </c>
      <c r="G1587" s="46" t="s">
        <v>37</v>
      </c>
      <c r="H1587" s="46" t="s">
        <v>59</v>
      </c>
      <c r="I1587" s="46" t="s">
        <v>59</v>
      </c>
      <c r="J1587" s="46" t="s">
        <v>59</v>
      </c>
      <c r="K1587" s="46" t="s">
        <v>59</v>
      </c>
      <c r="L1587" s="46" t="s">
        <v>59</v>
      </c>
      <c r="M1587" s="46" t="s">
        <v>59</v>
      </c>
      <c r="N1587" s="46" t="s">
        <v>37</v>
      </c>
      <c r="O1587" s="46" t="s">
        <v>59</v>
      </c>
      <c r="P1587" s="46" t="s">
        <v>59</v>
      </c>
      <c r="Q1587" s="46" t="s">
        <v>59</v>
      </c>
      <c r="R1587" s="46" t="s">
        <v>59</v>
      </c>
      <c r="S1587" s="46" t="s">
        <v>59</v>
      </c>
      <c r="T1587" s="46" t="s">
        <v>59</v>
      </c>
      <c r="U1587" s="46" t="s">
        <v>37</v>
      </c>
      <c r="V1587" s="46" t="s">
        <v>59</v>
      </c>
      <c r="W1587" s="46" t="s">
        <v>59</v>
      </c>
      <c r="X1587" s="46" t="s">
        <v>59</v>
      </c>
      <c r="Y1587" s="46" t="s">
        <v>59</v>
      </c>
      <c r="Z1587" s="46" t="s">
        <v>59</v>
      </c>
      <c r="AA1587" s="46" t="s">
        <v>59</v>
      </c>
      <c r="AB1587" s="46" t="s">
        <v>37</v>
      </c>
      <c r="AC1587" s="46" t="s">
        <v>59</v>
      </c>
      <c r="AD1587" s="46" t="s">
        <v>59</v>
      </c>
      <c r="AE1587" s="46" t="s">
        <v>59</v>
      </c>
      <c r="AF1587" s="46" t="s">
        <v>59</v>
      </c>
      <c r="AG1587" s="46" t="s">
        <v>59</v>
      </c>
      <c r="AH1587" s="46" t="s">
        <v>154</v>
      </c>
      <c r="AI1587" s="46" t="s">
        <v>59</v>
      </c>
      <c r="AJ1587" s="46">
        <f>=SUM(E1588:AI1588)</f>
      </c>
      <c r="AK1587" s="46">
        <f>=+AY1587</f>
      </c>
      <c r="AL1587" s="46"/>
      <c r="AM1587" s="1"/>
      <c r="AN1587" s="1">
        <f>=COUNTIF(E1587:AI1587,"A")+COUNTIF(E1587:AI1587,"B")+COUNTIF(E1587:AI1587,"C")+COUNTIF(E1587:AI1587,"D")+COUNTIF(E1587:AI1587,"E")+COUNTIF(E1587:AI1587,"F")+COUNTIF(E1587:AI1587,"M")+COUNTIF(E1587:AI1587,"AB")+COUNTIF(E1587:AI1587,"UZ")+COUNTIF(E1587:AI1587,"G")+(COUNTIF(E1587:AI1587,"RT.")/2)+(COUNTIF(E1587:AI1587,"ÇRT.")/2)</f>
      </c>
      <c r="AO1587" s="1">
        <f>=COUNTIF(E1587:AI1587,"O")</f>
      </c>
      <c r="AP1587" s="1">
        <f>=COUNTIF(E1587:AI1587,"RT")+(COUNTIF(E1587:AI1587,"RT.")/2)</f>
      </c>
      <c r="AQ1587" s="1">
        <f>=COUNTIF(E1587:AI1587,"ÇRT")+(COUNTIF(E1587:AI1587,"ÇRT.")/2)</f>
      </c>
      <c r="AR1587" s="1">
        <f>=COUNTIF(E1587:AI1587,"ÇHT")</f>
      </c>
      <c r="AS1587" s="1">
        <f>=COUNTIF(E1587:AI1587,"Ö")+COUNTIF(E1587:AI1587,"T")</f>
      </c>
      <c r="AT1587" s="1">
        <f>=COUNTIF(E1587:AI1587,"Y")</f>
      </c>
      <c r="AU1587" s="1">
        <f>=COUNTIF(E1587:AI1587,"R.")</f>
      </c>
      <c r="AV1587" s="1">
        <f>=COUNTIF(E1587:AI1587,"Ü")</f>
      </c>
      <c r="AW1587" s="1">
        <f>=COUNTIF(E1587:AI1587,"R")</f>
      </c>
      <c r="AX1587" s="1">
        <f>=COUNTIF(E1587:AI1587,"DV")</f>
      </c>
      <c r="AY1587" s="1">
        <f>=+AN1587+AO1587+AP1587+AQ1587+AR1587+AS1587+AT1587+AU1587</f>
      </c>
    </row>
    <row r="1588" ht="16" customHeight="1" spans="1:51" x14ac:dyDescent="0.25">
      <c r="A1588" s="45"/>
      <c r="B1588" s="46"/>
      <c r="C1588" s="46"/>
      <c r="D1588" s="46" t="s">
        <v>33</v>
      </c>
      <c r="E1588" s="46"/>
      <c r="F1588" s="46"/>
      <c r="G1588" s="46"/>
      <c r="H1588" s="46"/>
      <c r="I1588" s="46"/>
      <c r="J1588" s="46"/>
      <c r="K1588" s="46"/>
      <c r="L1588" s="46"/>
      <c r="M1588" s="46"/>
      <c r="N1588" s="46"/>
      <c r="O1588" s="46"/>
      <c r="P1588" s="46"/>
      <c r="Q1588" s="46"/>
      <c r="R1588" s="46"/>
      <c r="S1588" s="46"/>
      <c r="T1588" s="46"/>
      <c r="U1588" s="46"/>
      <c r="V1588" s="46"/>
      <c r="W1588" s="46">
        <v>2</v>
      </c>
      <c r="X1588" s="46"/>
      <c r="Y1588" s="46"/>
      <c r="Z1588" s="46"/>
      <c r="AA1588" s="46"/>
      <c r="AB1588" s="46"/>
      <c r="AC1588" s="46"/>
      <c r="AD1588" s="46"/>
      <c r="AE1588" s="46"/>
      <c r="AF1588" s="46"/>
      <c r="AG1588" s="46"/>
      <c r="AH1588" s="46"/>
      <c r="AI1588" s="46"/>
      <c r="AJ1588" s="46"/>
      <c r="AK1588" s="46"/>
      <c r="AL1588" s="46"/>
      <c r="AM1588" s="1"/>
      <c r="AN1588" s="1"/>
      <c r="AO1588" s="1"/>
      <c r="AP1588" s="1"/>
      <c r="AQ1588" s="1"/>
      <c r="AR1588" s="1"/>
      <c r="AS1588" s="1"/>
      <c r="AT1588" s="1"/>
      <c r="AU1588" s="1"/>
      <c r="AV1588" s="1"/>
      <c r="AW1588" s="1"/>
      <c r="AX1588" s="1"/>
      <c r="AY1588" s="1"/>
    </row>
    <row r="1589" ht="16" customHeight="1" spans="1:51" x14ac:dyDescent="0.25">
      <c r="A1589" s="45"/>
      <c r="B1589" s="46" t="s">
        <v>1642</v>
      </c>
      <c r="C1589" s="46" t="s">
        <v>465</v>
      </c>
      <c r="D1589" s="46" t="s">
        <v>29</v>
      </c>
      <c r="E1589" s="46" t="s">
        <v>1348</v>
      </c>
      <c r="F1589" s="46" t="s">
        <v>1348</v>
      </c>
      <c r="G1589" s="46" t="s">
        <v>37</v>
      </c>
      <c r="H1589" s="46" t="s">
        <v>1348</v>
      </c>
      <c r="I1589" s="46" t="s">
        <v>1348</v>
      </c>
      <c r="J1589" s="46" t="s">
        <v>1348</v>
      </c>
      <c r="K1589" s="46" t="s">
        <v>1348</v>
      </c>
      <c r="L1589" s="46" t="s">
        <v>1348</v>
      </c>
      <c r="M1589" s="46" t="s">
        <v>1348</v>
      </c>
      <c r="N1589" s="46" t="s">
        <v>1348</v>
      </c>
      <c r="O1589" s="46" t="s">
        <v>37</v>
      </c>
      <c r="P1589" s="46" t="s">
        <v>30</v>
      </c>
      <c r="Q1589" s="46" t="s">
        <v>30</v>
      </c>
      <c r="R1589" s="46" t="s">
        <v>30</v>
      </c>
      <c r="S1589" s="46" t="s">
        <v>30</v>
      </c>
      <c r="T1589" s="46" t="s">
        <v>30</v>
      </c>
      <c r="U1589" s="46" t="s">
        <v>30</v>
      </c>
      <c r="V1589" s="46" t="s">
        <v>37</v>
      </c>
      <c r="W1589" s="46" t="s">
        <v>30</v>
      </c>
      <c r="X1589" s="46" t="s">
        <v>30</v>
      </c>
      <c r="Y1589" s="46" t="s">
        <v>30</v>
      </c>
      <c r="Z1589" s="46" t="s">
        <v>30</v>
      </c>
      <c r="AA1589" s="46" t="s">
        <v>30</v>
      </c>
      <c r="AB1589" s="46" t="s">
        <v>37</v>
      </c>
      <c r="AC1589" s="46" t="s">
        <v>59</v>
      </c>
      <c r="AD1589" s="46" t="s">
        <v>59</v>
      </c>
      <c r="AE1589" s="46" t="s">
        <v>153</v>
      </c>
      <c r="AF1589" s="46" t="s">
        <v>59</v>
      </c>
      <c r="AG1589" s="46" t="s">
        <v>59</v>
      </c>
      <c r="AH1589" s="46" t="s">
        <v>43</v>
      </c>
      <c r="AI1589" s="46" t="s">
        <v>37</v>
      </c>
      <c r="AJ1589" s="46">
        <f>=SUM(E1590:AI1590)</f>
      </c>
      <c r="AK1589" s="46">
        <f>=+AY1589</f>
      </c>
      <c r="AL1589" s="46"/>
      <c r="AM1589" s="1"/>
      <c r="AN1589" s="1">
        <f>=COUNTIF(E1589:AI1589,"A")+COUNTIF(E1589:AI1589,"B")+COUNTIF(E1589:AI1589,"C")+COUNTIF(E1589:AI1589,"D")+COUNTIF(E1589:AI1589,"E")+COUNTIF(E1589:AI1589,"F")+COUNTIF(E1589:AI1589,"M")+COUNTIF(E1589:AI1589,"AB")+COUNTIF(E1589:AI1589,"UZ")+COUNTIF(E1589:AI1589,"G")+(COUNTIF(E1589:AI1589,"RT.")/2)+(COUNTIF(E1589:AI1589,"ÇRT.")/2)</f>
      </c>
      <c r="AO1589" s="1">
        <f>=COUNTIF(E1589:AI1589,"O")</f>
      </c>
      <c r="AP1589" s="1">
        <f>=COUNTIF(E1589:AI1589,"RT")+(COUNTIF(E1589:AI1589,"RT.")/2)</f>
      </c>
      <c r="AQ1589" s="1">
        <f>=COUNTIF(E1589:AI1589,"ÇRT")+(COUNTIF(E1589:AI1589,"ÇRT.")/2)</f>
      </c>
      <c r="AR1589" s="1">
        <f>=COUNTIF(E1589:AI1589,"ÇHT")</f>
      </c>
      <c r="AS1589" s="1">
        <f>=COUNTIF(E1589:AI1589,"Ö")+COUNTIF(E1589:AI1589,"T")</f>
      </c>
      <c r="AT1589" s="1">
        <f>=COUNTIF(E1589:AI1589,"Y")</f>
      </c>
      <c r="AU1589" s="1">
        <f>=COUNTIF(E1589:AI1589,"R.")</f>
      </c>
      <c r="AV1589" s="1">
        <f>=COUNTIF(E1589:AI1589,"Ü")</f>
      </c>
      <c r="AW1589" s="1">
        <f>=COUNTIF(E1589:AI1589,"R")</f>
      </c>
      <c r="AX1589" s="1">
        <f>=COUNTIF(E1589:AI1589,"DV")</f>
      </c>
      <c r="AY1589" s="1">
        <f>=+AN1589+AO1589+AP1589+AQ1589+AR1589+AS1589+AT1589+AU1589</f>
      </c>
    </row>
    <row r="1590" ht="16" customHeight="1" spans="1:51" x14ac:dyDescent="0.25">
      <c r="A1590" s="45"/>
      <c r="B1590" s="46"/>
      <c r="C1590" s="46"/>
      <c r="D1590" s="46" t="s">
        <v>33</v>
      </c>
      <c r="E1590" s="46"/>
      <c r="F1590" s="46"/>
      <c r="G1590" s="46"/>
      <c r="H1590" s="46"/>
      <c r="I1590" s="46"/>
      <c r="J1590" s="46"/>
      <c r="K1590" s="46"/>
      <c r="L1590" s="46"/>
      <c r="M1590" s="46"/>
      <c r="N1590" s="46"/>
      <c r="O1590" s="46"/>
      <c r="P1590" s="46"/>
      <c r="Q1590" s="46"/>
      <c r="R1590" s="46"/>
      <c r="S1590" s="46"/>
      <c r="T1590" s="46"/>
      <c r="U1590" s="46"/>
      <c r="V1590" s="46"/>
      <c r="W1590" s="46"/>
      <c r="X1590" s="46"/>
      <c r="Y1590" s="46"/>
      <c r="Z1590" s="46"/>
      <c r="AA1590" s="46"/>
      <c r="AB1590" s="46"/>
      <c r="AC1590" s="46"/>
      <c r="AD1590" s="46"/>
      <c r="AE1590" s="46"/>
      <c r="AF1590" s="46"/>
      <c r="AG1590" s="46"/>
      <c r="AH1590" s="46"/>
      <c r="AI1590" s="46"/>
      <c r="AJ1590" s="46"/>
      <c r="AK1590" s="46"/>
      <c r="AL1590" s="46"/>
      <c r="AM1590" s="1"/>
      <c r="AN1590" s="1"/>
      <c r="AO1590" s="1"/>
      <c r="AP1590" s="1"/>
      <c r="AQ1590" s="1"/>
      <c r="AR1590" s="1"/>
      <c r="AS1590" s="1"/>
      <c r="AT1590" s="1"/>
      <c r="AU1590" s="1"/>
      <c r="AV1590" s="1"/>
      <c r="AW1590" s="1"/>
      <c r="AX1590" s="1"/>
      <c r="AY1590" s="1"/>
    </row>
    <row r="1591" ht="16" customHeight="1" spans="1:51" x14ac:dyDescent="0.25">
      <c r="A1591" s="45"/>
      <c r="B1591" s="46" t="s">
        <v>1643</v>
      </c>
      <c r="C1591" s="46" t="s">
        <v>1644</v>
      </c>
      <c r="D1591" s="46" t="s">
        <v>29</v>
      </c>
      <c r="E1591" s="46" t="s">
        <v>30</v>
      </c>
      <c r="F1591" s="46" t="s">
        <v>30</v>
      </c>
      <c r="G1591" s="46" t="s">
        <v>30</v>
      </c>
      <c r="H1591" s="46" t="s">
        <v>30</v>
      </c>
      <c r="I1591" s="46" t="s">
        <v>37</v>
      </c>
      <c r="J1591" s="46" t="s">
        <v>30</v>
      </c>
      <c r="K1591" s="46" t="s">
        <v>30</v>
      </c>
      <c r="L1591" s="46" t="s">
        <v>30</v>
      </c>
      <c r="M1591" s="46" t="s">
        <v>30</v>
      </c>
      <c r="N1591" s="46" t="s">
        <v>30</v>
      </c>
      <c r="O1591" s="46" t="s">
        <v>30</v>
      </c>
      <c r="P1591" s="46" t="s">
        <v>37</v>
      </c>
      <c r="Q1591" s="46" t="s">
        <v>59</v>
      </c>
      <c r="R1591" s="46" t="s">
        <v>59</v>
      </c>
      <c r="S1591" s="46" t="s">
        <v>59</v>
      </c>
      <c r="T1591" s="46" t="s">
        <v>59</v>
      </c>
      <c r="U1591" s="46" t="s">
        <v>59</v>
      </c>
      <c r="V1591" s="46" t="s">
        <v>59</v>
      </c>
      <c r="W1591" s="46" t="s">
        <v>37</v>
      </c>
      <c r="X1591" s="46" t="s">
        <v>59</v>
      </c>
      <c r="Y1591" s="46" t="s">
        <v>59</v>
      </c>
      <c r="Z1591" s="46" t="s">
        <v>59</v>
      </c>
      <c r="AA1591" s="46" t="s">
        <v>59</v>
      </c>
      <c r="AB1591" s="46" t="s">
        <v>59</v>
      </c>
      <c r="AC1591" s="46" t="s">
        <v>59</v>
      </c>
      <c r="AD1591" s="46" t="s">
        <v>37</v>
      </c>
      <c r="AE1591" s="46" t="s">
        <v>59</v>
      </c>
      <c r="AF1591" s="46" t="s">
        <v>59</v>
      </c>
      <c r="AG1591" s="46" t="s">
        <v>59</v>
      </c>
      <c r="AH1591" s="46" t="s">
        <v>43</v>
      </c>
      <c r="AI1591" s="46" t="s">
        <v>59</v>
      </c>
      <c r="AJ1591" s="46">
        <f>=SUM(E1592:AI1592)</f>
      </c>
      <c r="AK1591" s="46">
        <f>=+AY1591</f>
      </c>
      <c r="AL1591" s="46"/>
      <c r="AM1591" s="1"/>
      <c r="AN1591" s="1">
        <f>=COUNTIF(E1591:AI1591,"A")+COUNTIF(E1591:AI1591,"B")+COUNTIF(E1591:AI1591,"C")+COUNTIF(E1591:AI1591,"D")+COUNTIF(E1591:AI1591,"E")+COUNTIF(E1591:AI1591,"F")+COUNTIF(E1591:AI1591,"M")+COUNTIF(E1591:AI1591,"AB")+COUNTIF(E1591:AI1591,"UZ")+COUNTIF(E1591:AI1591,"G")+(COUNTIF(E1591:AI1591,"RT.")/2)+(COUNTIF(E1591:AI1591,"ÇRT.")/2)</f>
      </c>
      <c r="AO1591" s="1">
        <f>=COUNTIF(E1591:AI1591,"O")</f>
      </c>
      <c r="AP1591" s="1">
        <f>=COUNTIF(E1591:AI1591,"RT")+(COUNTIF(E1591:AI1591,"RT.")/2)</f>
      </c>
      <c r="AQ1591" s="1">
        <f>=COUNTIF(E1591:AI1591,"ÇRT")+(COUNTIF(E1591:AI1591,"ÇRT.")/2)</f>
      </c>
      <c r="AR1591" s="1">
        <f>=COUNTIF(E1591:AI1591,"ÇHT")</f>
      </c>
      <c r="AS1591" s="1">
        <f>=COUNTIF(E1591:AI1591,"Ö")+COUNTIF(E1591:AI1591,"T")</f>
      </c>
      <c r="AT1591" s="1">
        <f>=COUNTIF(E1591:AI1591,"Y")</f>
      </c>
      <c r="AU1591" s="1">
        <f>=COUNTIF(E1591:AI1591,"R.")</f>
      </c>
      <c r="AV1591" s="1">
        <f>=COUNTIF(E1591:AI1591,"Ü")</f>
      </c>
      <c r="AW1591" s="1">
        <f>=COUNTIF(E1591:AI1591,"R")</f>
      </c>
      <c r="AX1591" s="1">
        <f>=COUNTIF(E1591:AI1591,"DV")</f>
      </c>
      <c r="AY1591" s="1">
        <f>=+AN1591+AO1591+AP1591+AQ1591+AR1591+AS1591+AT1591+AU1591</f>
      </c>
    </row>
    <row r="1592" ht="16" customHeight="1" spans="1:51" x14ac:dyDescent="0.25">
      <c r="A1592" s="45"/>
      <c r="B1592" s="46"/>
      <c r="C1592" s="46"/>
      <c r="D1592" s="46" t="s">
        <v>33</v>
      </c>
      <c r="E1592" s="46"/>
      <c r="F1592" s="46"/>
      <c r="G1592" s="46"/>
      <c r="H1592" s="46"/>
      <c r="I1592" s="46"/>
      <c r="J1592" s="46"/>
      <c r="K1592" s="46"/>
      <c r="L1592" s="46"/>
      <c r="M1592" s="46"/>
      <c r="N1592" s="46"/>
      <c r="O1592" s="46"/>
      <c r="P1592" s="46"/>
      <c r="Q1592" s="46"/>
      <c r="R1592" s="46"/>
      <c r="S1592" s="46"/>
      <c r="T1592" s="46"/>
      <c r="U1592" s="46"/>
      <c r="V1592" s="46"/>
      <c r="W1592" s="46"/>
      <c r="X1592" s="46"/>
      <c r="Y1592" s="46"/>
      <c r="Z1592" s="46"/>
      <c r="AA1592" s="46"/>
      <c r="AB1592" s="46"/>
      <c r="AC1592" s="46"/>
      <c r="AD1592" s="46"/>
      <c r="AE1592" s="46"/>
      <c r="AF1592" s="46"/>
      <c r="AG1592" s="46"/>
      <c r="AH1592" s="46"/>
      <c r="AI1592" s="46"/>
      <c r="AJ1592" s="46"/>
      <c r="AK1592" s="46"/>
      <c r="AL1592" s="46"/>
      <c r="AM1592" s="1"/>
      <c r="AN1592" s="1"/>
      <c r="AO1592" s="1"/>
      <c r="AP1592" s="1"/>
      <c r="AQ1592" s="1"/>
      <c r="AR1592" s="1"/>
      <c r="AS1592" s="1"/>
      <c r="AT1592" s="1"/>
      <c r="AU1592" s="1"/>
      <c r="AV1592" s="1"/>
      <c r="AW1592" s="1"/>
      <c r="AX1592" s="1"/>
      <c r="AY1592" s="1"/>
    </row>
    <row r="1593" ht="16" customHeight="1" spans="1:51" x14ac:dyDescent="0.25">
      <c r="A1593" s="45"/>
      <c r="B1593" s="46" t="s">
        <v>1645</v>
      </c>
      <c r="C1593" s="46" t="s">
        <v>1646</v>
      </c>
      <c r="D1593" s="46" t="s">
        <v>29</v>
      </c>
      <c r="E1593" s="46"/>
      <c r="F1593" s="46"/>
      <c r="G1593" s="46"/>
      <c r="H1593" s="46"/>
      <c r="I1593" s="46"/>
      <c r="J1593" s="46" t="s">
        <v>36</v>
      </c>
      <c r="K1593" s="46" t="s">
        <v>59</v>
      </c>
      <c r="L1593" s="46" t="s">
        <v>59</v>
      </c>
      <c r="M1593" s="46" t="s">
        <v>59</v>
      </c>
      <c r="N1593" s="46" t="s">
        <v>46</v>
      </c>
      <c r="O1593" s="46" t="s">
        <v>46</v>
      </c>
      <c r="P1593" s="46" t="s">
        <v>46</v>
      </c>
      <c r="Q1593" s="46" t="s">
        <v>46</v>
      </c>
      <c r="R1593" s="46" t="s">
        <v>46</v>
      </c>
      <c r="S1593" s="46" t="s">
        <v>46</v>
      </c>
      <c r="T1593" s="46" t="s">
        <v>37</v>
      </c>
      <c r="U1593" s="46" t="s">
        <v>46</v>
      </c>
      <c r="V1593" s="46" t="s">
        <v>46</v>
      </c>
      <c r="W1593" s="46" t="s">
        <v>46</v>
      </c>
      <c r="X1593" s="46" t="s">
        <v>46</v>
      </c>
      <c r="Y1593" s="46" t="s">
        <v>46</v>
      </c>
      <c r="Z1593" s="46" t="s">
        <v>46</v>
      </c>
      <c r="AA1593" s="46" t="s">
        <v>37</v>
      </c>
      <c r="AB1593" s="46" t="s">
        <v>46</v>
      </c>
      <c r="AC1593" s="46" t="s">
        <v>46</v>
      </c>
      <c r="AD1593" s="46" t="s">
        <v>46</v>
      </c>
      <c r="AE1593" s="46" t="s">
        <v>46</v>
      </c>
      <c r="AF1593" s="46" t="s">
        <v>46</v>
      </c>
      <c r="AG1593" s="46" t="s">
        <v>46</v>
      </c>
      <c r="AH1593" s="46" t="s">
        <v>43</v>
      </c>
      <c r="AI1593" s="46" t="s">
        <v>46</v>
      </c>
      <c r="AJ1593" s="46">
        <f>=SUM(E1594:AI1594)</f>
      </c>
      <c r="AK1593" s="46">
        <f>=+AY1593</f>
      </c>
      <c r="AL1593" s="46"/>
      <c r="AM1593" s="1"/>
      <c r="AN1593" s="1">
        <f>=COUNTIF(E1593:AI1593,"A")+COUNTIF(E1593:AI1593,"B")+COUNTIF(E1593:AI1593,"C")+COUNTIF(E1593:AI1593,"D")+COUNTIF(E1593:AI1593,"E")+COUNTIF(E1593:AI1593,"F")+COUNTIF(E1593:AI1593,"M")+COUNTIF(E1593:AI1593,"AB")+COUNTIF(E1593:AI1593,"UZ")+COUNTIF(E1593:AI1593,"G")+(COUNTIF(E1593:AI1593,"RT.")/2)+(COUNTIF(E1593:AI1593,"ÇRT.")/2)</f>
      </c>
      <c r="AO1593" s="1">
        <f>=COUNTIF(E1593:AI1593,"O")</f>
      </c>
      <c r="AP1593" s="1">
        <f>=COUNTIF(E1593:AI1593,"RT")+(COUNTIF(E1593:AI1593,"RT.")/2)</f>
      </c>
      <c r="AQ1593" s="1">
        <f>=COUNTIF(E1593:AI1593,"ÇRT")+(COUNTIF(E1593:AI1593,"ÇRT.")/2)</f>
      </c>
      <c r="AR1593" s="1">
        <f>=COUNTIF(E1593:AI1593,"ÇHT")</f>
      </c>
      <c r="AS1593" s="1">
        <f>=COUNTIF(E1593:AI1593,"Ö")+COUNTIF(E1593:AI1593,"T")</f>
      </c>
      <c r="AT1593" s="1">
        <f>=COUNTIF(E1593:AI1593,"Y")</f>
      </c>
      <c r="AU1593" s="1">
        <f>=COUNTIF(E1593:AI1593,"R.")</f>
      </c>
      <c r="AV1593" s="1">
        <f>=COUNTIF(E1593:AI1593,"Ü")</f>
      </c>
      <c r="AW1593" s="1">
        <f>=COUNTIF(E1593:AI1593,"R")</f>
      </c>
      <c r="AX1593" s="1">
        <f>=COUNTIF(E1593:AI1593,"DV")</f>
      </c>
      <c r="AY1593" s="1">
        <f>=+AN1593+AO1593+AP1593+AQ1593+AR1593+AS1593+AT1593+AU1593</f>
      </c>
    </row>
    <row r="1594" ht="16" customHeight="1" spans="1:51" x14ac:dyDescent="0.25">
      <c r="A1594" s="45"/>
      <c r="B1594" s="46"/>
      <c r="C1594" s="46"/>
      <c r="D1594" s="46" t="s">
        <v>33</v>
      </c>
      <c r="E1594" s="46"/>
      <c r="F1594" s="46"/>
      <c r="G1594" s="46"/>
      <c r="H1594" s="46"/>
      <c r="I1594" s="46"/>
      <c r="J1594" s="46"/>
      <c r="K1594" s="46"/>
      <c r="L1594" s="46"/>
      <c r="M1594" s="46"/>
      <c r="N1594" s="46"/>
      <c r="O1594" s="46"/>
      <c r="P1594" s="46"/>
      <c r="Q1594" s="46"/>
      <c r="R1594" s="46"/>
      <c r="S1594" s="46"/>
      <c r="T1594" s="46"/>
      <c r="U1594" s="46"/>
      <c r="V1594" s="46"/>
      <c r="W1594" s="46"/>
      <c r="X1594" s="46"/>
      <c r="Y1594" s="46"/>
      <c r="Z1594" s="46"/>
      <c r="AA1594" s="46"/>
      <c r="AB1594" s="46"/>
      <c r="AC1594" s="46"/>
      <c r="AD1594" s="46"/>
      <c r="AE1594" s="46"/>
      <c r="AF1594" s="46"/>
      <c r="AG1594" s="46"/>
      <c r="AH1594" s="46"/>
      <c r="AI1594" s="46"/>
      <c r="AJ1594" s="46"/>
      <c r="AK1594" s="46"/>
      <c r="AL1594" s="46"/>
      <c r="AM1594" s="1"/>
      <c r="AN1594" s="1"/>
      <c r="AO1594" s="1"/>
      <c r="AP1594" s="1"/>
      <c r="AQ1594" s="1"/>
      <c r="AR1594" s="1"/>
      <c r="AS1594" s="1"/>
      <c r="AT1594" s="1"/>
      <c r="AU1594" s="1"/>
      <c r="AV1594" s="1"/>
      <c r="AW1594" s="1"/>
      <c r="AX1594" s="1"/>
      <c r="AY1594" s="1"/>
    </row>
    <row r="1595" ht="16" customHeight="1" spans="1:51" x14ac:dyDescent="0.25">
      <c r="A1595" s="45"/>
      <c r="B1595" s="46" t="s">
        <v>1647</v>
      </c>
      <c r="C1595" s="46" t="s">
        <v>1648</v>
      </c>
      <c r="D1595" s="46" t="s">
        <v>29</v>
      </c>
      <c r="E1595" s="46" t="s">
        <v>36</v>
      </c>
      <c r="F1595" s="46" t="s">
        <v>36</v>
      </c>
      <c r="G1595" s="46" t="s">
        <v>36</v>
      </c>
      <c r="H1595" s="46" t="s">
        <v>36</v>
      </c>
      <c r="I1595" s="46" t="s">
        <v>36</v>
      </c>
      <c r="J1595" s="46" t="s">
        <v>36</v>
      </c>
      <c r="K1595" s="46" t="s">
        <v>37</v>
      </c>
      <c r="L1595" s="46" t="s">
        <v>36</v>
      </c>
      <c r="M1595" s="46" t="s">
        <v>36</v>
      </c>
      <c r="N1595" s="46" t="s">
        <v>36</v>
      </c>
      <c r="O1595" s="46" t="s">
        <v>36</v>
      </c>
      <c r="P1595" s="46" t="s">
        <v>36</v>
      </c>
      <c r="Q1595" s="46" t="s">
        <v>36</v>
      </c>
      <c r="R1595" s="46" t="s">
        <v>37</v>
      </c>
      <c r="S1595" s="46" t="s">
        <v>36</v>
      </c>
      <c r="T1595" s="46" t="s">
        <v>36</v>
      </c>
      <c r="U1595" s="46" t="s">
        <v>36</v>
      </c>
      <c r="V1595" s="46" t="s">
        <v>36</v>
      </c>
      <c r="W1595" s="46" t="s">
        <v>36</v>
      </c>
      <c r="X1595" s="46" t="s">
        <v>36</v>
      </c>
      <c r="Y1595" s="46" t="s">
        <v>37</v>
      </c>
      <c r="Z1595" s="46" t="s">
        <v>36</v>
      </c>
      <c r="AA1595" s="46" t="s">
        <v>36</v>
      </c>
      <c r="AB1595" s="46" t="s">
        <v>31</v>
      </c>
      <c r="AC1595" s="46" t="s">
        <v>31</v>
      </c>
      <c r="AD1595" s="46" t="s">
        <v>36</v>
      </c>
      <c r="AE1595" s="46" t="s">
        <v>36</v>
      </c>
      <c r="AF1595" s="46" t="s">
        <v>37</v>
      </c>
      <c r="AG1595" s="46" t="s">
        <v>36</v>
      </c>
      <c r="AH1595" s="46" t="s">
        <v>43</v>
      </c>
      <c r="AI1595" s="46"/>
      <c r="AJ1595" s="46">
        <f>=SUM(E1596:AI1596)</f>
      </c>
      <c r="AK1595" s="46">
        <f>=+AY1595</f>
      </c>
      <c r="AL1595" s="46"/>
      <c r="AM1595" s="1"/>
      <c r="AN1595" s="1">
        <f>=COUNTIF(E1595:AI1595,"A")+COUNTIF(E1595:AI1595,"B")+COUNTIF(E1595:AI1595,"C")+COUNTIF(E1595:AI1595,"D")+COUNTIF(E1595:AI1595,"E")+COUNTIF(E1595:AI1595,"F")+COUNTIF(E1595:AI1595,"M")+COUNTIF(E1595:AI1595,"AB")+COUNTIF(E1595:AI1595,"UZ")+COUNTIF(E1595:AI1595,"G")+(COUNTIF(E1595:AI1595,"RT.")/2)+(COUNTIF(E1595:AI1595,"ÇRT.")/2)</f>
      </c>
      <c r="AO1595" s="1">
        <f>=COUNTIF(E1595:AI1595,"O")</f>
      </c>
      <c r="AP1595" s="1">
        <f>=COUNTIF(E1595:AI1595,"RT")+(COUNTIF(E1595:AI1595,"RT.")/2)</f>
      </c>
      <c r="AQ1595" s="1">
        <f>=COUNTIF(E1595:AI1595,"ÇRT")+(COUNTIF(E1595:AI1595,"ÇRT.")/2)</f>
      </c>
      <c r="AR1595" s="1">
        <f>=COUNTIF(E1595:AI1595,"ÇHT")</f>
      </c>
      <c r="AS1595" s="1">
        <f>=COUNTIF(E1595:AI1595,"Ö")+COUNTIF(E1595:AI1595,"T")</f>
      </c>
      <c r="AT1595" s="1">
        <f>=COUNTIF(E1595:AI1595,"Y")</f>
      </c>
      <c r="AU1595" s="1">
        <f>=COUNTIF(E1595:AI1595,"R.")</f>
      </c>
      <c r="AV1595" s="1">
        <f>=COUNTIF(E1595:AI1595,"Ü")</f>
      </c>
      <c r="AW1595" s="1">
        <f>=COUNTIF(E1595:AI1595,"R")</f>
      </c>
      <c r="AX1595" s="1">
        <f>=COUNTIF(E1595:AI1595,"DV")</f>
      </c>
      <c r="AY1595" s="1">
        <f>=+AN1595+AO1595+AP1595+AQ1595+AR1595+AS1595+AT1595+AU1595</f>
      </c>
    </row>
    <row r="1596" ht="16" customHeight="1" spans="1:51" x14ac:dyDescent="0.25">
      <c r="A1596" s="45"/>
      <c r="B1596" s="46"/>
      <c r="C1596" s="46"/>
      <c r="D1596" s="46" t="s">
        <v>33</v>
      </c>
      <c r="E1596" s="46"/>
      <c r="F1596" s="46"/>
      <c r="G1596" s="46"/>
      <c r="H1596" s="46"/>
      <c r="I1596" s="46"/>
      <c r="J1596" s="46"/>
      <c r="K1596" s="46"/>
      <c r="L1596" s="46"/>
      <c r="M1596" s="46"/>
      <c r="N1596" s="46"/>
      <c r="O1596" s="46"/>
      <c r="P1596" s="46"/>
      <c r="Q1596" s="46"/>
      <c r="R1596" s="46"/>
      <c r="S1596" s="46"/>
      <c r="T1596" s="46"/>
      <c r="U1596" s="46"/>
      <c r="V1596" s="46"/>
      <c r="W1596" s="46"/>
      <c r="X1596" s="46"/>
      <c r="Y1596" s="46"/>
      <c r="Z1596" s="46"/>
      <c r="AA1596" s="46"/>
      <c r="AB1596" s="46"/>
      <c r="AC1596" s="46"/>
      <c r="AD1596" s="46"/>
      <c r="AE1596" s="46"/>
      <c r="AF1596" s="46"/>
      <c r="AG1596" s="46"/>
      <c r="AH1596" s="46"/>
      <c r="AI1596" s="46"/>
      <c r="AJ1596" s="46"/>
      <c r="AK1596" s="46"/>
      <c r="AL1596" s="46"/>
      <c r="AM1596" s="1"/>
      <c r="AN1596" s="1"/>
      <c r="AO1596" s="1"/>
      <c r="AP1596" s="1"/>
      <c r="AQ1596" s="1"/>
      <c r="AR1596" s="1"/>
      <c r="AS1596" s="1"/>
      <c r="AT1596" s="1"/>
      <c r="AU1596" s="1"/>
      <c r="AV1596" s="1"/>
      <c r="AW1596" s="1"/>
      <c r="AX1596" s="1"/>
      <c r="AY1596" s="1"/>
    </row>
    <row r="1597" ht="16" customHeight="1" spans="1:51" x14ac:dyDescent="0.25">
      <c r="A1597" s="45"/>
      <c r="B1597" s="46" t="s">
        <v>1649</v>
      </c>
      <c r="C1597" s="46" t="s">
        <v>1650</v>
      </c>
      <c r="D1597" s="46" t="s">
        <v>29</v>
      </c>
      <c r="E1597" s="46" t="s">
        <v>42</v>
      </c>
      <c r="F1597" s="46" t="s">
        <v>37</v>
      </c>
      <c r="G1597" s="46" t="s">
        <v>42</v>
      </c>
      <c r="H1597" s="46" t="s">
        <v>42</v>
      </c>
      <c r="I1597" s="46" t="s">
        <v>42</v>
      </c>
      <c r="J1597" s="46" t="s">
        <v>42</v>
      </c>
      <c r="K1597" s="46" t="s">
        <v>42</v>
      </c>
      <c r="L1597" s="46" t="s">
        <v>42</v>
      </c>
      <c r="M1597" s="46" t="s">
        <v>37</v>
      </c>
      <c r="N1597" s="46" t="s">
        <v>42</v>
      </c>
      <c r="O1597" s="46" t="s">
        <v>42</v>
      </c>
      <c r="P1597" s="46" t="s">
        <v>42</v>
      </c>
      <c r="Q1597" s="46" t="s">
        <v>42</v>
      </c>
      <c r="R1597" s="46" t="s">
        <v>42</v>
      </c>
      <c r="S1597" s="46" t="s">
        <v>42</v>
      </c>
      <c r="T1597" s="46" t="s">
        <v>37</v>
      </c>
      <c r="U1597" s="46" t="s">
        <v>31</v>
      </c>
      <c r="V1597" s="46" t="s">
        <v>42</v>
      </c>
      <c r="W1597" s="46" t="s">
        <v>42</v>
      </c>
      <c r="X1597" s="46" t="s">
        <v>42</v>
      </c>
      <c r="Y1597" s="46" t="s">
        <v>42</v>
      </c>
      <c r="Z1597" s="46" t="s">
        <v>42</v>
      </c>
      <c r="AA1597" s="46" t="s">
        <v>37</v>
      </c>
      <c r="AB1597" s="46" t="s">
        <v>42</v>
      </c>
      <c r="AC1597" s="46" t="s">
        <v>42</v>
      </c>
      <c r="AD1597" s="46" t="s">
        <v>42</v>
      </c>
      <c r="AE1597" s="46" t="s">
        <v>37</v>
      </c>
      <c r="AF1597" s="46" t="s">
        <v>42</v>
      </c>
      <c r="AG1597" s="46" t="s">
        <v>42</v>
      </c>
      <c r="AH1597" s="46"/>
      <c r="AI1597" s="46"/>
      <c r="AJ1597" s="46">
        <f>=SUM(E1598:AI1598)</f>
      </c>
      <c r="AK1597" s="46">
        <f>=+AY1597</f>
      </c>
      <c r="AL1597" s="46"/>
      <c r="AM1597" s="1"/>
      <c r="AN1597" s="1">
        <f>=COUNTIF(E1597:AI1597,"A")+COUNTIF(E1597:AI1597,"B")+COUNTIF(E1597:AI1597,"C")+COUNTIF(E1597:AI1597,"D")+COUNTIF(E1597:AI1597,"E")+COUNTIF(E1597:AI1597,"F")+COUNTIF(E1597:AI1597,"M")+COUNTIF(E1597:AI1597,"AB")+COUNTIF(E1597:AI1597,"UZ")+COUNTIF(E1597:AI1597,"G")+(COUNTIF(E1597:AI1597,"RT.")/2)+(COUNTIF(E1597:AI1597,"ÇRT.")/2)</f>
      </c>
      <c r="AO1597" s="1">
        <f>=COUNTIF(E1597:AI1597,"O")</f>
      </c>
      <c r="AP1597" s="1">
        <f>=COUNTIF(E1597:AI1597,"RT")+(COUNTIF(E1597:AI1597,"RT.")/2)</f>
      </c>
      <c r="AQ1597" s="1">
        <f>=COUNTIF(E1597:AI1597,"ÇRT")+(COUNTIF(E1597:AI1597,"ÇRT.")/2)</f>
      </c>
      <c r="AR1597" s="1">
        <f>=COUNTIF(E1597:AI1597,"ÇHT")</f>
      </c>
      <c r="AS1597" s="1">
        <f>=COUNTIF(E1597:AI1597,"Ö")+COUNTIF(E1597:AI1597,"T")</f>
      </c>
      <c r="AT1597" s="1">
        <f>=COUNTIF(E1597:AI1597,"Y")</f>
      </c>
      <c r="AU1597" s="1">
        <f>=COUNTIF(E1597:AI1597,"R.")</f>
      </c>
      <c r="AV1597" s="1">
        <f>=COUNTIF(E1597:AI1597,"Ü")</f>
      </c>
      <c r="AW1597" s="1">
        <f>=COUNTIF(E1597:AI1597,"R")</f>
      </c>
      <c r="AX1597" s="1">
        <f>=COUNTIF(E1597:AI1597,"DV")</f>
      </c>
      <c r="AY1597" s="1">
        <f>=+AN1597+AO1597+AP1597+AQ1597+AR1597+AS1597+AT1597+AU1597</f>
      </c>
    </row>
    <row r="1598" ht="16" customHeight="1" spans="1:51" x14ac:dyDescent="0.25">
      <c r="A1598" s="45"/>
      <c r="B1598" s="46"/>
      <c r="C1598" s="46"/>
      <c r="D1598" s="46" t="s">
        <v>33</v>
      </c>
      <c r="E1598" s="46"/>
      <c r="F1598" s="46"/>
      <c r="G1598" s="46"/>
      <c r="H1598" s="46"/>
      <c r="I1598" s="46"/>
      <c r="J1598" s="46"/>
      <c r="K1598" s="46"/>
      <c r="L1598" s="46"/>
      <c r="M1598" s="46"/>
      <c r="N1598" s="46"/>
      <c r="O1598" s="46"/>
      <c r="P1598" s="46"/>
      <c r="Q1598" s="46"/>
      <c r="R1598" s="46"/>
      <c r="S1598" s="46"/>
      <c r="T1598" s="46"/>
      <c r="U1598" s="46"/>
      <c r="V1598" s="46"/>
      <c r="W1598" s="46"/>
      <c r="X1598" s="46"/>
      <c r="Y1598" s="46"/>
      <c r="Z1598" s="46"/>
      <c r="AA1598" s="46"/>
      <c r="AB1598" s="46"/>
      <c r="AC1598" s="46"/>
      <c r="AD1598" s="46"/>
      <c r="AE1598" s="46"/>
      <c r="AF1598" s="46"/>
      <c r="AG1598" s="46"/>
      <c r="AH1598" s="46"/>
      <c r="AI1598" s="46">
        <v>0</v>
      </c>
      <c r="AJ1598" s="46"/>
      <c r="AK1598" s="46"/>
      <c r="AL1598" s="46"/>
      <c r="AM1598" s="1"/>
      <c r="AN1598" s="1"/>
      <c r="AO1598" s="1"/>
      <c r="AP1598" s="1"/>
      <c r="AQ1598" s="1"/>
      <c r="AR1598" s="1"/>
      <c r="AS1598" s="1"/>
      <c r="AT1598" s="1"/>
      <c r="AU1598" s="1"/>
      <c r="AV1598" s="1"/>
      <c r="AW1598" s="1"/>
      <c r="AX1598" s="1"/>
      <c r="AY1598" s="1"/>
    </row>
    <row r="1599" ht="16" customHeight="1" spans="1:51" x14ac:dyDescent="0.25">
      <c r="A1599" s="45"/>
      <c r="B1599" s="46" t="s">
        <v>1651</v>
      </c>
      <c r="C1599" s="46" t="s">
        <v>1652</v>
      </c>
      <c r="D1599" s="46" t="s">
        <v>29</v>
      </c>
      <c r="E1599" s="46" t="s">
        <v>36</v>
      </c>
      <c r="F1599" s="46" t="s">
        <v>36</v>
      </c>
      <c r="G1599" s="46" t="s">
        <v>36</v>
      </c>
      <c r="H1599" s="46" t="s">
        <v>36</v>
      </c>
      <c r="I1599" s="46" t="s">
        <v>36</v>
      </c>
      <c r="J1599" s="46" t="s">
        <v>37</v>
      </c>
      <c r="K1599" s="46" t="s">
        <v>36</v>
      </c>
      <c r="L1599" s="46" t="s">
        <v>36</v>
      </c>
      <c r="M1599" s="46" t="s">
        <v>36</v>
      </c>
      <c r="N1599" s="46" t="s">
        <v>36</v>
      </c>
      <c r="O1599" s="46" t="s">
        <v>36</v>
      </c>
      <c r="P1599" s="46" t="s">
        <v>36</v>
      </c>
      <c r="Q1599" s="46" t="s">
        <v>37</v>
      </c>
      <c r="R1599" s="46" t="s">
        <v>36</v>
      </c>
      <c r="S1599" s="46" t="s">
        <v>36</v>
      </c>
      <c r="T1599" s="46" t="s">
        <v>36</v>
      </c>
      <c r="U1599" s="46" t="s">
        <v>36</v>
      </c>
      <c r="V1599" s="46" t="s">
        <v>36</v>
      </c>
      <c r="W1599" s="46" t="s">
        <v>37</v>
      </c>
      <c r="X1599" s="46" t="s">
        <v>36</v>
      </c>
      <c r="Y1599" s="46" t="s">
        <v>36</v>
      </c>
      <c r="Z1599" s="46" t="s">
        <v>36</v>
      </c>
      <c r="AA1599" s="46" t="s">
        <v>36</v>
      </c>
      <c r="AB1599" s="46" t="s">
        <v>36</v>
      </c>
      <c r="AC1599" s="46" t="s">
        <v>36</v>
      </c>
      <c r="AD1599" s="46" t="s">
        <v>37</v>
      </c>
      <c r="AE1599" s="46" t="s">
        <v>36</v>
      </c>
      <c r="AF1599" s="46" t="s">
        <v>36</v>
      </c>
      <c r="AG1599" s="46" t="s">
        <v>36</v>
      </c>
      <c r="AH1599" s="46" t="s">
        <v>43</v>
      </c>
      <c r="AI1599" s="46" t="s">
        <v>36</v>
      </c>
      <c r="AJ1599" s="46">
        <f>=SUM(E1600:AI1600)</f>
      </c>
      <c r="AK1599" s="46">
        <f>=+AY1599</f>
      </c>
      <c r="AL1599" s="46"/>
      <c r="AM1599" s="1"/>
      <c r="AN1599" s="1">
        <f>=COUNTIF(E1599:AI1599,"A")+COUNTIF(E1599:AI1599,"B")+COUNTIF(E1599:AI1599,"C")+COUNTIF(E1599:AI1599,"D")+COUNTIF(E1599:AI1599,"E")+COUNTIF(E1599:AI1599,"F")+COUNTIF(E1599:AI1599,"M")+COUNTIF(E1599:AI1599,"AB")+COUNTIF(E1599:AI1599,"UZ")+COUNTIF(E1599:AI1599,"G")+(COUNTIF(E1599:AI1599,"RT.")/2)+(COUNTIF(E1599:AI1599,"ÇRT.")/2)</f>
      </c>
      <c r="AO1599" s="1">
        <f>=COUNTIF(E1599:AI1599,"O")</f>
      </c>
      <c r="AP1599" s="1">
        <f>=COUNTIF(E1599:AI1599,"RT")+(COUNTIF(E1599:AI1599,"RT.")/2)</f>
      </c>
      <c r="AQ1599" s="1">
        <f>=COUNTIF(E1599:AI1599,"ÇRT")+(COUNTIF(E1599:AI1599,"ÇRT.")/2)</f>
      </c>
      <c r="AR1599" s="1">
        <f>=COUNTIF(E1599:AI1599,"ÇHT")</f>
      </c>
      <c r="AS1599" s="1">
        <f>=COUNTIF(E1599:AI1599,"Ö")+COUNTIF(E1599:AI1599,"T")</f>
      </c>
      <c r="AT1599" s="1">
        <f>=COUNTIF(E1599:AI1599,"Y")</f>
      </c>
      <c r="AU1599" s="1">
        <f>=COUNTIF(E1599:AI1599,"R.")</f>
      </c>
      <c r="AV1599" s="1">
        <f>=COUNTIF(E1599:AI1599,"Ü")</f>
      </c>
      <c r="AW1599" s="1">
        <f>=COUNTIF(E1599:AI1599,"R")</f>
      </c>
      <c r="AX1599" s="1">
        <f>=COUNTIF(E1599:AI1599,"DV")</f>
      </c>
      <c r="AY1599" s="1">
        <f>=+AN1599+AO1599+AP1599+AQ1599+AR1599+AS1599+AT1599+AU1599</f>
      </c>
    </row>
    <row r="1600" ht="16" customHeight="1" spans="1:51" x14ac:dyDescent="0.25">
      <c r="A1600" s="45"/>
      <c r="B1600" s="46"/>
      <c r="C1600" s="46"/>
      <c r="D1600" s="46" t="s">
        <v>33</v>
      </c>
      <c r="E1600" s="46"/>
      <c r="F1600" s="46"/>
      <c r="G1600" s="46">
        <v>3</v>
      </c>
      <c r="H1600" s="46"/>
      <c r="I1600" s="46"/>
      <c r="J1600" s="46"/>
      <c r="K1600" s="46"/>
      <c r="L1600" s="46"/>
      <c r="M1600" s="46"/>
      <c r="N1600" s="46"/>
      <c r="O1600" s="46"/>
      <c r="P1600" s="46"/>
      <c r="Q1600" s="46"/>
      <c r="R1600" s="46"/>
      <c r="S1600" s="46">
        <v>2</v>
      </c>
      <c r="T1600" s="46">
        <v>2</v>
      </c>
      <c r="U1600" s="46"/>
      <c r="V1600" s="46"/>
      <c r="W1600" s="46"/>
      <c r="X1600" s="46"/>
      <c r="Y1600" s="46"/>
      <c r="Z1600" s="46"/>
      <c r="AA1600" s="46">
        <v>1</v>
      </c>
      <c r="AB1600" s="46">
        <v>1</v>
      </c>
      <c r="AC1600" s="46"/>
      <c r="AD1600" s="46"/>
      <c r="AE1600" s="46"/>
      <c r="AF1600" s="46"/>
      <c r="AG1600" s="46"/>
      <c r="AH1600" s="46"/>
      <c r="AI1600" s="46">
        <v>1</v>
      </c>
      <c r="AJ1600" s="46"/>
      <c r="AK1600" s="46"/>
      <c r="AL1600" s="46"/>
      <c r="AM1600" s="1"/>
      <c r="AN1600" s="1"/>
      <c r="AO1600" s="1"/>
      <c r="AP1600" s="1"/>
      <c r="AQ1600" s="1"/>
      <c r="AR1600" s="1"/>
      <c r="AS1600" s="1"/>
      <c r="AT1600" s="1"/>
      <c r="AU1600" s="1"/>
      <c r="AV1600" s="1"/>
      <c r="AW1600" s="1"/>
      <c r="AX1600" s="1"/>
      <c r="AY1600" s="1"/>
    </row>
    <row r="1601" ht="16" customHeight="1" spans="1:51" x14ac:dyDescent="0.25">
      <c r="A1601" s="45"/>
      <c r="B1601" s="46" t="s">
        <v>1653</v>
      </c>
      <c r="C1601" s="46" t="s">
        <v>1654</v>
      </c>
      <c r="D1601" s="46" t="s">
        <v>29</v>
      </c>
      <c r="E1601" s="46" t="s">
        <v>36</v>
      </c>
      <c r="F1601" s="46" t="s">
        <v>36</v>
      </c>
      <c r="G1601" s="46" t="s">
        <v>37</v>
      </c>
      <c r="H1601" s="46" t="s">
        <v>36</v>
      </c>
      <c r="I1601" s="46" t="s">
        <v>36</v>
      </c>
      <c r="J1601" s="46" t="s">
        <v>36</v>
      </c>
      <c r="K1601" s="46" t="s">
        <v>36</v>
      </c>
      <c r="L1601" s="46" t="s">
        <v>36</v>
      </c>
      <c r="M1601" s="46" t="s">
        <v>36</v>
      </c>
      <c r="N1601" s="46" t="s">
        <v>37</v>
      </c>
      <c r="O1601" s="46" t="s">
        <v>36</v>
      </c>
      <c r="P1601" s="46" t="s">
        <v>36</v>
      </c>
      <c r="Q1601" s="46"/>
      <c r="R1601" s="46"/>
      <c r="S1601" s="46"/>
      <c r="T1601" s="46"/>
      <c r="U1601" s="46"/>
      <c r="V1601" s="46"/>
      <c r="W1601" s="46"/>
      <c r="X1601" s="46"/>
      <c r="Y1601" s="46"/>
      <c r="Z1601" s="46"/>
      <c r="AA1601" s="46"/>
      <c r="AB1601" s="46"/>
      <c r="AC1601" s="46"/>
      <c r="AD1601" s="46"/>
      <c r="AE1601" s="46"/>
      <c r="AF1601" s="46"/>
      <c r="AG1601" s="46"/>
      <c r="AH1601" s="46"/>
      <c r="AI1601" s="46"/>
      <c r="AJ1601" s="46">
        <f>=SUM(E1602:AI1602)</f>
      </c>
      <c r="AK1601" s="46">
        <f>=+AY1601</f>
      </c>
      <c r="AL1601" s="46"/>
      <c r="AM1601" s="1"/>
      <c r="AN1601" s="1">
        <f>=COUNTIF(E1601:AI1601,"A")+COUNTIF(E1601:AI1601,"B")+COUNTIF(E1601:AI1601,"C")+COUNTIF(E1601:AI1601,"D")+COUNTIF(E1601:AI1601,"E")+COUNTIF(E1601:AI1601,"F")+COUNTIF(E1601:AI1601,"M")+COUNTIF(E1601:AI1601,"AB")+COUNTIF(E1601:AI1601,"UZ")+COUNTIF(E1601:AI1601,"G")+(COUNTIF(E1601:AI1601,"RT.")/2)+(COUNTIF(E1601:AI1601,"ÇRT.")/2)</f>
      </c>
      <c r="AO1601" s="1">
        <f>=COUNTIF(E1601:AI1601,"O")</f>
      </c>
      <c r="AP1601" s="1">
        <f>=COUNTIF(E1601:AI1601,"RT")+(COUNTIF(E1601:AI1601,"RT.")/2)</f>
      </c>
      <c r="AQ1601" s="1">
        <f>=COUNTIF(E1601:AI1601,"ÇRT")+(COUNTIF(E1601:AI1601,"ÇRT.")/2)</f>
      </c>
      <c r="AR1601" s="1">
        <f>=COUNTIF(E1601:AI1601,"ÇHT")</f>
      </c>
      <c r="AS1601" s="1">
        <f>=COUNTIF(E1601:AI1601,"Ö")+COUNTIF(E1601:AI1601,"T")</f>
      </c>
      <c r="AT1601" s="1">
        <f>=COUNTIF(E1601:AI1601,"Y")</f>
      </c>
      <c r="AU1601" s="1">
        <f>=COUNTIF(E1601:AI1601,"R.")</f>
      </c>
      <c r="AV1601" s="1">
        <f>=COUNTIF(E1601:AI1601,"Ü")</f>
      </c>
      <c r="AW1601" s="1">
        <f>=COUNTIF(E1601:AI1601,"R")</f>
      </c>
      <c r="AX1601" s="1">
        <f>=COUNTIF(E1601:AI1601,"DV")</f>
      </c>
      <c r="AY1601" s="1">
        <f>=+AN1601+AO1601+AP1601+AQ1601+AR1601+AS1601+AT1601+AU1601</f>
      </c>
    </row>
    <row r="1602" ht="16" customHeight="1" spans="1:51" x14ac:dyDescent="0.25">
      <c r="A1602" s="45"/>
      <c r="B1602" s="46"/>
      <c r="C1602" s="46"/>
      <c r="D1602" s="46" t="s">
        <v>33</v>
      </c>
      <c r="E1602" s="46"/>
      <c r="F1602" s="46"/>
      <c r="G1602" s="46"/>
      <c r="H1602" s="46"/>
      <c r="I1602" s="46"/>
      <c r="J1602" s="46"/>
      <c r="K1602" s="46"/>
      <c r="L1602" s="46"/>
      <c r="M1602" s="46"/>
      <c r="N1602" s="46"/>
      <c r="O1602" s="46"/>
      <c r="P1602" s="46"/>
      <c r="Q1602" s="46"/>
      <c r="R1602" s="46"/>
      <c r="S1602" s="46"/>
      <c r="T1602" s="46"/>
      <c r="U1602" s="46"/>
      <c r="V1602" s="46"/>
      <c r="W1602" s="46"/>
      <c r="X1602" s="46"/>
      <c r="Y1602" s="46"/>
      <c r="Z1602" s="46"/>
      <c r="AA1602" s="46"/>
      <c r="AB1602" s="46"/>
      <c r="AC1602" s="46"/>
      <c r="AD1602" s="46"/>
      <c r="AE1602" s="46"/>
      <c r="AF1602" s="46"/>
      <c r="AG1602" s="46"/>
      <c r="AH1602" s="46"/>
      <c r="AI1602" s="46"/>
      <c r="AJ1602" s="46"/>
      <c r="AK1602" s="46"/>
      <c r="AL1602" s="46"/>
      <c r="AM1602" s="1"/>
      <c r="AN1602" s="1"/>
      <c r="AO1602" s="1"/>
      <c r="AP1602" s="1"/>
      <c r="AQ1602" s="1"/>
      <c r="AR1602" s="1"/>
      <c r="AS1602" s="1"/>
      <c r="AT1602" s="1"/>
      <c r="AU1602" s="1"/>
      <c r="AV1602" s="1"/>
      <c r="AW1602" s="1"/>
      <c r="AX1602" s="1"/>
      <c r="AY1602" s="1"/>
    </row>
    <row r="1603" ht="16" customHeight="1" spans="1:51" x14ac:dyDescent="0.25">
      <c r="A1603" s="45"/>
      <c r="B1603" s="46" t="s">
        <v>1655</v>
      </c>
      <c r="C1603" s="46" t="s">
        <v>1656</v>
      </c>
      <c r="D1603" s="46" t="s">
        <v>29</v>
      </c>
      <c r="E1603" s="46" t="s">
        <v>59</v>
      </c>
      <c r="F1603" s="46" t="s">
        <v>59</v>
      </c>
      <c r="G1603" s="46" t="s">
        <v>59</v>
      </c>
      <c r="H1603" s="46" t="s">
        <v>59</v>
      </c>
      <c r="I1603" s="46" t="s">
        <v>59</v>
      </c>
      <c r="J1603" s="46" t="s">
        <v>37</v>
      </c>
      <c r="K1603" s="46" t="s">
        <v>59</v>
      </c>
      <c r="L1603" s="46" t="s">
        <v>59</v>
      </c>
      <c r="M1603" s="46" t="s">
        <v>59</v>
      </c>
      <c r="N1603" s="46" t="s">
        <v>59</v>
      </c>
      <c r="O1603" s="46" t="s">
        <v>59</v>
      </c>
      <c r="P1603" s="46" t="s">
        <v>59</v>
      </c>
      <c r="Q1603" s="46" t="s">
        <v>37</v>
      </c>
      <c r="R1603" s="46" t="s">
        <v>59</v>
      </c>
      <c r="S1603" s="46" t="s">
        <v>59</v>
      </c>
      <c r="T1603" s="46" t="s">
        <v>59</v>
      </c>
      <c r="U1603" s="46" t="s">
        <v>59</v>
      </c>
      <c r="V1603" s="46" t="s">
        <v>59</v>
      </c>
      <c r="W1603" s="46" t="s">
        <v>59</v>
      </c>
      <c r="X1603" s="46" t="s">
        <v>59</v>
      </c>
      <c r="Y1603" s="46" t="s">
        <v>59</v>
      </c>
      <c r="Z1603" s="46" t="s">
        <v>59</v>
      </c>
      <c r="AA1603" s="46" t="s">
        <v>37</v>
      </c>
      <c r="AB1603" s="46" t="s">
        <v>59</v>
      </c>
      <c r="AC1603" s="46" t="s">
        <v>59</v>
      </c>
      <c r="AD1603" s="46" t="s">
        <v>59</v>
      </c>
      <c r="AE1603" s="46" t="s">
        <v>59</v>
      </c>
      <c r="AF1603" s="46" t="s">
        <v>59</v>
      </c>
      <c r="AG1603" s="46" t="s">
        <v>59</v>
      </c>
      <c r="AH1603" s="46" t="s">
        <v>37</v>
      </c>
      <c r="AI1603" s="46" t="s">
        <v>46</v>
      </c>
      <c r="AJ1603" s="46">
        <f>=SUM(E1604:AI1604)</f>
      </c>
      <c r="AK1603" s="46">
        <f>=+AY1603</f>
      </c>
      <c r="AL1603" s="46"/>
      <c r="AM1603" s="1"/>
      <c r="AN1603" s="1">
        <f>=COUNTIF(E1603:AI1603,"A")+COUNTIF(E1603:AI1603,"B")+COUNTIF(E1603:AI1603,"C")+COUNTIF(E1603:AI1603,"D")+COUNTIF(E1603:AI1603,"E")+COUNTIF(E1603:AI1603,"F")+COUNTIF(E1603:AI1603,"M")+COUNTIF(E1603:AI1603,"AB")+COUNTIF(E1603:AI1603,"UZ")+COUNTIF(E1603:AI1603,"G")+(COUNTIF(E1603:AI1603,"RT.")/2)+(COUNTIF(E1603:AI1603,"ÇRT.")/2)</f>
      </c>
      <c r="AO1603" s="1">
        <f>=COUNTIF(E1603:AI1603,"O")</f>
      </c>
      <c r="AP1603" s="1">
        <f>=COUNTIF(E1603:AI1603,"RT")+(COUNTIF(E1603:AI1603,"RT.")/2)</f>
      </c>
      <c r="AQ1603" s="1">
        <f>=COUNTIF(E1603:AI1603,"ÇRT")+(COUNTIF(E1603:AI1603,"ÇRT.")/2)</f>
      </c>
      <c r="AR1603" s="1">
        <f>=COUNTIF(E1603:AI1603,"ÇHT")</f>
      </c>
      <c r="AS1603" s="1">
        <f>=COUNTIF(E1603:AI1603,"Ö")+COUNTIF(E1603:AI1603,"T")</f>
      </c>
      <c r="AT1603" s="1">
        <f>=COUNTIF(E1603:AI1603,"Y")</f>
      </c>
      <c r="AU1603" s="1">
        <f>=COUNTIF(E1603:AI1603,"R.")</f>
      </c>
      <c r="AV1603" s="1">
        <f>=COUNTIF(E1603:AI1603,"Ü")</f>
      </c>
      <c r="AW1603" s="1">
        <f>=COUNTIF(E1603:AI1603,"R")</f>
      </c>
      <c r="AX1603" s="1">
        <f>=COUNTIF(E1603:AI1603,"DV")</f>
      </c>
      <c r="AY1603" s="1">
        <f>=+AN1603+AO1603+AP1603+AQ1603+AR1603+AS1603+AT1603+AU1603</f>
      </c>
    </row>
    <row r="1604" ht="16" customHeight="1" spans="1:51" x14ac:dyDescent="0.25">
      <c r="A1604" s="45"/>
      <c r="B1604" s="46"/>
      <c r="C1604" s="46"/>
      <c r="D1604" s="46" t="s">
        <v>33</v>
      </c>
      <c r="E1604" s="46"/>
      <c r="F1604" s="46"/>
      <c r="G1604" s="46"/>
      <c r="H1604" s="46"/>
      <c r="I1604" s="46"/>
      <c r="J1604" s="46"/>
      <c r="K1604" s="46"/>
      <c r="L1604" s="46"/>
      <c r="M1604" s="46"/>
      <c r="N1604" s="46"/>
      <c r="O1604" s="46"/>
      <c r="P1604" s="46"/>
      <c r="Q1604" s="46"/>
      <c r="R1604" s="46"/>
      <c r="S1604" s="46"/>
      <c r="T1604" s="46"/>
      <c r="U1604" s="46"/>
      <c r="V1604" s="46"/>
      <c r="W1604" s="46">
        <v>2</v>
      </c>
      <c r="X1604" s="46"/>
      <c r="Y1604" s="46"/>
      <c r="Z1604" s="46"/>
      <c r="AA1604" s="46"/>
      <c r="AB1604" s="46"/>
      <c r="AC1604" s="46"/>
      <c r="AD1604" s="46"/>
      <c r="AE1604" s="46"/>
      <c r="AF1604" s="46"/>
      <c r="AG1604" s="46"/>
      <c r="AH1604" s="46"/>
      <c r="AI1604" s="46"/>
      <c r="AJ1604" s="46"/>
      <c r="AK1604" s="46"/>
      <c r="AL1604" s="46"/>
      <c r="AM1604" s="1"/>
      <c r="AN1604" s="1"/>
      <c r="AO1604" s="1"/>
      <c r="AP1604" s="1"/>
      <c r="AQ1604" s="1"/>
      <c r="AR1604" s="1"/>
      <c r="AS1604" s="1"/>
      <c r="AT1604" s="1"/>
      <c r="AU1604" s="1"/>
      <c r="AV1604" s="1"/>
      <c r="AW1604" s="1"/>
      <c r="AX1604" s="1"/>
      <c r="AY1604" s="1"/>
    </row>
    <row r="1605" ht="16" customHeight="1" spans="1:51" x14ac:dyDescent="0.25">
      <c r="A1605" s="45"/>
      <c r="B1605" s="46" t="s">
        <v>1657</v>
      </c>
      <c r="C1605" s="46" t="s">
        <v>1658</v>
      </c>
      <c r="D1605" s="46" t="s">
        <v>29</v>
      </c>
      <c r="E1605" s="46" t="s">
        <v>59</v>
      </c>
      <c r="F1605" s="46" t="s">
        <v>59</v>
      </c>
      <c r="G1605" s="46" t="s">
        <v>59</v>
      </c>
      <c r="H1605" s="46" t="s">
        <v>37</v>
      </c>
      <c r="I1605" s="46" t="s">
        <v>59</v>
      </c>
      <c r="J1605" s="46" t="s">
        <v>59</v>
      </c>
      <c r="K1605" s="46" t="s">
        <v>59</v>
      </c>
      <c r="L1605" s="46" t="s">
        <v>59</v>
      </c>
      <c r="M1605" s="46" t="s">
        <v>59</v>
      </c>
      <c r="N1605" s="46" t="s">
        <v>59</v>
      </c>
      <c r="O1605" s="46" t="s">
        <v>37</v>
      </c>
      <c r="P1605" s="46" t="s">
        <v>59</v>
      </c>
      <c r="Q1605" s="46" t="s">
        <v>59</v>
      </c>
      <c r="R1605" s="46" t="s">
        <v>59</v>
      </c>
      <c r="S1605" s="46" t="s">
        <v>59</v>
      </c>
      <c r="T1605" s="46" t="s">
        <v>59</v>
      </c>
      <c r="U1605" s="46" t="s">
        <v>59</v>
      </c>
      <c r="V1605" s="46" t="s">
        <v>37</v>
      </c>
      <c r="W1605" s="46" t="s">
        <v>59</v>
      </c>
      <c r="X1605" s="46" t="s">
        <v>59</v>
      </c>
      <c r="Y1605" s="46" t="s">
        <v>59</v>
      </c>
      <c r="Z1605" s="46" t="s">
        <v>59</v>
      </c>
      <c r="AA1605" s="46" t="s">
        <v>59</v>
      </c>
      <c r="AB1605" s="46" t="s">
        <v>59</v>
      </c>
      <c r="AC1605" s="46" t="s">
        <v>37</v>
      </c>
      <c r="AD1605" s="46" t="s">
        <v>59</v>
      </c>
      <c r="AE1605" s="46" t="s">
        <v>59</v>
      </c>
      <c r="AF1605" s="46" t="s">
        <v>59</v>
      </c>
      <c r="AG1605" s="46" t="s">
        <v>59</v>
      </c>
      <c r="AH1605" s="46" t="s">
        <v>43</v>
      </c>
      <c r="AI1605" s="46" t="s">
        <v>59</v>
      </c>
      <c r="AJ1605" s="46">
        <f>=SUM(E1606:AI1606)</f>
      </c>
      <c r="AK1605" s="46">
        <f>=+AY1605</f>
      </c>
      <c r="AL1605" s="46"/>
      <c r="AM1605" s="1"/>
      <c r="AN1605" s="1">
        <f>=COUNTIF(E1605:AI1605,"A")+COUNTIF(E1605:AI1605,"B")+COUNTIF(E1605:AI1605,"C")+COUNTIF(E1605:AI1605,"D")+COUNTIF(E1605:AI1605,"E")+COUNTIF(E1605:AI1605,"F")+COUNTIF(E1605:AI1605,"M")+COUNTIF(E1605:AI1605,"AB")+COUNTIF(E1605:AI1605,"UZ")+COUNTIF(E1605:AI1605,"G")+(COUNTIF(E1605:AI1605,"RT.")/2)+(COUNTIF(E1605:AI1605,"ÇRT.")/2)</f>
      </c>
      <c r="AO1605" s="1">
        <f>=COUNTIF(E1605:AI1605,"O")</f>
      </c>
      <c r="AP1605" s="1">
        <f>=COUNTIF(E1605:AI1605,"RT")+(COUNTIF(E1605:AI1605,"RT.")/2)</f>
      </c>
      <c r="AQ1605" s="1">
        <f>=COUNTIF(E1605:AI1605,"ÇRT")+(COUNTIF(E1605:AI1605,"ÇRT.")/2)</f>
      </c>
      <c r="AR1605" s="1">
        <f>=COUNTIF(E1605:AI1605,"ÇHT")</f>
      </c>
      <c r="AS1605" s="1">
        <f>=COUNTIF(E1605:AI1605,"Ö")+COUNTIF(E1605:AI1605,"T")</f>
      </c>
      <c r="AT1605" s="1">
        <f>=COUNTIF(E1605:AI1605,"Y")</f>
      </c>
      <c r="AU1605" s="1">
        <f>=COUNTIF(E1605:AI1605,"R.")</f>
      </c>
      <c r="AV1605" s="1">
        <f>=COUNTIF(E1605:AI1605,"Ü")</f>
      </c>
      <c r="AW1605" s="1">
        <f>=COUNTIF(E1605:AI1605,"R")</f>
      </c>
      <c r="AX1605" s="1">
        <f>=COUNTIF(E1605:AI1605,"DV")</f>
      </c>
      <c r="AY1605" s="1">
        <f>=+AN1605+AO1605+AP1605+AQ1605+AR1605+AS1605+AT1605+AU1605</f>
      </c>
    </row>
    <row r="1606" ht="16" customHeight="1" spans="1:51" x14ac:dyDescent="0.25">
      <c r="A1606" s="45"/>
      <c r="B1606" s="46"/>
      <c r="C1606" s="46"/>
      <c r="D1606" s="46" t="s">
        <v>33</v>
      </c>
      <c r="E1606" s="46"/>
      <c r="F1606" s="46"/>
      <c r="G1606" s="46"/>
      <c r="H1606" s="46"/>
      <c r="I1606" s="46"/>
      <c r="J1606" s="46"/>
      <c r="K1606" s="46"/>
      <c r="L1606" s="46"/>
      <c r="M1606" s="46"/>
      <c r="N1606" s="46"/>
      <c r="O1606" s="46"/>
      <c r="P1606" s="46"/>
      <c r="Q1606" s="46"/>
      <c r="R1606" s="46"/>
      <c r="S1606" s="46"/>
      <c r="T1606" s="46"/>
      <c r="U1606" s="46"/>
      <c r="V1606" s="46"/>
      <c r="W1606" s="46"/>
      <c r="X1606" s="46"/>
      <c r="Y1606" s="46"/>
      <c r="Z1606" s="46"/>
      <c r="AA1606" s="46"/>
      <c r="AB1606" s="46"/>
      <c r="AC1606" s="46"/>
      <c r="AD1606" s="46"/>
      <c r="AE1606" s="46"/>
      <c r="AF1606" s="46"/>
      <c r="AG1606" s="46"/>
      <c r="AH1606" s="46"/>
      <c r="AI1606" s="46"/>
      <c r="AJ1606" s="46"/>
      <c r="AK1606" s="46"/>
      <c r="AL1606" s="46"/>
      <c r="AM1606" s="1"/>
      <c r="AN1606" s="1"/>
      <c r="AO1606" s="1"/>
      <c r="AP1606" s="1"/>
      <c r="AQ1606" s="1"/>
      <c r="AR1606" s="1"/>
      <c r="AS1606" s="1"/>
      <c r="AT1606" s="1"/>
      <c r="AU1606" s="1"/>
      <c r="AV1606" s="1"/>
      <c r="AW1606" s="1"/>
      <c r="AX1606" s="1"/>
      <c r="AY1606" s="1"/>
    </row>
    <row r="1607" ht="16" customHeight="1" spans="1:51" x14ac:dyDescent="0.25">
      <c r="A1607" s="45"/>
      <c r="B1607" s="46" t="s">
        <v>1659</v>
      </c>
      <c r="C1607" s="46" t="s">
        <v>1660</v>
      </c>
      <c r="D1607" s="46" t="s">
        <v>29</v>
      </c>
      <c r="E1607" s="46" t="s">
        <v>59</v>
      </c>
      <c r="F1607" s="46" t="s">
        <v>59</v>
      </c>
      <c r="G1607" s="46" t="s">
        <v>59</v>
      </c>
      <c r="H1607" s="46" t="s">
        <v>59</v>
      </c>
      <c r="I1607" s="46" t="s">
        <v>37</v>
      </c>
      <c r="J1607" s="46" t="s">
        <v>59</v>
      </c>
      <c r="K1607" s="46" t="s">
        <v>59</v>
      </c>
      <c r="L1607" s="46" t="s">
        <v>59</v>
      </c>
      <c r="M1607" s="46" t="s">
        <v>1348</v>
      </c>
      <c r="N1607" s="46" t="s">
        <v>1348</v>
      </c>
      <c r="O1607" s="46" t="s">
        <v>1348</v>
      </c>
      <c r="P1607" s="46" t="s">
        <v>37</v>
      </c>
      <c r="Q1607" s="46" t="s">
        <v>59</v>
      </c>
      <c r="R1607" s="46" t="s">
        <v>59</v>
      </c>
      <c r="S1607" s="46" t="s">
        <v>153</v>
      </c>
      <c r="T1607" s="46" t="s">
        <v>59</v>
      </c>
      <c r="U1607" s="46" t="s">
        <v>1348</v>
      </c>
      <c r="V1607" s="46" t="s">
        <v>30</v>
      </c>
      <c r="W1607" s="46" t="s">
        <v>37</v>
      </c>
      <c r="X1607" s="46" t="s">
        <v>59</v>
      </c>
      <c r="Y1607" s="46" t="s">
        <v>59</v>
      </c>
      <c r="Z1607" s="46" t="s">
        <v>59</v>
      </c>
      <c r="AA1607" s="46" t="s">
        <v>59</v>
      </c>
      <c r="AB1607" s="46" t="s">
        <v>1348</v>
      </c>
      <c r="AC1607" s="46" t="s">
        <v>59</v>
      </c>
      <c r="AD1607" s="46" t="s">
        <v>37</v>
      </c>
      <c r="AE1607" s="46" t="s">
        <v>1348</v>
      </c>
      <c r="AF1607" s="46" t="s">
        <v>59</v>
      </c>
      <c r="AG1607" s="46" t="s">
        <v>59</v>
      </c>
      <c r="AH1607" s="46" t="s">
        <v>43</v>
      </c>
      <c r="AI1607" s="46" t="s">
        <v>59</v>
      </c>
      <c r="AJ1607" s="46">
        <f>=SUM(E1608:AI1608)</f>
      </c>
      <c r="AK1607" s="46">
        <f>=+AY1607</f>
      </c>
      <c r="AL1607" s="46"/>
      <c r="AM1607" s="1"/>
      <c r="AN1607" s="1">
        <f>=COUNTIF(E1607:AI1607,"A")+COUNTIF(E1607:AI1607,"B")+COUNTIF(E1607:AI1607,"C")+COUNTIF(E1607:AI1607,"D")+COUNTIF(E1607:AI1607,"E")+COUNTIF(E1607:AI1607,"F")+COUNTIF(E1607:AI1607,"M")+COUNTIF(E1607:AI1607,"AB")+COUNTIF(E1607:AI1607,"UZ")+COUNTIF(E1607:AI1607,"G")+(COUNTIF(E1607:AI1607,"RT.")/2)+(COUNTIF(E1607:AI1607,"ÇRT.")/2)</f>
      </c>
      <c r="AO1607" s="1">
        <f>=COUNTIF(E1607:AI1607,"O")</f>
      </c>
      <c r="AP1607" s="1">
        <f>=COUNTIF(E1607:AI1607,"RT")+(COUNTIF(E1607:AI1607,"RT.")/2)</f>
      </c>
      <c r="AQ1607" s="1">
        <f>=COUNTIF(E1607:AI1607,"ÇRT")+(COUNTIF(E1607:AI1607,"ÇRT.")/2)</f>
      </c>
      <c r="AR1607" s="1">
        <f>=COUNTIF(E1607:AI1607,"ÇHT")</f>
      </c>
      <c r="AS1607" s="1">
        <f>=COUNTIF(E1607:AI1607,"Ö")+COUNTIF(E1607:AI1607,"T")</f>
      </c>
      <c r="AT1607" s="1">
        <f>=COUNTIF(E1607:AI1607,"Y")</f>
      </c>
      <c r="AU1607" s="1">
        <f>=COUNTIF(E1607:AI1607,"R.")</f>
      </c>
      <c r="AV1607" s="1">
        <f>=COUNTIF(E1607:AI1607,"Ü")</f>
      </c>
      <c r="AW1607" s="1">
        <f>=COUNTIF(E1607:AI1607,"R")</f>
      </c>
      <c r="AX1607" s="1">
        <f>=COUNTIF(E1607:AI1607,"DV")</f>
      </c>
      <c r="AY1607" s="1">
        <f>=+AN1607+AO1607+AP1607+AQ1607+AR1607+AS1607+AT1607+AU1607</f>
      </c>
    </row>
    <row r="1608" ht="16" customHeight="1" spans="1:51" x14ac:dyDescent="0.25">
      <c r="A1608" s="45"/>
      <c r="B1608" s="46"/>
      <c r="C1608" s="46"/>
      <c r="D1608" s="46" t="s">
        <v>33</v>
      </c>
      <c r="E1608" s="46"/>
      <c r="F1608" s="46"/>
      <c r="G1608" s="46"/>
      <c r="H1608" s="46"/>
      <c r="I1608" s="46"/>
      <c r="J1608" s="46"/>
      <c r="K1608" s="46"/>
      <c r="L1608" s="46"/>
      <c r="M1608" s="46"/>
      <c r="N1608" s="46"/>
      <c r="O1608" s="46"/>
      <c r="P1608" s="46"/>
      <c r="Q1608" s="46"/>
      <c r="R1608" s="46">
        <v>1</v>
      </c>
      <c r="S1608" s="46"/>
      <c r="T1608" s="46"/>
      <c r="U1608" s="46"/>
      <c r="V1608" s="46"/>
      <c r="W1608" s="46"/>
      <c r="X1608" s="46"/>
      <c r="Y1608" s="46"/>
      <c r="Z1608" s="46"/>
      <c r="AA1608" s="46"/>
      <c r="AB1608" s="46"/>
      <c r="AC1608" s="46"/>
      <c r="AD1608" s="46"/>
      <c r="AE1608" s="46"/>
      <c r="AF1608" s="46"/>
      <c r="AG1608" s="46"/>
      <c r="AH1608" s="46"/>
      <c r="AI1608" s="46"/>
      <c r="AJ1608" s="46"/>
      <c r="AK1608" s="46"/>
      <c r="AL1608" s="46"/>
      <c r="AM1608" s="1"/>
      <c r="AN1608" s="1"/>
      <c r="AO1608" s="1"/>
      <c r="AP1608" s="1"/>
      <c r="AQ1608" s="1"/>
      <c r="AR1608" s="1"/>
      <c r="AS1608" s="1"/>
      <c r="AT1608" s="1"/>
      <c r="AU1608" s="1"/>
      <c r="AV1608" s="1"/>
      <c r="AW1608" s="1"/>
      <c r="AX1608" s="1"/>
      <c r="AY1608" s="1"/>
    </row>
    <row r="1609" ht="16" customHeight="1" spans="1:51" x14ac:dyDescent="0.25">
      <c r="A1609" s="45"/>
      <c r="B1609" s="46" t="s">
        <v>1661</v>
      </c>
      <c r="C1609" s="46" t="s">
        <v>1662</v>
      </c>
      <c r="D1609" s="46" t="s">
        <v>29</v>
      </c>
      <c r="E1609" s="46"/>
      <c r="F1609" s="46"/>
      <c r="G1609" s="46"/>
      <c r="H1609" s="46"/>
      <c r="I1609" s="46"/>
      <c r="J1609" s="46"/>
      <c r="K1609" s="46"/>
      <c r="L1609" s="46"/>
      <c r="M1609" s="46"/>
      <c r="N1609" s="46"/>
      <c r="O1609" s="46"/>
      <c r="P1609" s="46"/>
      <c r="Q1609" s="46" t="s">
        <v>36</v>
      </c>
      <c r="R1609" s="46" t="s">
        <v>59</v>
      </c>
      <c r="S1609" s="46" t="s">
        <v>59</v>
      </c>
      <c r="T1609" s="46" t="s">
        <v>59</v>
      </c>
      <c r="U1609" s="46" t="s">
        <v>59</v>
      </c>
      <c r="V1609" s="46" t="s">
        <v>59</v>
      </c>
      <c r="W1609" s="46" t="s">
        <v>59</v>
      </c>
      <c r="X1609" s="46" t="s">
        <v>59</v>
      </c>
      <c r="Y1609" s="46" t="s">
        <v>59</v>
      </c>
      <c r="Z1609" s="46" t="s">
        <v>59</v>
      </c>
      <c r="AA1609" s="46" t="s">
        <v>37</v>
      </c>
      <c r="AB1609" s="46" t="s">
        <v>59</v>
      </c>
      <c r="AC1609" s="46" t="s">
        <v>59</v>
      </c>
      <c r="AD1609" s="46" t="s">
        <v>59</v>
      </c>
      <c r="AE1609" s="46" t="s">
        <v>59</v>
      </c>
      <c r="AF1609" s="46" t="s">
        <v>59</v>
      </c>
      <c r="AG1609" s="46" t="s">
        <v>59</v>
      </c>
      <c r="AH1609" s="46" t="s">
        <v>37</v>
      </c>
      <c r="AI1609" s="46" t="s">
        <v>59</v>
      </c>
      <c r="AJ1609" s="46">
        <f>=SUM(E1610:AI1610)</f>
      </c>
      <c r="AK1609" s="46">
        <f>=+AY1609</f>
      </c>
      <c r="AL1609" s="46"/>
      <c r="AM1609" s="1"/>
      <c r="AN1609" s="1">
        <f>=COUNTIF(E1609:AI1609,"A")+COUNTIF(E1609:AI1609,"B")+COUNTIF(E1609:AI1609,"C")+COUNTIF(E1609:AI1609,"D")+COUNTIF(E1609:AI1609,"E")+COUNTIF(E1609:AI1609,"F")+COUNTIF(E1609:AI1609,"M")+COUNTIF(E1609:AI1609,"AB")+COUNTIF(E1609:AI1609,"UZ")+COUNTIF(E1609:AI1609,"G")+(COUNTIF(E1609:AI1609,"RT.")/2)+(COUNTIF(E1609:AI1609,"ÇRT.")/2)</f>
      </c>
      <c r="AO1609" s="1">
        <f>=COUNTIF(E1609:AI1609,"O")</f>
      </c>
      <c r="AP1609" s="1">
        <f>=COUNTIF(E1609:AI1609,"RT")+(COUNTIF(E1609:AI1609,"RT.")/2)</f>
      </c>
      <c r="AQ1609" s="1">
        <f>=COUNTIF(E1609:AI1609,"ÇRT")+(COUNTIF(E1609:AI1609,"ÇRT.")/2)</f>
      </c>
      <c r="AR1609" s="1">
        <f>=COUNTIF(E1609:AI1609,"ÇHT")</f>
      </c>
      <c r="AS1609" s="1">
        <f>=COUNTIF(E1609:AI1609,"Ö")+COUNTIF(E1609:AI1609,"T")</f>
      </c>
      <c r="AT1609" s="1">
        <f>=COUNTIF(E1609:AI1609,"Y")</f>
      </c>
      <c r="AU1609" s="1">
        <f>=COUNTIF(E1609:AI1609,"R.")</f>
      </c>
      <c r="AV1609" s="1">
        <f>=COUNTIF(E1609:AI1609,"Ü")</f>
      </c>
      <c r="AW1609" s="1">
        <f>=COUNTIF(E1609:AI1609,"R")</f>
      </c>
      <c r="AX1609" s="1">
        <f>=COUNTIF(E1609:AI1609,"DV")</f>
      </c>
      <c r="AY1609" s="1">
        <f>=+AN1609+AO1609+AP1609+AQ1609+AR1609+AS1609+AT1609+AU1609</f>
      </c>
    </row>
    <row r="1610" ht="16" customHeight="1" spans="1:51" x14ac:dyDescent="0.25">
      <c r="A1610" s="45"/>
      <c r="B1610" s="46"/>
      <c r="C1610" s="46"/>
      <c r="D1610" s="46" t="s">
        <v>33</v>
      </c>
      <c r="E1610" s="46"/>
      <c r="F1610" s="46"/>
      <c r="G1610" s="46"/>
      <c r="H1610" s="46"/>
      <c r="I1610" s="46"/>
      <c r="J1610" s="46"/>
      <c r="K1610" s="46"/>
      <c r="L1610" s="46"/>
      <c r="M1610" s="46"/>
      <c r="N1610" s="46"/>
      <c r="O1610" s="46"/>
      <c r="P1610" s="46"/>
      <c r="Q1610" s="46"/>
      <c r="R1610" s="46"/>
      <c r="S1610" s="46"/>
      <c r="T1610" s="46"/>
      <c r="U1610" s="46"/>
      <c r="V1610" s="46"/>
      <c r="W1610" s="46">
        <v>2</v>
      </c>
      <c r="X1610" s="46"/>
      <c r="Y1610" s="46"/>
      <c r="Z1610" s="46"/>
      <c r="AA1610" s="46"/>
      <c r="AB1610" s="46"/>
      <c r="AC1610" s="46"/>
      <c r="AD1610" s="46"/>
      <c r="AE1610" s="46"/>
      <c r="AF1610" s="46"/>
      <c r="AG1610" s="46"/>
      <c r="AH1610" s="46"/>
      <c r="AI1610" s="46"/>
      <c r="AJ1610" s="46"/>
      <c r="AK1610" s="46"/>
      <c r="AL1610" s="46"/>
      <c r="AM1610" s="1"/>
      <c r="AN1610" s="1"/>
      <c r="AO1610" s="1"/>
      <c r="AP1610" s="1"/>
      <c r="AQ1610" s="1"/>
      <c r="AR1610" s="1"/>
      <c r="AS1610" s="1"/>
      <c r="AT1610" s="1"/>
      <c r="AU1610" s="1"/>
      <c r="AV1610" s="1"/>
      <c r="AW1610" s="1"/>
      <c r="AX1610" s="1"/>
      <c r="AY1610" s="1"/>
    </row>
    <row r="1611" ht="16" customHeight="1" spans="1:51" x14ac:dyDescent="0.25">
      <c r="A1611" s="45"/>
      <c r="B1611" s="46" t="s">
        <v>1663</v>
      </c>
      <c r="C1611" s="46" t="s">
        <v>1664</v>
      </c>
      <c r="D1611" s="46" t="s">
        <v>29</v>
      </c>
      <c r="E1611" s="46"/>
      <c r="F1611" s="46"/>
      <c r="G1611" s="46"/>
      <c r="H1611" s="46"/>
      <c r="I1611" s="46"/>
      <c r="J1611" s="46"/>
      <c r="K1611" s="46"/>
      <c r="L1611" s="46"/>
      <c r="M1611" s="46"/>
      <c r="N1611" s="46"/>
      <c r="O1611" s="46" t="s">
        <v>36</v>
      </c>
      <c r="P1611" s="46" t="s">
        <v>59</v>
      </c>
      <c r="Q1611" s="46" t="s">
        <v>59</v>
      </c>
      <c r="R1611" s="46" t="s">
        <v>59</v>
      </c>
      <c r="S1611" s="46" t="s">
        <v>59</v>
      </c>
      <c r="T1611" s="46" t="s">
        <v>59</v>
      </c>
      <c r="U1611" s="46" t="s">
        <v>59</v>
      </c>
      <c r="V1611" s="46" t="s">
        <v>59</v>
      </c>
      <c r="W1611" s="46" t="s">
        <v>59</v>
      </c>
      <c r="X1611" s="46" t="s">
        <v>37</v>
      </c>
      <c r="Y1611" s="46" t="s">
        <v>59</v>
      </c>
      <c r="Z1611" s="46" t="s">
        <v>59</v>
      </c>
      <c r="AA1611" s="46" t="s">
        <v>59</v>
      </c>
      <c r="AB1611" s="46" t="s">
        <v>59</v>
      </c>
      <c r="AC1611" s="46" t="s">
        <v>59</v>
      </c>
      <c r="AD1611" s="46" t="s">
        <v>37</v>
      </c>
      <c r="AE1611" s="46" t="s">
        <v>59</v>
      </c>
      <c r="AF1611" s="46" t="s">
        <v>59</v>
      </c>
      <c r="AG1611" s="46" t="s">
        <v>59</v>
      </c>
      <c r="AH1611" s="46" t="s">
        <v>43</v>
      </c>
      <c r="AI1611" s="46" t="s">
        <v>59</v>
      </c>
      <c r="AJ1611" s="46">
        <f>=SUM(E1612:AI1612)</f>
      </c>
      <c r="AK1611" s="46">
        <f>=+AY1611</f>
      </c>
      <c r="AL1611" s="46"/>
      <c r="AM1611" s="1"/>
      <c r="AN1611" s="1">
        <f>=COUNTIF(E1611:AI1611,"A")+COUNTIF(E1611:AI1611,"B")+COUNTIF(E1611:AI1611,"C")+COUNTIF(E1611:AI1611,"D")+COUNTIF(E1611:AI1611,"E")+COUNTIF(E1611:AI1611,"F")+COUNTIF(E1611:AI1611,"M")+COUNTIF(E1611:AI1611,"AB")+COUNTIF(E1611:AI1611,"UZ")+COUNTIF(E1611:AI1611,"G")+(COUNTIF(E1611:AI1611,"RT.")/2)+(COUNTIF(E1611:AI1611,"ÇRT.")/2)</f>
      </c>
      <c r="AO1611" s="1">
        <f>=COUNTIF(E1611:AI1611,"O")</f>
      </c>
      <c r="AP1611" s="1">
        <f>=COUNTIF(E1611:AI1611,"RT")+(COUNTIF(E1611:AI1611,"RT.")/2)</f>
      </c>
      <c r="AQ1611" s="1">
        <f>=COUNTIF(E1611:AI1611,"ÇRT")+(COUNTIF(E1611:AI1611,"ÇRT.")/2)</f>
      </c>
      <c r="AR1611" s="1">
        <f>=COUNTIF(E1611:AI1611,"ÇHT")</f>
      </c>
      <c r="AS1611" s="1">
        <f>=COUNTIF(E1611:AI1611,"Ö")+COUNTIF(E1611:AI1611,"T")</f>
      </c>
      <c r="AT1611" s="1">
        <f>=COUNTIF(E1611:AI1611,"Y")</f>
      </c>
      <c r="AU1611" s="1">
        <f>=COUNTIF(E1611:AI1611,"R.")</f>
      </c>
      <c r="AV1611" s="1">
        <f>=COUNTIF(E1611:AI1611,"Ü")</f>
      </c>
      <c r="AW1611" s="1">
        <f>=COUNTIF(E1611:AI1611,"R")</f>
      </c>
      <c r="AX1611" s="1">
        <f>=COUNTIF(E1611:AI1611,"DV")</f>
      </c>
      <c r="AY1611" s="1">
        <f>=+AN1611+AO1611+AP1611+AQ1611+AR1611+AS1611+AT1611+AU1611</f>
      </c>
    </row>
    <row r="1612" ht="16" customHeight="1" spans="1:51" x14ac:dyDescent="0.25">
      <c r="A1612" s="45"/>
      <c r="B1612" s="46"/>
      <c r="C1612" s="46"/>
      <c r="D1612" s="46" t="s">
        <v>33</v>
      </c>
      <c r="E1612" s="46"/>
      <c r="F1612" s="46"/>
      <c r="G1612" s="46"/>
      <c r="H1612" s="46"/>
      <c r="I1612" s="46"/>
      <c r="J1612" s="46"/>
      <c r="K1612" s="46"/>
      <c r="L1612" s="46"/>
      <c r="M1612" s="46"/>
      <c r="N1612" s="46"/>
      <c r="O1612" s="46"/>
      <c r="P1612" s="46"/>
      <c r="Q1612" s="46"/>
      <c r="R1612" s="46"/>
      <c r="S1612" s="46"/>
      <c r="T1612" s="46"/>
      <c r="U1612" s="46"/>
      <c r="V1612" s="46"/>
      <c r="W1612" s="46"/>
      <c r="X1612" s="46"/>
      <c r="Y1612" s="46"/>
      <c r="Z1612" s="46"/>
      <c r="AA1612" s="46"/>
      <c r="AB1612" s="46"/>
      <c r="AC1612" s="46"/>
      <c r="AD1612" s="46"/>
      <c r="AE1612" s="46"/>
      <c r="AF1612" s="46"/>
      <c r="AG1612" s="46"/>
      <c r="AH1612" s="46"/>
      <c r="AI1612" s="46"/>
      <c r="AJ1612" s="46"/>
      <c r="AK1612" s="46"/>
      <c r="AL1612" s="46"/>
      <c r="AM1612" s="1"/>
      <c r="AN1612" s="1"/>
      <c r="AO1612" s="1"/>
      <c r="AP1612" s="1"/>
      <c r="AQ1612" s="1"/>
      <c r="AR1612" s="1"/>
      <c r="AS1612" s="1"/>
      <c r="AT1612" s="1"/>
      <c r="AU1612" s="1"/>
      <c r="AV1612" s="1"/>
      <c r="AW1612" s="1"/>
      <c r="AX1612" s="1"/>
      <c r="AY1612" s="1"/>
    </row>
    <row r="1613" ht="16" customHeight="1" spans="1:51" x14ac:dyDescent="0.25">
      <c r="A1613" s="45"/>
      <c r="B1613" s="46" t="s">
        <v>1665</v>
      </c>
      <c r="C1613" s="46" t="s">
        <v>1666</v>
      </c>
      <c r="D1613" s="46" t="s">
        <v>29</v>
      </c>
      <c r="E1613" s="46" t="s">
        <v>59</v>
      </c>
      <c r="F1613" s="46" t="s">
        <v>59</v>
      </c>
      <c r="G1613" s="46" t="s">
        <v>36</v>
      </c>
      <c r="H1613" s="46" t="s">
        <v>37</v>
      </c>
      <c r="I1613" s="46" t="s">
        <v>59</v>
      </c>
      <c r="J1613" s="46" t="s">
        <v>59</v>
      </c>
      <c r="K1613" s="46" t="s">
        <v>59</v>
      </c>
      <c r="L1613" s="46" t="s">
        <v>59</v>
      </c>
      <c r="M1613" s="46" t="s">
        <v>59</v>
      </c>
      <c r="N1613" s="46" t="s">
        <v>59</v>
      </c>
      <c r="O1613" s="46" t="s">
        <v>37</v>
      </c>
      <c r="P1613" s="46" t="s">
        <v>153</v>
      </c>
      <c r="Q1613" s="46" t="s">
        <v>59</v>
      </c>
      <c r="R1613" s="46" t="s">
        <v>59</v>
      </c>
      <c r="S1613" s="46" t="s">
        <v>59</v>
      </c>
      <c r="T1613" s="46" t="s">
        <v>59</v>
      </c>
      <c r="U1613" s="46" t="s">
        <v>59</v>
      </c>
      <c r="V1613" s="46" t="s">
        <v>37</v>
      </c>
      <c r="W1613" s="46" t="s">
        <v>59</v>
      </c>
      <c r="X1613" s="46" t="s">
        <v>59</v>
      </c>
      <c r="Y1613" s="46" t="s">
        <v>59</v>
      </c>
      <c r="Z1613" s="46" t="s">
        <v>59</v>
      </c>
      <c r="AA1613" s="46" t="s">
        <v>59</v>
      </c>
      <c r="AB1613" s="46" t="s">
        <v>59</v>
      </c>
      <c r="AC1613" s="46" t="s">
        <v>37</v>
      </c>
      <c r="AD1613" s="46" t="s">
        <v>59</v>
      </c>
      <c r="AE1613" s="46" t="s">
        <v>59</v>
      </c>
      <c r="AF1613" s="46" t="s">
        <v>59</v>
      </c>
      <c r="AG1613" s="46" t="s">
        <v>59</v>
      </c>
      <c r="AH1613" s="46" t="s">
        <v>43</v>
      </c>
      <c r="AI1613" s="46" t="s">
        <v>59</v>
      </c>
      <c r="AJ1613" s="46">
        <f>=SUM(E1614:AI1614)</f>
      </c>
      <c r="AK1613" s="46">
        <f>=+AY1613</f>
      </c>
      <c r="AL1613" s="46"/>
      <c r="AM1613" s="1"/>
      <c r="AN1613" s="1">
        <f>=COUNTIF(E1613:AI1613,"A")+COUNTIF(E1613:AI1613,"B")+COUNTIF(E1613:AI1613,"C")+COUNTIF(E1613:AI1613,"D")+COUNTIF(E1613:AI1613,"E")+COUNTIF(E1613:AI1613,"F")+COUNTIF(E1613:AI1613,"M")+COUNTIF(E1613:AI1613,"AB")+COUNTIF(E1613:AI1613,"UZ")+COUNTIF(E1613:AI1613,"G")+(COUNTIF(E1613:AI1613,"RT.")/2)+(COUNTIF(E1613:AI1613,"ÇRT.")/2)</f>
      </c>
      <c r="AO1613" s="1">
        <f>=COUNTIF(E1613:AI1613,"O")</f>
      </c>
      <c r="AP1613" s="1">
        <f>=COUNTIF(E1613:AI1613,"RT")+(COUNTIF(E1613:AI1613,"RT.")/2)</f>
      </c>
      <c r="AQ1613" s="1">
        <f>=COUNTIF(E1613:AI1613,"ÇRT")+(COUNTIF(E1613:AI1613,"ÇRT.")/2)</f>
      </c>
      <c r="AR1613" s="1">
        <f>=COUNTIF(E1613:AI1613,"ÇHT")</f>
      </c>
      <c r="AS1613" s="1">
        <f>=COUNTIF(E1613:AI1613,"Ö")+COUNTIF(E1613:AI1613,"T")</f>
      </c>
      <c r="AT1613" s="1">
        <f>=COUNTIF(E1613:AI1613,"Y")</f>
      </c>
      <c r="AU1613" s="1">
        <f>=COUNTIF(E1613:AI1613,"R.")</f>
      </c>
      <c r="AV1613" s="1">
        <f>=COUNTIF(E1613:AI1613,"Ü")</f>
      </c>
      <c r="AW1613" s="1">
        <f>=COUNTIF(E1613:AI1613,"R")</f>
      </c>
      <c r="AX1613" s="1">
        <f>=COUNTIF(E1613:AI1613,"DV")</f>
      </c>
      <c r="AY1613" s="1">
        <f>=+AN1613+AO1613+AP1613+AQ1613+AR1613+AS1613+AT1613+AU1613</f>
      </c>
    </row>
    <row r="1614" ht="16" customHeight="1" spans="1:51" x14ac:dyDescent="0.25">
      <c r="A1614" s="45"/>
      <c r="B1614" s="46"/>
      <c r="C1614" s="46"/>
      <c r="D1614" s="46" t="s">
        <v>33</v>
      </c>
      <c r="E1614" s="46"/>
      <c r="F1614" s="46"/>
      <c r="G1614" s="46"/>
      <c r="H1614" s="46"/>
      <c r="I1614" s="46"/>
      <c r="J1614" s="46"/>
      <c r="K1614" s="46"/>
      <c r="L1614" s="46"/>
      <c r="M1614" s="46"/>
      <c r="N1614" s="46"/>
      <c r="O1614" s="46"/>
      <c r="P1614" s="46"/>
      <c r="Q1614" s="46"/>
      <c r="R1614" s="46"/>
      <c r="S1614" s="46"/>
      <c r="T1614" s="46"/>
      <c r="U1614" s="46"/>
      <c r="V1614" s="46"/>
      <c r="W1614" s="46">
        <v>2</v>
      </c>
      <c r="X1614" s="46"/>
      <c r="Y1614" s="46"/>
      <c r="Z1614" s="46"/>
      <c r="AA1614" s="46"/>
      <c r="AB1614" s="46"/>
      <c r="AC1614" s="46"/>
      <c r="AD1614" s="46"/>
      <c r="AE1614" s="46"/>
      <c r="AF1614" s="46"/>
      <c r="AG1614" s="46"/>
      <c r="AH1614" s="46"/>
      <c r="AI1614" s="46"/>
      <c r="AJ1614" s="46"/>
      <c r="AK1614" s="46"/>
      <c r="AL1614" s="46"/>
      <c r="AM1614" s="1"/>
      <c r="AN1614" s="1"/>
      <c r="AO1614" s="1"/>
      <c r="AP1614" s="1"/>
      <c r="AQ1614" s="1"/>
      <c r="AR1614" s="1"/>
      <c r="AS1614" s="1"/>
      <c r="AT1614" s="1"/>
      <c r="AU1614" s="1"/>
      <c r="AV1614" s="1"/>
      <c r="AW1614" s="1"/>
      <c r="AX1614" s="1"/>
      <c r="AY1614" s="1"/>
    </row>
    <row r="1615" ht="16" customHeight="1" spans="1:51" x14ac:dyDescent="0.25">
      <c r="A1615" s="45"/>
      <c r="B1615" s="46" t="s">
        <v>1667</v>
      </c>
      <c r="C1615" s="46" t="s">
        <v>1668</v>
      </c>
      <c r="D1615" s="46" t="s">
        <v>29</v>
      </c>
      <c r="E1615" s="46"/>
      <c r="F1615" s="46"/>
      <c r="G1615" s="46"/>
      <c r="H1615" s="46"/>
      <c r="I1615" s="46"/>
      <c r="J1615" s="46"/>
      <c r="K1615" s="46"/>
      <c r="L1615" s="46"/>
      <c r="M1615" s="46"/>
      <c r="N1615" s="46"/>
      <c r="O1615" s="46" t="s">
        <v>36</v>
      </c>
      <c r="P1615" s="46" t="s">
        <v>59</v>
      </c>
      <c r="Q1615" s="46" t="s">
        <v>59</v>
      </c>
      <c r="R1615" s="46" t="s">
        <v>1348</v>
      </c>
      <c r="S1615" s="46" t="s">
        <v>59</v>
      </c>
      <c r="T1615" s="46" t="s">
        <v>59</v>
      </c>
      <c r="U1615" s="46" t="s">
        <v>37</v>
      </c>
      <c r="V1615" s="46" t="s">
        <v>1348</v>
      </c>
      <c r="W1615" s="46" t="s">
        <v>1348</v>
      </c>
      <c r="X1615" s="46" t="s">
        <v>1348</v>
      </c>
      <c r="Y1615" s="46" t="s">
        <v>1348</v>
      </c>
      <c r="Z1615" s="46" t="s">
        <v>1348</v>
      </c>
      <c r="AA1615" s="46" t="s">
        <v>1348</v>
      </c>
      <c r="AB1615" s="46" t="s">
        <v>1348</v>
      </c>
      <c r="AC1615" s="46" t="s">
        <v>1348</v>
      </c>
      <c r="AD1615" s="46" t="s">
        <v>1348</v>
      </c>
      <c r="AE1615" s="46" t="s">
        <v>37</v>
      </c>
      <c r="AF1615" s="46" t="s">
        <v>1348</v>
      </c>
      <c r="AG1615" s="46" t="s">
        <v>1348</v>
      </c>
      <c r="AH1615" s="46" t="s">
        <v>43</v>
      </c>
      <c r="AI1615" s="46" t="s">
        <v>37</v>
      </c>
      <c r="AJ1615" s="46">
        <f>=SUM(E1616:AI1616)</f>
      </c>
      <c r="AK1615" s="46">
        <f>=+AY1615</f>
      </c>
      <c r="AL1615" s="46"/>
      <c r="AM1615" s="1"/>
      <c r="AN1615" s="1">
        <f>=COUNTIF(E1615:AI1615,"A")+COUNTIF(E1615:AI1615,"B")+COUNTIF(E1615:AI1615,"C")+COUNTIF(E1615:AI1615,"D")+COUNTIF(E1615:AI1615,"E")+COUNTIF(E1615:AI1615,"F")+COUNTIF(E1615:AI1615,"M")+COUNTIF(E1615:AI1615,"AB")+COUNTIF(E1615:AI1615,"UZ")+COUNTIF(E1615:AI1615,"G")+(COUNTIF(E1615:AI1615,"RT.")/2)+(COUNTIF(E1615:AI1615,"ÇRT.")/2)</f>
      </c>
      <c r="AO1615" s="1">
        <f>=COUNTIF(E1615:AI1615,"O")</f>
      </c>
      <c r="AP1615" s="1">
        <f>=COUNTIF(E1615:AI1615,"RT")+(COUNTIF(E1615:AI1615,"RT.")/2)</f>
      </c>
      <c r="AQ1615" s="1">
        <f>=COUNTIF(E1615:AI1615,"ÇRT")+(COUNTIF(E1615:AI1615,"ÇRT.")/2)</f>
      </c>
      <c r="AR1615" s="1">
        <f>=COUNTIF(E1615:AI1615,"ÇHT")</f>
      </c>
      <c r="AS1615" s="1">
        <f>=COUNTIF(E1615:AI1615,"Ö")+COUNTIF(E1615:AI1615,"T")</f>
      </c>
      <c r="AT1615" s="1">
        <f>=COUNTIF(E1615:AI1615,"Y")</f>
      </c>
      <c r="AU1615" s="1">
        <f>=COUNTIF(E1615:AI1615,"R.")</f>
      </c>
      <c r="AV1615" s="1">
        <f>=COUNTIF(E1615:AI1615,"Ü")</f>
      </c>
      <c r="AW1615" s="1">
        <f>=COUNTIF(E1615:AI1615,"R")</f>
      </c>
      <c r="AX1615" s="1">
        <f>=COUNTIF(E1615:AI1615,"DV")</f>
      </c>
      <c r="AY1615" s="1">
        <f>=+AN1615+AO1615+AP1615+AQ1615+AR1615+AS1615+AT1615+AU1615</f>
      </c>
    </row>
    <row r="1616" ht="16" customHeight="1" spans="1:51" x14ac:dyDescent="0.25">
      <c r="A1616" s="45"/>
      <c r="B1616" s="46"/>
      <c r="C1616" s="46"/>
      <c r="D1616" s="46" t="s">
        <v>33</v>
      </c>
      <c r="E1616" s="46"/>
      <c r="F1616" s="46"/>
      <c r="G1616" s="46"/>
      <c r="H1616" s="46"/>
      <c r="I1616" s="46"/>
      <c r="J1616" s="46"/>
      <c r="K1616" s="46"/>
      <c r="L1616" s="46"/>
      <c r="M1616" s="46"/>
      <c r="N1616" s="46"/>
      <c r="O1616" s="46"/>
      <c r="P1616" s="46"/>
      <c r="Q1616" s="46"/>
      <c r="R1616" s="46">
        <v>3</v>
      </c>
      <c r="S1616" s="46"/>
      <c r="T1616" s="46"/>
      <c r="U1616" s="46"/>
      <c r="V1616" s="46"/>
      <c r="W1616" s="46"/>
      <c r="X1616" s="46"/>
      <c r="Y1616" s="46"/>
      <c r="Z1616" s="46"/>
      <c r="AA1616" s="46"/>
      <c r="AB1616" s="46"/>
      <c r="AC1616" s="46"/>
      <c r="AD1616" s="46"/>
      <c r="AE1616" s="46"/>
      <c r="AF1616" s="46"/>
      <c r="AG1616" s="46"/>
      <c r="AH1616" s="46"/>
      <c r="AI1616" s="46"/>
      <c r="AJ1616" s="46"/>
      <c r="AK1616" s="46"/>
      <c r="AL1616" s="46"/>
      <c r="AM1616" s="1"/>
      <c r="AN1616" s="1"/>
      <c r="AO1616" s="1"/>
      <c r="AP1616" s="1"/>
      <c r="AQ1616" s="1"/>
      <c r="AR1616" s="1"/>
      <c r="AS1616" s="1"/>
      <c r="AT1616" s="1"/>
      <c r="AU1616" s="1"/>
      <c r="AV1616" s="1"/>
      <c r="AW1616" s="1"/>
      <c r="AX1616" s="1"/>
      <c r="AY1616" s="1"/>
    </row>
    <row r="1617" ht="16" customHeight="1" spans="1:51" x14ac:dyDescent="0.25">
      <c r="A1617" s="45"/>
      <c r="B1617" s="46" t="s">
        <v>1669</v>
      </c>
      <c r="C1617" s="46" t="s">
        <v>1670</v>
      </c>
      <c r="D1617" s="46" t="s">
        <v>29</v>
      </c>
      <c r="E1617" s="46" t="s">
        <v>31</v>
      </c>
      <c r="F1617" s="46" t="s">
        <v>36</v>
      </c>
      <c r="G1617" s="46" t="s">
        <v>36</v>
      </c>
      <c r="H1617" s="46" t="s">
        <v>36</v>
      </c>
      <c r="I1617" s="46" t="s">
        <v>36</v>
      </c>
      <c r="J1617" s="46" t="s">
        <v>31</v>
      </c>
      <c r="K1617" s="46" t="s">
        <v>37</v>
      </c>
      <c r="L1617" s="46" t="s">
        <v>36</v>
      </c>
      <c r="M1617" s="46" t="s">
        <v>36</v>
      </c>
      <c r="N1617" s="46" t="s">
        <v>36</v>
      </c>
      <c r="O1617" s="46" t="s">
        <v>36</v>
      </c>
      <c r="P1617" s="46" t="s">
        <v>36</v>
      </c>
      <c r="Q1617" s="46" t="s">
        <v>36</v>
      </c>
      <c r="R1617" s="46" t="s">
        <v>37</v>
      </c>
      <c r="S1617" s="46" t="s">
        <v>36</v>
      </c>
      <c r="T1617" s="46" t="s">
        <v>36</v>
      </c>
      <c r="U1617" s="46" t="s">
        <v>36</v>
      </c>
      <c r="V1617" s="46" t="s">
        <v>36</v>
      </c>
      <c r="W1617" s="46" t="s">
        <v>36</v>
      </c>
      <c r="X1617" s="46" t="s">
        <v>36</v>
      </c>
      <c r="Y1617" s="46" t="s">
        <v>37</v>
      </c>
      <c r="Z1617" s="46" t="s">
        <v>36</v>
      </c>
      <c r="AA1617" s="46" t="s">
        <v>36</v>
      </c>
      <c r="AB1617" s="46" t="s">
        <v>36</v>
      </c>
      <c r="AC1617" s="46" t="s">
        <v>36</v>
      </c>
      <c r="AD1617" s="46" t="s">
        <v>36</v>
      </c>
      <c r="AE1617" s="46" t="s">
        <v>36</v>
      </c>
      <c r="AF1617" s="46" t="s">
        <v>37</v>
      </c>
      <c r="AG1617" s="46" t="s">
        <v>36</v>
      </c>
      <c r="AH1617" s="46" t="s">
        <v>43</v>
      </c>
      <c r="AI1617" s="46"/>
      <c r="AJ1617" s="46">
        <f>=SUM(E1618:AI1618)</f>
      </c>
      <c r="AK1617" s="46">
        <f>=+AY1617</f>
      </c>
      <c r="AL1617" s="46"/>
      <c r="AM1617" s="1"/>
      <c r="AN1617" s="1">
        <f>=COUNTIF(E1617:AI1617,"A")+COUNTIF(E1617:AI1617,"B")+COUNTIF(E1617:AI1617,"C")+COUNTIF(E1617:AI1617,"D")+COUNTIF(E1617:AI1617,"E")+COUNTIF(E1617:AI1617,"F")+COUNTIF(E1617:AI1617,"M")+COUNTIF(E1617:AI1617,"AB")+COUNTIF(E1617:AI1617,"UZ")+COUNTIF(E1617:AI1617,"G")+(COUNTIF(E1617:AI1617,"RT.")/2)+(COUNTIF(E1617:AI1617,"ÇRT.")/2)</f>
      </c>
      <c r="AO1617" s="1">
        <f>=COUNTIF(E1617:AI1617,"O")</f>
      </c>
      <c r="AP1617" s="1">
        <f>=COUNTIF(E1617:AI1617,"RT")+(COUNTIF(E1617:AI1617,"RT.")/2)</f>
      </c>
      <c r="AQ1617" s="1">
        <f>=COUNTIF(E1617:AI1617,"ÇRT")+(COUNTIF(E1617:AI1617,"ÇRT.")/2)</f>
      </c>
      <c r="AR1617" s="1">
        <f>=COUNTIF(E1617:AI1617,"ÇHT")</f>
      </c>
      <c r="AS1617" s="1">
        <f>=COUNTIF(E1617:AI1617,"Ö")+COUNTIF(E1617:AI1617,"T")</f>
      </c>
      <c r="AT1617" s="1">
        <f>=COUNTIF(E1617:AI1617,"Y")</f>
      </c>
      <c r="AU1617" s="1">
        <f>=COUNTIF(E1617:AI1617,"R.")</f>
      </c>
      <c r="AV1617" s="1">
        <f>=COUNTIF(E1617:AI1617,"Ü")</f>
      </c>
      <c r="AW1617" s="1">
        <f>=COUNTIF(E1617:AI1617,"R")</f>
      </c>
      <c r="AX1617" s="1">
        <f>=COUNTIF(E1617:AI1617,"DV")</f>
      </c>
      <c r="AY1617" s="1">
        <f>=+AN1617+AO1617+AP1617+AQ1617+AR1617+AS1617+AT1617+AU1617</f>
      </c>
    </row>
    <row r="1618" ht="16" customHeight="1" spans="1:51" x14ac:dyDescent="0.25">
      <c r="A1618" s="45"/>
      <c r="B1618" s="46"/>
      <c r="C1618" s="46"/>
      <c r="D1618" s="46" t="s">
        <v>33</v>
      </c>
      <c r="E1618" s="46"/>
      <c r="F1618" s="46"/>
      <c r="G1618" s="46"/>
      <c r="H1618" s="46"/>
      <c r="I1618" s="46"/>
      <c r="J1618" s="46"/>
      <c r="K1618" s="46"/>
      <c r="L1618" s="46"/>
      <c r="M1618" s="46"/>
      <c r="N1618" s="46"/>
      <c r="O1618" s="46"/>
      <c r="P1618" s="46"/>
      <c r="Q1618" s="46"/>
      <c r="R1618" s="46"/>
      <c r="S1618" s="46"/>
      <c r="T1618" s="46"/>
      <c r="U1618" s="46"/>
      <c r="V1618" s="46"/>
      <c r="W1618" s="46"/>
      <c r="X1618" s="46"/>
      <c r="Y1618" s="46"/>
      <c r="Z1618" s="46"/>
      <c r="AA1618" s="46"/>
      <c r="AB1618" s="46"/>
      <c r="AC1618" s="46"/>
      <c r="AD1618" s="46"/>
      <c r="AE1618" s="46"/>
      <c r="AF1618" s="46"/>
      <c r="AG1618" s="46"/>
      <c r="AH1618" s="46"/>
      <c r="AI1618" s="46"/>
      <c r="AJ1618" s="46"/>
      <c r="AK1618" s="46"/>
      <c r="AL1618" s="46"/>
      <c r="AM1618" s="1"/>
      <c r="AN1618" s="1"/>
      <c r="AO1618" s="1"/>
      <c r="AP1618" s="1"/>
      <c r="AQ1618" s="1"/>
      <c r="AR1618" s="1"/>
      <c r="AS1618" s="1"/>
      <c r="AT1618" s="1"/>
      <c r="AU1618" s="1"/>
      <c r="AV1618" s="1"/>
      <c r="AW1618" s="1"/>
      <c r="AX1618" s="1"/>
      <c r="AY1618" s="1"/>
    </row>
    <row r="1619" ht="16" customHeight="1" spans="1:51" x14ac:dyDescent="0.25">
      <c r="A1619" s="45"/>
      <c r="B1619" s="46" t="s">
        <v>1671</v>
      </c>
      <c r="C1619" s="46" t="s">
        <v>1672</v>
      </c>
      <c r="D1619" s="46" t="s">
        <v>29</v>
      </c>
      <c r="E1619" s="46" t="s">
        <v>36</v>
      </c>
      <c r="F1619" s="46" t="s">
        <v>36</v>
      </c>
      <c r="G1619" s="46" t="s">
        <v>36</v>
      </c>
      <c r="H1619" s="46" t="s">
        <v>37</v>
      </c>
      <c r="I1619" s="46" t="s">
        <v>36</v>
      </c>
      <c r="J1619" s="46" t="s">
        <v>36</v>
      </c>
      <c r="K1619" s="46" t="s">
        <v>36</v>
      </c>
      <c r="L1619" s="46" t="s">
        <v>36</v>
      </c>
      <c r="M1619" s="46" t="s">
        <v>36</v>
      </c>
      <c r="N1619" s="46" t="s">
        <v>36</v>
      </c>
      <c r="O1619" s="46" t="s">
        <v>36</v>
      </c>
      <c r="P1619" s="46" t="s">
        <v>36</v>
      </c>
      <c r="Q1619" s="46" t="s">
        <v>36</v>
      </c>
      <c r="R1619" s="46" t="s">
        <v>36</v>
      </c>
      <c r="S1619" s="46" t="s">
        <v>37</v>
      </c>
      <c r="T1619" s="46" t="s">
        <v>36</v>
      </c>
      <c r="U1619" s="46" t="s">
        <v>36</v>
      </c>
      <c r="V1619" s="46" t="s">
        <v>36</v>
      </c>
      <c r="W1619" s="46" t="s">
        <v>36</v>
      </c>
      <c r="X1619" s="46" t="s">
        <v>36</v>
      </c>
      <c r="Y1619" s="46" t="s">
        <v>36</v>
      </c>
      <c r="Z1619" s="46" t="s">
        <v>37</v>
      </c>
      <c r="AA1619" s="46" t="s">
        <v>36</v>
      </c>
      <c r="AB1619" s="46" t="s">
        <v>36</v>
      </c>
      <c r="AC1619" s="46" t="s">
        <v>36</v>
      </c>
      <c r="AD1619" s="46" t="s">
        <v>36</v>
      </c>
      <c r="AE1619" s="46" t="s">
        <v>36</v>
      </c>
      <c r="AF1619" s="46" t="s">
        <v>36</v>
      </c>
      <c r="AG1619" s="46" t="s">
        <v>37</v>
      </c>
      <c r="AH1619" s="46" t="s">
        <v>43</v>
      </c>
      <c r="AI1619" s="46" t="s">
        <v>36</v>
      </c>
      <c r="AJ1619" s="46">
        <f>=SUM(E1620:AI1620)</f>
      </c>
      <c r="AK1619" s="46">
        <f>=+AY1619</f>
      </c>
      <c r="AL1619" s="46"/>
      <c r="AM1619" s="1"/>
      <c r="AN1619" s="1">
        <f>=COUNTIF(E1619:AI1619,"A")+COUNTIF(E1619:AI1619,"B")+COUNTIF(E1619:AI1619,"C")+COUNTIF(E1619:AI1619,"D")+COUNTIF(E1619:AI1619,"E")+COUNTIF(E1619:AI1619,"F")+COUNTIF(E1619:AI1619,"M")+COUNTIF(E1619:AI1619,"AB")+COUNTIF(E1619:AI1619,"UZ")+COUNTIF(E1619:AI1619,"G")+(COUNTIF(E1619:AI1619,"RT.")/2)+(COUNTIF(E1619:AI1619,"ÇRT.")/2)</f>
      </c>
      <c r="AO1619" s="1">
        <f>=COUNTIF(E1619:AI1619,"O")</f>
      </c>
      <c r="AP1619" s="1">
        <f>=COUNTIF(E1619:AI1619,"RT")+(COUNTIF(E1619:AI1619,"RT.")/2)</f>
      </c>
      <c r="AQ1619" s="1">
        <f>=COUNTIF(E1619:AI1619,"ÇRT")+(COUNTIF(E1619:AI1619,"ÇRT.")/2)</f>
      </c>
      <c r="AR1619" s="1">
        <f>=COUNTIF(E1619:AI1619,"ÇHT")</f>
      </c>
      <c r="AS1619" s="1">
        <f>=COUNTIF(E1619:AI1619,"Ö")+COUNTIF(E1619:AI1619,"T")</f>
      </c>
      <c r="AT1619" s="1">
        <f>=COUNTIF(E1619:AI1619,"Y")</f>
      </c>
      <c r="AU1619" s="1">
        <f>=COUNTIF(E1619:AI1619,"R.")</f>
      </c>
      <c r="AV1619" s="1">
        <f>=COUNTIF(E1619:AI1619,"Ü")</f>
      </c>
      <c r="AW1619" s="1">
        <f>=COUNTIF(E1619:AI1619,"R")</f>
      </c>
      <c r="AX1619" s="1">
        <f>=COUNTIF(E1619:AI1619,"DV")</f>
      </c>
      <c r="AY1619" s="1">
        <f>=+AN1619+AO1619+AP1619+AQ1619+AR1619+AS1619+AT1619+AU1619</f>
      </c>
    </row>
    <row r="1620" ht="16" customHeight="1" spans="1:51" x14ac:dyDescent="0.25">
      <c r="A1620" s="45"/>
      <c r="B1620" s="46"/>
      <c r="C1620" s="46"/>
      <c r="D1620" s="46" t="s">
        <v>33</v>
      </c>
      <c r="E1620" s="46"/>
      <c r="F1620" s="46"/>
      <c r="G1620" s="46"/>
      <c r="H1620" s="46"/>
      <c r="I1620" s="46"/>
      <c r="J1620" s="46"/>
      <c r="K1620" s="46"/>
      <c r="L1620" s="46"/>
      <c r="M1620" s="46"/>
      <c r="N1620" s="46"/>
      <c r="O1620" s="46"/>
      <c r="P1620" s="46"/>
      <c r="Q1620" s="46"/>
      <c r="R1620" s="46"/>
      <c r="S1620" s="46"/>
      <c r="T1620" s="46"/>
      <c r="U1620" s="46"/>
      <c r="V1620" s="46"/>
      <c r="W1620" s="46"/>
      <c r="X1620" s="46"/>
      <c r="Y1620" s="46"/>
      <c r="Z1620" s="46"/>
      <c r="AA1620" s="46"/>
      <c r="AB1620" s="46"/>
      <c r="AC1620" s="46"/>
      <c r="AD1620" s="46"/>
      <c r="AE1620" s="46"/>
      <c r="AF1620" s="46"/>
      <c r="AG1620" s="46"/>
      <c r="AH1620" s="46"/>
      <c r="AI1620" s="46"/>
      <c r="AJ1620" s="46"/>
      <c r="AK1620" s="46"/>
      <c r="AL1620" s="46"/>
      <c r="AM1620" s="1"/>
      <c r="AN1620" s="1"/>
      <c r="AO1620" s="1"/>
      <c r="AP1620" s="1"/>
      <c r="AQ1620" s="1"/>
      <c r="AR1620" s="1"/>
      <c r="AS1620" s="1"/>
      <c r="AT1620" s="1"/>
      <c r="AU1620" s="1"/>
      <c r="AV1620" s="1"/>
      <c r="AW1620" s="1"/>
      <c r="AX1620" s="1"/>
      <c r="AY1620" s="1"/>
    </row>
    <row r="1621" ht="16" customHeight="1" spans="1:51" x14ac:dyDescent="0.25">
      <c r="A1621" s="45"/>
      <c r="B1621" s="46" t="s">
        <v>1673</v>
      </c>
      <c r="C1621" s="46" t="s">
        <v>1674</v>
      </c>
      <c r="D1621" s="46" t="s">
        <v>29</v>
      </c>
      <c r="E1621" s="46" t="s">
        <v>36</v>
      </c>
      <c r="F1621" s="46" t="s">
        <v>36</v>
      </c>
      <c r="G1621" s="46" t="s">
        <v>36</v>
      </c>
      <c r="H1621" s="46" t="s">
        <v>36</v>
      </c>
      <c r="I1621" s="46" t="s">
        <v>36</v>
      </c>
      <c r="J1621" s="46" t="s">
        <v>37</v>
      </c>
      <c r="K1621" s="46" t="s">
        <v>36</v>
      </c>
      <c r="L1621" s="46" t="s">
        <v>36</v>
      </c>
      <c r="M1621" s="46" t="s">
        <v>36</v>
      </c>
      <c r="N1621" s="46" t="s">
        <v>36</v>
      </c>
      <c r="O1621" s="46" t="s">
        <v>36</v>
      </c>
      <c r="P1621" s="46" t="s">
        <v>36</v>
      </c>
      <c r="Q1621" s="46" t="s">
        <v>37</v>
      </c>
      <c r="R1621" s="46" t="s">
        <v>36</v>
      </c>
      <c r="S1621" s="46" t="s">
        <v>36</v>
      </c>
      <c r="T1621" s="46" t="s">
        <v>36</v>
      </c>
      <c r="U1621" s="46" t="s">
        <v>36</v>
      </c>
      <c r="V1621" s="46" t="s">
        <v>36</v>
      </c>
      <c r="W1621" s="46" t="s">
        <v>36</v>
      </c>
      <c r="X1621" s="46" t="s">
        <v>37</v>
      </c>
      <c r="Y1621" s="46" t="s">
        <v>36</v>
      </c>
      <c r="Z1621" s="46" t="s">
        <v>36</v>
      </c>
      <c r="AA1621" s="46" t="s">
        <v>36</v>
      </c>
      <c r="AB1621" s="46" t="s">
        <v>36</v>
      </c>
      <c r="AC1621" s="46" t="s">
        <v>36</v>
      </c>
      <c r="AD1621" s="46" t="s">
        <v>36</v>
      </c>
      <c r="AE1621" s="46" t="s">
        <v>37</v>
      </c>
      <c r="AF1621" s="46" t="s">
        <v>36</v>
      </c>
      <c r="AG1621" s="46" t="s">
        <v>36</v>
      </c>
      <c r="AH1621" s="46" t="s">
        <v>43</v>
      </c>
      <c r="AI1621" s="46" t="s">
        <v>36</v>
      </c>
      <c r="AJ1621" s="46">
        <f>=SUM(E1622:AI1622)</f>
      </c>
      <c r="AK1621" s="46">
        <f>=+AY1621</f>
      </c>
      <c r="AL1621" s="46"/>
      <c r="AM1621" s="1"/>
      <c r="AN1621" s="1">
        <f>=COUNTIF(E1621:AI1621,"A")+COUNTIF(E1621:AI1621,"B")+COUNTIF(E1621:AI1621,"C")+COUNTIF(E1621:AI1621,"D")+COUNTIF(E1621:AI1621,"E")+COUNTIF(E1621:AI1621,"F")+COUNTIF(E1621:AI1621,"M")+COUNTIF(E1621:AI1621,"AB")+COUNTIF(E1621:AI1621,"UZ")+COUNTIF(E1621:AI1621,"G")+(COUNTIF(E1621:AI1621,"RT.")/2)+(COUNTIF(E1621:AI1621,"ÇRT.")/2)</f>
      </c>
      <c r="AO1621" s="1">
        <f>=COUNTIF(E1621:AI1621,"O")</f>
      </c>
      <c r="AP1621" s="1">
        <f>=COUNTIF(E1621:AI1621,"RT")+(COUNTIF(E1621:AI1621,"RT.")/2)</f>
      </c>
      <c r="AQ1621" s="1">
        <f>=COUNTIF(E1621:AI1621,"ÇRT")+(COUNTIF(E1621:AI1621,"ÇRT.")/2)</f>
      </c>
      <c r="AR1621" s="1">
        <f>=COUNTIF(E1621:AI1621,"ÇHT")</f>
      </c>
      <c r="AS1621" s="1">
        <f>=COUNTIF(E1621:AI1621,"Ö")+COUNTIF(E1621:AI1621,"T")</f>
      </c>
      <c r="AT1621" s="1">
        <f>=COUNTIF(E1621:AI1621,"Y")</f>
      </c>
      <c r="AU1621" s="1">
        <f>=COUNTIF(E1621:AI1621,"R.")</f>
      </c>
      <c r="AV1621" s="1">
        <f>=COUNTIF(E1621:AI1621,"Ü")</f>
      </c>
      <c r="AW1621" s="1">
        <f>=COUNTIF(E1621:AI1621,"R")</f>
      </c>
      <c r="AX1621" s="1">
        <f>=COUNTIF(E1621:AI1621,"DV")</f>
      </c>
      <c r="AY1621" s="1">
        <f>=+AN1621+AO1621+AP1621+AQ1621+AR1621+AS1621+AT1621+AU1621</f>
      </c>
    </row>
    <row r="1622" ht="16" customHeight="1" spans="1:51" x14ac:dyDescent="0.25">
      <c r="A1622" s="45"/>
      <c r="B1622" s="46"/>
      <c r="C1622" s="46"/>
      <c r="D1622" s="46" t="s">
        <v>33</v>
      </c>
      <c r="E1622" s="46"/>
      <c r="F1622" s="46"/>
      <c r="G1622" s="46"/>
      <c r="H1622" s="46"/>
      <c r="I1622" s="46"/>
      <c r="J1622" s="46"/>
      <c r="K1622" s="46"/>
      <c r="L1622" s="46"/>
      <c r="M1622" s="46"/>
      <c r="N1622" s="46"/>
      <c r="O1622" s="46"/>
      <c r="P1622" s="46"/>
      <c r="Q1622" s="46"/>
      <c r="R1622" s="46"/>
      <c r="S1622" s="46"/>
      <c r="T1622" s="46"/>
      <c r="U1622" s="46"/>
      <c r="V1622" s="46"/>
      <c r="W1622" s="46"/>
      <c r="X1622" s="46"/>
      <c r="Y1622" s="46"/>
      <c r="Z1622" s="46"/>
      <c r="AA1622" s="46"/>
      <c r="AB1622" s="46"/>
      <c r="AC1622" s="46"/>
      <c r="AD1622" s="46"/>
      <c r="AE1622" s="46"/>
      <c r="AF1622" s="46"/>
      <c r="AG1622" s="46"/>
      <c r="AH1622" s="46"/>
      <c r="AI1622" s="46"/>
      <c r="AJ1622" s="46"/>
      <c r="AK1622" s="46"/>
      <c r="AL1622" s="46"/>
      <c r="AM1622" s="1"/>
      <c r="AN1622" s="1"/>
      <c r="AO1622" s="1"/>
      <c r="AP1622" s="1"/>
      <c r="AQ1622" s="1"/>
      <c r="AR1622" s="1"/>
      <c r="AS1622" s="1"/>
      <c r="AT1622" s="1"/>
      <c r="AU1622" s="1"/>
      <c r="AV1622" s="1"/>
      <c r="AW1622" s="1"/>
      <c r="AX1622" s="1"/>
      <c r="AY1622" s="1"/>
    </row>
    <row r="1623" ht="16" customHeight="1" spans="1:51" x14ac:dyDescent="0.25">
      <c r="A1623" s="45"/>
      <c r="B1623" s="46" t="s">
        <v>1675</v>
      </c>
      <c r="C1623" s="46" t="s">
        <v>1676</v>
      </c>
      <c r="D1623" s="46" t="s">
        <v>29</v>
      </c>
      <c r="E1623" s="46" t="s">
        <v>59</v>
      </c>
      <c r="F1623" s="46" t="s">
        <v>59</v>
      </c>
      <c r="G1623" s="46" t="s">
        <v>59</v>
      </c>
      <c r="H1623" s="46" t="s">
        <v>59</v>
      </c>
      <c r="I1623" s="46" t="s">
        <v>37</v>
      </c>
      <c r="J1623" s="46" t="s">
        <v>59</v>
      </c>
      <c r="K1623" s="46" t="s">
        <v>59</v>
      </c>
      <c r="L1623" s="46" t="s">
        <v>59</v>
      </c>
      <c r="M1623" s="46" t="s">
        <v>59</v>
      </c>
      <c r="N1623" s="46" t="s">
        <v>59</v>
      </c>
      <c r="O1623" s="46" t="s">
        <v>59</v>
      </c>
      <c r="P1623" s="46" t="s">
        <v>59</v>
      </c>
      <c r="Q1623" s="46" t="s">
        <v>59</v>
      </c>
      <c r="R1623" s="46" t="s">
        <v>37</v>
      </c>
      <c r="S1623" s="46" t="s">
        <v>59</v>
      </c>
      <c r="T1623" s="46" t="s">
        <v>59</v>
      </c>
      <c r="U1623" s="46" t="s">
        <v>59</v>
      </c>
      <c r="V1623" s="46" t="s">
        <v>59</v>
      </c>
      <c r="W1623" s="46" t="s">
        <v>59</v>
      </c>
      <c r="X1623" s="46" t="s">
        <v>153</v>
      </c>
      <c r="Y1623" s="46" t="s">
        <v>37</v>
      </c>
      <c r="Z1623" s="46" t="s">
        <v>153</v>
      </c>
      <c r="AA1623" s="46" t="s">
        <v>59</v>
      </c>
      <c r="AB1623" s="46" t="s">
        <v>59</v>
      </c>
      <c r="AC1623" s="46" t="s">
        <v>59</v>
      </c>
      <c r="AD1623" s="46" t="s">
        <v>59</v>
      </c>
      <c r="AE1623" s="46" t="s">
        <v>59</v>
      </c>
      <c r="AF1623" s="46" t="s">
        <v>37</v>
      </c>
      <c r="AG1623" s="46" t="s">
        <v>59</v>
      </c>
      <c r="AH1623" s="46" t="s">
        <v>43</v>
      </c>
      <c r="AI1623" s="46" t="s">
        <v>59</v>
      </c>
      <c r="AJ1623" s="46">
        <f>=SUM(E1624:AI1624)</f>
      </c>
      <c r="AK1623" s="46">
        <f>=+AY1623</f>
      </c>
      <c r="AL1623" s="46"/>
      <c r="AM1623" s="1"/>
      <c r="AN1623" s="1">
        <f>=COUNTIF(E1623:AI1623,"A")+COUNTIF(E1623:AI1623,"B")+COUNTIF(E1623:AI1623,"C")+COUNTIF(E1623:AI1623,"D")+COUNTIF(E1623:AI1623,"E")+COUNTIF(E1623:AI1623,"F")+COUNTIF(E1623:AI1623,"M")+COUNTIF(E1623:AI1623,"AB")+COUNTIF(E1623:AI1623,"UZ")+COUNTIF(E1623:AI1623,"G")+(COUNTIF(E1623:AI1623,"RT.")/2)+(COUNTIF(E1623:AI1623,"ÇRT.")/2)</f>
      </c>
      <c r="AO1623" s="1">
        <f>=COUNTIF(E1623:AI1623,"O")</f>
      </c>
      <c r="AP1623" s="1">
        <f>=COUNTIF(E1623:AI1623,"RT")+(COUNTIF(E1623:AI1623,"RT.")/2)</f>
      </c>
      <c r="AQ1623" s="1">
        <f>=COUNTIF(E1623:AI1623,"ÇRT")+(COUNTIF(E1623:AI1623,"ÇRT.")/2)</f>
      </c>
      <c r="AR1623" s="1">
        <f>=COUNTIF(E1623:AI1623,"ÇHT")</f>
      </c>
      <c r="AS1623" s="1">
        <f>=COUNTIF(E1623:AI1623,"Ö")+COUNTIF(E1623:AI1623,"T")</f>
      </c>
      <c r="AT1623" s="1">
        <f>=COUNTIF(E1623:AI1623,"Y")</f>
      </c>
      <c r="AU1623" s="1">
        <f>=COUNTIF(E1623:AI1623,"R.")</f>
      </c>
      <c r="AV1623" s="1">
        <f>=COUNTIF(E1623:AI1623,"Ü")</f>
      </c>
      <c r="AW1623" s="1">
        <f>=COUNTIF(E1623:AI1623,"R")</f>
      </c>
      <c r="AX1623" s="1">
        <f>=COUNTIF(E1623:AI1623,"DV")</f>
      </c>
      <c r="AY1623" s="1">
        <f>=+AN1623+AO1623+AP1623+AQ1623+AR1623+AS1623+AT1623+AU1623</f>
      </c>
    </row>
    <row r="1624" ht="16" customHeight="1" spans="1:51" x14ac:dyDescent="0.25">
      <c r="A1624" s="45"/>
      <c r="B1624" s="46"/>
      <c r="C1624" s="46"/>
      <c r="D1624" s="46" t="s">
        <v>33</v>
      </c>
      <c r="E1624" s="46"/>
      <c r="F1624" s="46"/>
      <c r="G1624" s="46"/>
      <c r="H1624" s="46"/>
      <c r="I1624" s="46"/>
      <c r="J1624" s="46">
        <v>1</v>
      </c>
      <c r="K1624" s="46"/>
      <c r="L1624" s="46">
        <v>2</v>
      </c>
      <c r="M1624" s="46">
        <v>1</v>
      </c>
      <c r="N1624" s="46">
        <v>2</v>
      </c>
      <c r="O1624" s="46">
        <v>1</v>
      </c>
      <c r="P1624" s="46"/>
      <c r="Q1624" s="46"/>
      <c r="R1624" s="46"/>
      <c r="S1624" s="46"/>
      <c r="T1624" s="46"/>
      <c r="U1624" s="46"/>
      <c r="V1624" s="46">
        <v>1</v>
      </c>
      <c r="W1624" s="46">
        <v>2</v>
      </c>
      <c r="X1624" s="46"/>
      <c r="Y1624" s="46"/>
      <c r="Z1624" s="46"/>
      <c r="AA1624" s="46"/>
      <c r="AB1624" s="46"/>
      <c r="AC1624" s="46"/>
      <c r="AD1624" s="46"/>
      <c r="AE1624" s="46"/>
      <c r="AF1624" s="46"/>
      <c r="AG1624" s="46"/>
      <c r="AH1624" s="46">
        <v>3</v>
      </c>
      <c r="AI1624" s="46">
        <v>2</v>
      </c>
      <c r="AJ1624" s="46"/>
      <c r="AK1624" s="46"/>
      <c r="AL1624" s="46"/>
      <c r="AM1624" s="1"/>
      <c r="AN1624" s="1"/>
      <c r="AO1624" s="1"/>
      <c r="AP1624" s="1"/>
      <c r="AQ1624" s="1"/>
      <c r="AR1624" s="1"/>
      <c r="AS1624" s="1"/>
      <c r="AT1624" s="1"/>
      <c r="AU1624" s="1"/>
      <c r="AV1624" s="1"/>
      <c r="AW1624" s="1"/>
      <c r="AX1624" s="1"/>
      <c r="AY1624" s="1"/>
    </row>
    <row r="1625" ht="16" customHeight="1" spans="1:51" x14ac:dyDescent="0.25">
      <c r="A1625" s="45"/>
      <c r="B1625" s="46" t="s">
        <v>1677</v>
      </c>
      <c r="C1625" s="46" t="s">
        <v>1678</v>
      </c>
      <c r="D1625" s="46" t="s">
        <v>29</v>
      </c>
      <c r="E1625" s="46" t="s">
        <v>59</v>
      </c>
      <c r="F1625" s="46" t="s">
        <v>59</v>
      </c>
      <c r="G1625" s="46" t="s">
        <v>59</v>
      </c>
      <c r="H1625" s="46" t="s">
        <v>37</v>
      </c>
      <c r="I1625" s="46" t="s">
        <v>59</v>
      </c>
      <c r="J1625" s="46" t="s">
        <v>59</v>
      </c>
      <c r="K1625" s="46" t="s">
        <v>59</v>
      </c>
      <c r="L1625" s="46" t="s">
        <v>59</v>
      </c>
      <c r="M1625" s="46" t="s">
        <v>59</v>
      </c>
      <c r="N1625" s="46" t="s">
        <v>59</v>
      </c>
      <c r="O1625" s="46" t="s">
        <v>37</v>
      </c>
      <c r="P1625" s="46" t="s">
        <v>59</v>
      </c>
      <c r="Q1625" s="46" t="s">
        <v>59</v>
      </c>
      <c r="R1625" s="46" t="s">
        <v>59</v>
      </c>
      <c r="S1625" s="46" t="s">
        <v>59</v>
      </c>
      <c r="T1625" s="46" t="s">
        <v>59</v>
      </c>
      <c r="U1625" s="46" t="s">
        <v>59</v>
      </c>
      <c r="V1625" s="46" t="s">
        <v>37</v>
      </c>
      <c r="W1625" s="46" t="s">
        <v>59</v>
      </c>
      <c r="X1625" s="46" t="s">
        <v>59</v>
      </c>
      <c r="Y1625" s="46" t="s">
        <v>59</v>
      </c>
      <c r="Z1625" s="46" t="s">
        <v>59</v>
      </c>
      <c r="AA1625" s="46" t="s">
        <v>59</v>
      </c>
      <c r="AB1625" s="46" t="s">
        <v>59</v>
      </c>
      <c r="AC1625" s="46" t="s">
        <v>37</v>
      </c>
      <c r="AD1625" s="46" t="s">
        <v>59</v>
      </c>
      <c r="AE1625" s="46" t="s">
        <v>59</v>
      </c>
      <c r="AF1625" s="46" t="s">
        <v>59</v>
      </c>
      <c r="AG1625" s="46" t="s">
        <v>59</v>
      </c>
      <c r="AH1625" s="46" t="s">
        <v>43</v>
      </c>
      <c r="AI1625" s="46" t="s">
        <v>59</v>
      </c>
      <c r="AJ1625" s="46">
        <f>=SUM(E1626:AI1626)</f>
      </c>
      <c r="AK1625" s="46">
        <f>=+AY1625</f>
      </c>
      <c r="AL1625" s="46"/>
      <c r="AM1625" s="1"/>
      <c r="AN1625" s="1">
        <f>=COUNTIF(E1625:AI1625,"A")+COUNTIF(E1625:AI1625,"B")+COUNTIF(E1625:AI1625,"C")+COUNTIF(E1625:AI1625,"D")+COUNTIF(E1625:AI1625,"E")+COUNTIF(E1625:AI1625,"F")+COUNTIF(E1625:AI1625,"M")+COUNTIF(E1625:AI1625,"AB")+COUNTIF(E1625:AI1625,"UZ")+COUNTIF(E1625:AI1625,"G")+(COUNTIF(E1625:AI1625,"RT.")/2)+(COUNTIF(E1625:AI1625,"ÇRT.")/2)</f>
      </c>
      <c r="AO1625" s="1">
        <f>=COUNTIF(E1625:AI1625,"O")</f>
      </c>
      <c r="AP1625" s="1">
        <f>=COUNTIF(E1625:AI1625,"RT")+(COUNTIF(E1625:AI1625,"RT.")/2)</f>
      </c>
      <c r="AQ1625" s="1">
        <f>=COUNTIF(E1625:AI1625,"ÇRT")+(COUNTIF(E1625:AI1625,"ÇRT.")/2)</f>
      </c>
      <c r="AR1625" s="1">
        <f>=COUNTIF(E1625:AI1625,"ÇHT")</f>
      </c>
      <c r="AS1625" s="1">
        <f>=COUNTIF(E1625:AI1625,"Ö")+COUNTIF(E1625:AI1625,"T")</f>
      </c>
      <c r="AT1625" s="1">
        <f>=COUNTIF(E1625:AI1625,"Y")</f>
      </c>
      <c r="AU1625" s="1">
        <f>=COUNTIF(E1625:AI1625,"R.")</f>
      </c>
      <c r="AV1625" s="1">
        <f>=COUNTIF(E1625:AI1625,"Ü")</f>
      </c>
      <c r="AW1625" s="1">
        <f>=COUNTIF(E1625:AI1625,"R")</f>
      </c>
      <c r="AX1625" s="1">
        <f>=COUNTIF(E1625:AI1625,"DV")</f>
      </c>
      <c r="AY1625" s="1">
        <f>=+AN1625+AO1625+AP1625+AQ1625+AR1625+AS1625+AT1625+AU1625</f>
      </c>
    </row>
    <row r="1626" ht="16" customHeight="1" spans="1:51" x14ac:dyDescent="0.25">
      <c r="A1626" s="45"/>
      <c r="B1626" s="46"/>
      <c r="C1626" s="46"/>
      <c r="D1626" s="46" t="s">
        <v>33</v>
      </c>
      <c r="E1626" s="46"/>
      <c r="F1626" s="46"/>
      <c r="G1626" s="46">
        <v>1</v>
      </c>
      <c r="H1626" s="46"/>
      <c r="I1626" s="46">
        <v>1</v>
      </c>
      <c r="J1626" s="46"/>
      <c r="K1626" s="46">
        <v>1</v>
      </c>
      <c r="L1626" s="46">
        <v>1</v>
      </c>
      <c r="M1626" s="46"/>
      <c r="N1626" s="46"/>
      <c r="O1626" s="46"/>
      <c r="P1626" s="46"/>
      <c r="Q1626" s="46"/>
      <c r="R1626" s="46"/>
      <c r="S1626" s="46"/>
      <c r="T1626" s="46"/>
      <c r="U1626" s="46">
        <v>1</v>
      </c>
      <c r="V1626" s="46"/>
      <c r="W1626" s="46">
        <v>2</v>
      </c>
      <c r="X1626" s="46"/>
      <c r="Y1626" s="46"/>
      <c r="Z1626" s="46"/>
      <c r="AA1626" s="46"/>
      <c r="AB1626" s="46"/>
      <c r="AC1626" s="46"/>
      <c r="AD1626" s="46"/>
      <c r="AE1626" s="46"/>
      <c r="AF1626" s="46"/>
      <c r="AG1626" s="46"/>
      <c r="AH1626" s="46">
        <v>3</v>
      </c>
      <c r="AI1626" s="46">
        <v>2</v>
      </c>
      <c r="AJ1626" s="46"/>
      <c r="AK1626" s="46"/>
      <c r="AL1626" s="46"/>
      <c r="AM1626" s="1"/>
      <c r="AN1626" s="1"/>
      <c r="AO1626" s="1"/>
      <c r="AP1626" s="1"/>
      <c r="AQ1626" s="1"/>
      <c r="AR1626" s="1"/>
      <c r="AS1626" s="1"/>
      <c r="AT1626" s="1"/>
      <c r="AU1626" s="1"/>
      <c r="AV1626" s="1"/>
      <c r="AW1626" s="1"/>
      <c r="AX1626" s="1"/>
      <c r="AY1626" s="1"/>
    </row>
    <row r="1627" ht="16" customHeight="1" spans="1:51" x14ac:dyDescent="0.25">
      <c r="A1627" s="45"/>
      <c r="B1627" s="46" t="s">
        <v>1679</v>
      </c>
      <c r="C1627" s="46" t="s">
        <v>1680</v>
      </c>
      <c r="D1627" s="46" t="s">
        <v>29</v>
      </c>
      <c r="E1627" s="46"/>
      <c r="F1627" s="46"/>
      <c r="G1627" s="46"/>
      <c r="H1627" s="46"/>
      <c r="I1627" s="46"/>
      <c r="J1627" s="46"/>
      <c r="K1627" s="46"/>
      <c r="L1627" s="46"/>
      <c r="M1627" s="46"/>
      <c r="N1627" s="46"/>
      <c r="O1627" s="46" t="s">
        <v>36</v>
      </c>
      <c r="P1627" s="46" t="s">
        <v>59</v>
      </c>
      <c r="Q1627" s="46" t="s">
        <v>59</v>
      </c>
      <c r="R1627" s="46" t="s">
        <v>59</v>
      </c>
      <c r="S1627" s="46" t="s">
        <v>59</v>
      </c>
      <c r="T1627" s="46" t="s">
        <v>59</v>
      </c>
      <c r="U1627" s="46" t="s">
        <v>37</v>
      </c>
      <c r="V1627" s="46" t="s">
        <v>59</v>
      </c>
      <c r="W1627" s="46" t="s">
        <v>59</v>
      </c>
      <c r="X1627" s="46" t="s">
        <v>59</v>
      </c>
      <c r="Y1627" s="46" t="s">
        <v>59</v>
      </c>
      <c r="Z1627" s="46" t="s">
        <v>59</v>
      </c>
      <c r="AA1627" s="46" t="s">
        <v>59</v>
      </c>
      <c r="AB1627" s="46" t="s">
        <v>1348</v>
      </c>
      <c r="AC1627" s="46" t="s">
        <v>1348</v>
      </c>
      <c r="AD1627" s="46" t="s">
        <v>1348</v>
      </c>
      <c r="AE1627" s="46" t="s">
        <v>37</v>
      </c>
      <c r="AF1627" s="46" t="s">
        <v>1348</v>
      </c>
      <c r="AG1627" s="46" t="s">
        <v>1348</v>
      </c>
      <c r="AH1627" s="46" t="s">
        <v>43</v>
      </c>
      <c r="AI1627" s="46" t="s">
        <v>37</v>
      </c>
      <c r="AJ1627" s="46">
        <f>=SUM(E1628:AI1628)</f>
      </c>
      <c r="AK1627" s="46">
        <f>=+AY1627</f>
      </c>
      <c r="AL1627" s="46"/>
      <c r="AM1627" s="1"/>
      <c r="AN1627" s="1">
        <f>=COUNTIF(E1627:AI1627,"A")+COUNTIF(E1627:AI1627,"B")+COUNTIF(E1627:AI1627,"C")+COUNTIF(E1627:AI1627,"D")+COUNTIF(E1627:AI1627,"E")+COUNTIF(E1627:AI1627,"F")+COUNTIF(E1627:AI1627,"M")+COUNTIF(E1627:AI1627,"AB")+COUNTIF(E1627:AI1627,"UZ")+COUNTIF(E1627:AI1627,"G")+(COUNTIF(E1627:AI1627,"RT.")/2)+(COUNTIF(E1627:AI1627,"ÇRT.")/2)</f>
      </c>
      <c r="AO1627" s="1">
        <f>=COUNTIF(E1627:AI1627,"O")</f>
      </c>
      <c r="AP1627" s="1">
        <f>=COUNTIF(E1627:AI1627,"RT")+(COUNTIF(E1627:AI1627,"RT.")/2)</f>
      </c>
      <c r="AQ1627" s="1">
        <f>=COUNTIF(E1627:AI1627,"ÇRT")+(COUNTIF(E1627:AI1627,"ÇRT.")/2)</f>
      </c>
      <c r="AR1627" s="1">
        <f>=COUNTIF(E1627:AI1627,"ÇHT")</f>
      </c>
      <c r="AS1627" s="1">
        <f>=COUNTIF(E1627:AI1627,"Ö")+COUNTIF(E1627:AI1627,"T")</f>
      </c>
      <c r="AT1627" s="1">
        <f>=COUNTIF(E1627:AI1627,"Y")</f>
      </c>
      <c r="AU1627" s="1">
        <f>=COUNTIF(E1627:AI1627,"R.")</f>
      </c>
      <c r="AV1627" s="1">
        <f>=COUNTIF(E1627:AI1627,"Ü")</f>
      </c>
      <c r="AW1627" s="1">
        <f>=COUNTIF(E1627:AI1627,"R")</f>
      </c>
      <c r="AX1627" s="1">
        <f>=COUNTIF(E1627:AI1627,"DV")</f>
      </c>
      <c r="AY1627" s="1">
        <f>=+AN1627+AO1627+AP1627+AQ1627+AR1627+AS1627+AT1627+AU1627</f>
      </c>
    </row>
    <row r="1628" ht="16" customHeight="1" spans="1:51" x14ac:dyDescent="0.25">
      <c r="A1628" s="45"/>
      <c r="B1628" s="46"/>
      <c r="C1628" s="46"/>
      <c r="D1628" s="46" t="s">
        <v>33</v>
      </c>
      <c r="E1628" s="46"/>
      <c r="F1628" s="46"/>
      <c r="G1628" s="46"/>
      <c r="H1628" s="46"/>
      <c r="I1628" s="46"/>
      <c r="J1628" s="46"/>
      <c r="K1628" s="46"/>
      <c r="L1628" s="46"/>
      <c r="M1628" s="46"/>
      <c r="N1628" s="46"/>
      <c r="O1628" s="46"/>
      <c r="P1628" s="46">
        <v>1</v>
      </c>
      <c r="Q1628" s="46"/>
      <c r="R1628" s="46"/>
      <c r="S1628" s="46"/>
      <c r="T1628" s="46"/>
      <c r="U1628" s="46"/>
      <c r="V1628" s="46"/>
      <c r="W1628" s="46">
        <v>1</v>
      </c>
      <c r="X1628" s="46"/>
      <c r="Y1628" s="46"/>
      <c r="Z1628" s="46"/>
      <c r="AA1628" s="46"/>
      <c r="AB1628" s="46"/>
      <c r="AC1628" s="46"/>
      <c r="AD1628" s="46"/>
      <c r="AE1628" s="46"/>
      <c r="AF1628" s="46"/>
      <c r="AG1628" s="46"/>
      <c r="AH1628" s="46"/>
      <c r="AI1628" s="46"/>
      <c r="AJ1628" s="46"/>
      <c r="AK1628" s="46"/>
      <c r="AL1628" s="46"/>
      <c r="AM1628" s="1"/>
      <c r="AN1628" s="1"/>
      <c r="AO1628" s="1"/>
      <c r="AP1628" s="1"/>
      <c r="AQ1628" s="1"/>
      <c r="AR1628" s="1"/>
      <c r="AS1628" s="1"/>
      <c r="AT1628" s="1"/>
      <c r="AU1628" s="1"/>
      <c r="AV1628" s="1"/>
      <c r="AW1628" s="1"/>
      <c r="AX1628" s="1"/>
      <c r="AY1628" s="1"/>
    </row>
    <row r="1629" ht="16" customHeight="1" spans="1:51" x14ac:dyDescent="0.25">
      <c r="A1629" s="45"/>
      <c r="B1629" s="46" t="s">
        <v>1681</v>
      </c>
      <c r="C1629" s="46" t="s">
        <v>1682</v>
      </c>
      <c r="D1629" s="46" t="s">
        <v>29</v>
      </c>
      <c r="E1629" s="46" t="s">
        <v>1348</v>
      </c>
      <c r="F1629" s="46" t="s">
        <v>1348</v>
      </c>
      <c r="G1629" s="46" t="s">
        <v>59</v>
      </c>
      <c r="H1629" s="46" t="s">
        <v>59</v>
      </c>
      <c r="I1629" s="46" t="s">
        <v>1348</v>
      </c>
      <c r="J1629" s="46" t="s">
        <v>37</v>
      </c>
      <c r="K1629" s="46" t="s">
        <v>59</v>
      </c>
      <c r="L1629" s="46" t="s">
        <v>59</v>
      </c>
      <c r="M1629" s="46" t="s">
        <v>1348</v>
      </c>
      <c r="N1629" s="46" t="s">
        <v>59</v>
      </c>
      <c r="O1629" s="46" t="s">
        <v>59</v>
      </c>
      <c r="P1629" s="46" t="s">
        <v>59</v>
      </c>
      <c r="Q1629" s="46" t="s">
        <v>37</v>
      </c>
      <c r="R1629" s="46" t="s">
        <v>59</v>
      </c>
      <c r="S1629" s="46" t="s">
        <v>59</v>
      </c>
      <c r="T1629" s="46" t="s">
        <v>59</v>
      </c>
      <c r="U1629" s="46" t="s">
        <v>59</v>
      </c>
      <c r="V1629" s="46" t="s">
        <v>59</v>
      </c>
      <c r="W1629" s="46" t="s">
        <v>59</v>
      </c>
      <c r="X1629" s="46" t="s">
        <v>37</v>
      </c>
      <c r="Y1629" s="46" t="s">
        <v>59</v>
      </c>
      <c r="Z1629" s="46" t="s">
        <v>59</v>
      </c>
      <c r="AA1629" s="46" t="s">
        <v>59</v>
      </c>
      <c r="AB1629" s="46" t="s">
        <v>59</v>
      </c>
      <c r="AC1629" s="46" t="s">
        <v>59</v>
      </c>
      <c r="AD1629" s="46" t="s">
        <v>59</v>
      </c>
      <c r="AE1629" s="46" t="s">
        <v>37</v>
      </c>
      <c r="AF1629" s="46" t="s">
        <v>59</v>
      </c>
      <c r="AG1629" s="46" t="s">
        <v>59</v>
      </c>
      <c r="AH1629" s="46" t="s">
        <v>43</v>
      </c>
      <c r="AI1629" s="46" t="s">
        <v>37</v>
      </c>
      <c r="AJ1629" s="46">
        <f>=SUM(E1630:AI1630)</f>
      </c>
      <c r="AK1629" s="46">
        <f>=+AY1629</f>
      </c>
      <c r="AL1629" s="46"/>
      <c r="AM1629" s="1"/>
      <c r="AN1629" s="1">
        <f>=COUNTIF(E1629:AI1629,"A")+COUNTIF(E1629:AI1629,"B")+COUNTIF(E1629:AI1629,"C")+COUNTIF(E1629:AI1629,"D")+COUNTIF(E1629:AI1629,"E")+COUNTIF(E1629:AI1629,"F")+COUNTIF(E1629:AI1629,"M")+COUNTIF(E1629:AI1629,"AB")+COUNTIF(E1629:AI1629,"UZ")+COUNTIF(E1629:AI1629,"G")+(COUNTIF(E1629:AI1629,"RT.")/2)+(COUNTIF(E1629:AI1629,"ÇRT.")/2)</f>
      </c>
      <c r="AO1629" s="1">
        <f>=COUNTIF(E1629:AI1629,"O")</f>
      </c>
      <c r="AP1629" s="1">
        <f>=COUNTIF(E1629:AI1629,"RT")+(COUNTIF(E1629:AI1629,"RT.")/2)</f>
      </c>
      <c r="AQ1629" s="1">
        <f>=COUNTIF(E1629:AI1629,"ÇRT")+(COUNTIF(E1629:AI1629,"ÇRT.")/2)</f>
      </c>
      <c r="AR1629" s="1">
        <f>=COUNTIF(E1629:AI1629,"ÇHT")</f>
      </c>
      <c r="AS1629" s="1">
        <f>=COUNTIF(E1629:AI1629,"Ö")+COUNTIF(E1629:AI1629,"T")</f>
      </c>
      <c r="AT1629" s="1">
        <f>=COUNTIF(E1629:AI1629,"Y")</f>
      </c>
      <c r="AU1629" s="1">
        <f>=COUNTIF(E1629:AI1629,"R.")</f>
      </c>
      <c r="AV1629" s="1">
        <f>=COUNTIF(E1629:AI1629,"Ü")</f>
      </c>
      <c r="AW1629" s="1">
        <f>=COUNTIF(E1629:AI1629,"R")</f>
      </c>
      <c r="AX1629" s="1">
        <f>=COUNTIF(E1629:AI1629,"DV")</f>
      </c>
      <c r="AY1629" s="1">
        <f>=+AN1629+AO1629+AP1629+AQ1629+AR1629+AS1629+AT1629+AU1629</f>
      </c>
    </row>
    <row r="1630" ht="16" customHeight="1" spans="1:51" x14ac:dyDescent="0.25">
      <c r="A1630" s="45"/>
      <c r="B1630" s="46"/>
      <c r="C1630" s="46"/>
      <c r="D1630" s="46" t="s">
        <v>33</v>
      </c>
      <c r="E1630" s="46"/>
      <c r="F1630" s="46"/>
      <c r="G1630" s="46"/>
      <c r="H1630" s="46"/>
      <c r="I1630" s="46"/>
      <c r="J1630" s="46"/>
      <c r="K1630" s="46"/>
      <c r="L1630" s="46"/>
      <c r="M1630" s="46"/>
      <c r="N1630" s="46"/>
      <c r="O1630" s="46"/>
      <c r="P1630" s="46"/>
      <c r="Q1630" s="46"/>
      <c r="R1630" s="46"/>
      <c r="S1630" s="46"/>
      <c r="T1630" s="46"/>
      <c r="U1630" s="46"/>
      <c r="V1630" s="46"/>
      <c r="W1630" s="46">
        <v>1</v>
      </c>
      <c r="X1630" s="46"/>
      <c r="Y1630" s="46"/>
      <c r="Z1630" s="46"/>
      <c r="AA1630" s="46"/>
      <c r="AB1630" s="46"/>
      <c r="AC1630" s="46"/>
      <c r="AD1630" s="46"/>
      <c r="AE1630" s="46"/>
      <c r="AF1630" s="46"/>
      <c r="AG1630" s="46"/>
      <c r="AH1630" s="46"/>
      <c r="AI1630" s="46"/>
      <c r="AJ1630" s="46"/>
      <c r="AK1630" s="46"/>
      <c r="AL1630" s="46"/>
      <c r="AM1630" s="1"/>
      <c r="AN1630" s="1"/>
      <c r="AO1630" s="1"/>
      <c r="AP1630" s="1"/>
      <c r="AQ1630" s="1"/>
      <c r="AR1630" s="1"/>
      <c r="AS1630" s="1"/>
      <c r="AT1630" s="1"/>
      <c r="AU1630" s="1"/>
      <c r="AV1630" s="1"/>
      <c r="AW1630" s="1"/>
      <c r="AX1630" s="1"/>
      <c r="AY1630" s="1"/>
    </row>
    <row r="1631" ht="16" customHeight="1" spans="1:51" x14ac:dyDescent="0.25">
      <c r="A1631" s="45"/>
      <c r="B1631" s="46" t="s">
        <v>1683</v>
      </c>
      <c r="C1631" s="46" t="s">
        <v>1684</v>
      </c>
      <c r="D1631" s="46" t="s">
        <v>29</v>
      </c>
      <c r="E1631" s="46"/>
      <c r="F1631" s="46"/>
      <c r="G1631" s="46"/>
      <c r="H1631" s="46"/>
      <c r="I1631" s="46"/>
      <c r="J1631" s="46"/>
      <c r="K1631" s="46"/>
      <c r="L1631" s="46"/>
      <c r="M1631" s="46"/>
      <c r="N1631" s="46"/>
      <c r="O1631" s="46"/>
      <c r="P1631" s="46"/>
      <c r="Q1631" s="46"/>
      <c r="R1631" s="46"/>
      <c r="S1631" s="46"/>
      <c r="T1631" s="46"/>
      <c r="U1631" s="46"/>
      <c r="V1631" s="46"/>
      <c r="W1631" s="46"/>
      <c r="X1631" s="46"/>
      <c r="Y1631" s="46"/>
      <c r="Z1631" s="46"/>
      <c r="AA1631" s="46"/>
      <c r="AB1631" s="46"/>
      <c r="AC1631" s="46"/>
      <c r="AD1631" s="46"/>
      <c r="AE1631" s="46"/>
      <c r="AF1631" s="46"/>
      <c r="AG1631" s="46"/>
      <c r="AH1631" s="46"/>
      <c r="AI1631" s="46"/>
      <c r="AJ1631" s="46">
        <f>=SUM(E1632:AI1632)</f>
      </c>
      <c r="AK1631" s="46">
        <f>=+AY1631</f>
      </c>
      <c r="AL1631" s="46"/>
      <c r="AM1631" s="1"/>
      <c r="AN1631" s="1">
        <f>=COUNTIF(E1631:AI1631,"A")+COUNTIF(E1631:AI1631,"B")+COUNTIF(E1631:AI1631,"C")+COUNTIF(E1631:AI1631,"D")+COUNTIF(E1631:AI1631,"E")+COUNTIF(E1631:AI1631,"F")+COUNTIF(E1631:AI1631,"M")+COUNTIF(E1631:AI1631,"AB")+COUNTIF(E1631:AI1631,"UZ")+COUNTIF(E1631:AI1631,"G")+(COUNTIF(E1631:AI1631,"RT.")/2)+(COUNTIF(E1631:AI1631,"ÇRT.")/2)</f>
      </c>
      <c r="AO1631" s="1">
        <f>=COUNTIF(E1631:AI1631,"O")</f>
      </c>
      <c r="AP1631" s="1">
        <f>=COUNTIF(E1631:AI1631,"RT")+(COUNTIF(E1631:AI1631,"RT.")/2)</f>
      </c>
      <c r="AQ1631" s="1">
        <f>=COUNTIF(E1631:AI1631,"ÇRT")+(COUNTIF(E1631:AI1631,"ÇRT.")/2)</f>
      </c>
      <c r="AR1631" s="1">
        <f>=COUNTIF(E1631:AI1631,"ÇHT")</f>
      </c>
      <c r="AS1631" s="1">
        <f>=COUNTIF(E1631:AI1631,"Ö")+COUNTIF(E1631:AI1631,"T")</f>
      </c>
      <c r="AT1631" s="1">
        <f>=COUNTIF(E1631:AI1631,"Y")</f>
      </c>
      <c r="AU1631" s="1">
        <f>=COUNTIF(E1631:AI1631,"R.")</f>
      </c>
      <c r="AV1631" s="1">
        <f>=COUNTIF(E1631:AI1631,"Ü")</f>
      </c>
      <c r="AW1631" s="1">
        <f>=COUNTIF(E1631:AI1631,"R")</f>
      </c>
      <c r="AX1631" s="1">
        <f>=COUNTIF(E1631:AI1631,"DV")</f>
      </c>
      <c r="AY1631" s="1">
        <f>=+AN1631+AO1631+AP1631+AQ1631+AR1631+AS1631+AT1631+AU1631</f>
      </c>
    </row>
    <row r="1632" ht="16" customHeight="1" spans="1:51" x14ac:dyDescent="0.25">
      <c r="A1632" s="45"/>
      <c r="B1632" s="46"/>
      <c r="C1632" s="46"/>
      <c r="D1632" s="46" t="s">
        <v>33</v>
      </c>
      <c r="E1632" s="46"/>
      <c r="F1632" s="46"/>
      <c r="G1632" s="46"/>
      <c r="H1632" s="46"/>
      <c r="I1632" s="46"/>
      <c r="J1632" s="46"/>
      <c r="K1632" s="46"/>
      <c r="L1632" s="46"/>
      <c r="M1632" s="46"/>
      <c r="N1632" s="46"/>
      <c r="O1632" s="46"/>
      <c r="P1632" s="46"/>
      <c r="Q1632" s="46"/>
      <c r="R1632" s="46"/>
      <c r="S1632" s="46"/>
      <c r="T1632" s="46"/>
      <c r="U1632" s="46"/>
      <c r="V1632" s="46"/>
      <c r="W1632" s="46"/>
      <c r="X1632" s="46"/>
      <c r="Y1632" s="46"/>
      <c r="Z1632" s="46"/>
      <c r="AA1632" s="46"/>
      <c r="AB1632" s="46"/>
      <c r="AC1632" s="46"/>
      <c r="AD1632" s="46"/>
      <c r="AE1632" s="46"/>
      <c r="AF1632" s="46"/>
      <c r="AG1632" s="46"/>
      <c r="AH1632" s="46"/>
      <c r="AI1632" s="46"/>
      <c r="AJ1632" s="46"/>
      <c r="AK1632" s="46"/>
      <c r="AL1632" s="46"/>
      <c r="AM1632" s="1"/>
      <c r="AN1632" s="1"/>
      <c r="AO1632" s="1"/>
      <c r="AP1632" s="1"/>
      <c r="AQ1632" s="1"/>
      <c r="AR1632" s="1"/>
      <c r="AS1632" s="1"/>
      <c r="AT1632" s="1"/>
      <c r="AU1632" s="1"/>
      <c r="AV1632" s="1"/>
      <c r="AW1632" s="1"/>
      <c r="AX1632" s="1"/>
      <c r="AY1632" s="1"/>
    </row>
    <row r="1633" ht="16" customHeight="1" spans="1:51" x14ac:dyDescent="0.25">
      <c r="A1633" s="45"/>
      <c r="B1633" s="46" t="s">
        <v>1685</v>
      </c>
      <c r="C1633" s="46" t="s">
        <v>1686</v>
      </c>
      <c r="D1633" s="46" t="s">
        <v>29</v>
      </c>
      <c r="E1633" s="46" t="s">
        <v>36</v>
      </c>
      <c r="F1633" s="46" t="s">
        <v>36</v>
      </c>
      <c r="G1633" s="46" t="s">
        <v>36</v>
      </c>
      <c r="H1633" s="46" t="s">
        <v>36</v>
      </c>
      <c r="I1633" s="46" t="s">
        <v>36</v>
      </c>
      <c r="J1633" s="46" t="s">
        <v>36</v>
      </c>
      <c r="K1633" s="46" t="s">
        <v>37</v>
      </c>
      <c r="L1633" s="46" t="s">
        <v>36</v>
      </c>
      <c r="M1633" s="46" t="s">
        <v>36</v>
      </c>
      <c r="N1633" s="46" t="s">
        <v>36</v>
      </c>
      <c r="O1633" s="46" t="s">
        <v>36</v>
      </c>
      <c r="P1633" s="46" t="s">
        <v>36</v>
      </c>
      <c r="Q1633" s="46" t="s">
        <v>36</v>
      </c>
      <c r="R1633" s="46" t="s">
        <v>37</v>
      </c>
      <c r="S1633" s="46" t="s">
        <v>36</v>
      </c>
      <c r="T1633" s="46" t="s">
        <v>36</v>
      </c>
      <c r="U1633" s="46" t="s">
        <v>36</v>
      </c>
      <c r="V1633" s="46" t="s">
        <v>36</v>
      </c>
      <c r="W1633" s="46" t="s">
        <v>36</v>
      </c>
      <c r="X1633" s="46" t="s">
        <v>36</v>
      </c>
      <c r="Y1633" s="46" t="s">
        <v>37</v>
      </c>
      <c r="Z1633" s="46" t="s">
        <v>36</v>
      </c>
      <c r="AA1633" s="46" t="s">
        <v>36</v>
      </c>
      <c r="AB1633" s="46" t="s">
        <v>36</v>
      </c>
      <c r="AC1633" s="46" t="s">
        <v>36</v>
      </c>
      <c r="AD1633" s="46" t="s">
        <v>36</v>
      </c>
      <c r="AE1633" s="46" t="s">
        <v>36</v>
      </c>
      <c r="AF1633" s="46" t="s">
        <v>37</v>
      </c>
      <c r="AG1633" s="46" t="s">
        <v>36</v>
      </c>
      <c r="AH1633" s="46" t="s">
        <v>43</v>
      </c>
      <c r="AI1633" s="46" t="s">
        <v>36</v>
      </c>
      <c r="AJ1633" s="46">
        <f>=SUM(E1634:AI1634)</f>
      </c>
      <c r="AK1633" s="46">
        <f>=+AY1633</f>
      </c>
      <c r="AL1633" s="46"/>
      <c r="AM1633" s="1"/>
      <c r="AN1633" s="1">
        <f>=COUNTIF(E1633:AI1633,"A")+COUNTIF(E1633:AI1633,"B")+COUNTIF(E1633:AI1633,"C")+COUNTIF(E1633:AI1633,"D")+COUNTIF(E1633:AI1633,"E")+COUNTIF(E1633:AI1633,"F")+COUNTIF(E1633:AI1633,"M")+COUNTIF(E1633:AI1633,"AB")+COUNTIF(E1633:AI1633,"UZ")+COUNTIF(E1633:AI1633,"G")+(COUNTIF(E1633:AI1633,"RT.")/2)+(COUNTIF(E1633:AI1633,"ÇRT.")/2)</f>
      </c>
      <c r="AO1633" s="1">
        <f>=COUNTIF(E1633:AI1633,"O")</f>
      </c>
      <c r="AP1633" s="1">
        <f>=COUNTIF(E1633:AI1633,"RT")+(COUNTIF(E1633:AI1633,"RT.")/2)</f>
      </c>
      <c r="AQ1633" s="1">
        <f>=COUNTIF(E1633:AI1633,"ÇRT")+(COUNTIF(E1633:AI1633,"ÇRT.")/2)</f>
      </c>
      <c r="AR1633" s="1">
        <f>=COUNTIF(E1633:AI1633,"ÇHT")</f>
      </c>
      <c r="AS1633" s="1">
        <f>=COUNTIF(E1633:AI1633,"Ö")+COUNTIF(E1633:AI1633,"T")</f>
      </c>
      <c r="AT1633" s="1">
        <f>=COUNTIF(E1633:AI1633,"Y")</f>
      </c>
      <c r="AU1633" s="1">
        <f>=COUNTIF(E1633:AI1633,"R.")</f>
      </c>
      <c r="AV1633" s="1">
        <f>=COUNTIF(E1633:AI1633,"Ü")</f>
      </c>
      <c r="AW1633" s="1">
        <f>=COUNTIF(E1633:AI1633,"R")</f>
      </c>
      <c r="AX1633" s="1">
        <f>=COUNTIF(E1633:AI1633,"DV")</f>
      </c>
      <c r="AY1633" s="1">
        <f>=+AN1633+AO1633+AP1633+AQ1633+AR1633+AS1633+AT1633+AU1633</f>
      </c>
    </row>
    <row r="1634" ht="16" customHeight="1" spans="1:51" x14ac:dyDescent="0.25">
      <c r="A1634" s="45"/>
      <c r="B1634" s="46"/>
      <c r="C1634" s="46"/>
      <c r="D1634" s="46" t="s">
        <v>33</v>
      </c>
      <c r="E1634" s="46"/>
      <c r="F1634" s="46"/>
      <c r="G1634" s="46"/>
      <c r="H1634" s="46"/>
      <c r="I1634" s="46"/>
      <c r="J1634" s="46"/>
      <c r="K1634" s="46"/>
      <c r="L1634" s="46"/>
      <c r="M1634" s="46"/>
      <c r="N1634" s="46"/>
      <c r="O1634" s="46"/>
      <c r="P1634" s="46"/>
      <c r="Q1634" s="46"/>
      <c r="R1634" s="46"/>
      <c r="S1634" s="46"/>
      <c r="T1634" s="46"/>
      <c r="U1634" s="46"/>
      <c r="V1634" s="46"/>
      <c r="W1634" s="46"/>
      <c r="X1634" s="46"/>
      <c r="Y1634" s="46"/>
      <c r="Z1634" s="46"/>
      <c r="AA1634" s="46"/>
      <c r="AB1634" s="46"/>
      <c r="AC1634" s="46"/>
      <c r="AD1634" s="46"/>
      <c r="AE1634" s="46"/>
      <c r="AF1634" s="46"/>
      <c r="AG1634" s="46"/>
      <c r="AH1634" s="46"/>
      <c r="AI1634" s="46"/>
      <c r="AJ1634" s="46"/>
      <c r="AK1634" s="46"/>
      <c r="AL1634" s="46"/>
      <c r="AM1634" s="1"/>
      <c r="AN1634" s="1"/>
      <c r="AO1634" s="1"/>
      <c r="AP1634" s="1"/>
      <c r="AQ1634" s="1"/>
      <c r="AR1634" s="1"/>
      <c r="AS1634" s="1"/>
      <c r="AT1634" s="1"/>
      <c r="AU1634" s="1"/>
      <c r="AV1634" s="1"/>
      <c r="AW1634" s="1"/>
      <c r="AX1634" s="1"/>
      <c r="AY1634" s="1"/>
    </row>
    <row r="1635" ht="16" customHeight="1" spans="1:51" x14ac:dyDescent="0.25">
      <c r="A1635" s="45"/>
      <c r="B1635" s="46" t="s">
        <v>1687</v>
      </c>
      <c r="C1635" s="46" t="s">
        <v>1688</v>
      </c>
      <c r="D1635" s="46" t="s">
        <v>29</v>
      </c>
      <c r="E1635" s="46" t="s">
        <v>36</v>
      </c>
      <c r="F1635" s="46" t="s">
        <v>36</v>
      </c>
      <c r="G1635" s="46" t="s">
        <v>36</v>
      </c>
      <c r="H1635" s="46" t="s">
        <v>36</v>
      </c>
      <c r="I1635" s="46" t="s">
        <v>153</v>
      </c>
      <c r="J1635" s="46" t="s">
        <v>37</v>
      </c>
      <c r="K1635" s="46" t="s">
        <v>36</v>
      </c>
      <c r="L1635" s="46" t="s">
        <v>36</v>
      </c>
      <c r="M1635" s="46" t="s">
        <v>36</v>
      </c>
      <c r="N1635" s="46" t="s">
        <v>36</v>
      </c>
      <c r="O1635" s="46" t="s">
        <v>36</v>
      </c>
      <c r="P1635" s="46" t="s">
        <v>36</v>
      </c>
      <c r="Q1635" s="46" t="s">
        <v>37</v>
      </c>
      <c r="R1635" s="46" t="s">
        <v>36</v>
      </c>
      <c r="S1635" s="46" t="s">
        <v>36</v>
      </c>
      <c r="T1635" s="46" t="s">
        <v>36</v>
      </c>
      <c r="U1635" s="46" t="s">
        <v>36</v>
      </c>
      <c r="V1635" s="46" t="s">
        <v>36</v>
      </c>
      <c r="W1635" s="46" t="s">
        <v>36</v>
      </c>
      <c r="X1635" s="46" t="s">
        <v>37</v>
      </c>
      <c r="Y1635" s="46" t="s">
        <v>36</v>
      </c>
      <c r="Z1635" s="46" t="s">
        <v>36</v>
      </c>
      <c r="AA1635" s="46" t="s">
        <v>36</v>
      </c>
      <c r="AB1635" s="46" t="s">
        <v>36</v>
      </c>
      <c r="AC1635" s="46" t="s">
        <v>36</v>
      </c>
      <c r="AD1635" s="46" t="s">
        <v>36</v>
      </c>
      <c r="AE1635" s="46" t="s">
        <v>37</v>
      </c>
      <c r="AF1635" s="46" t="s">
        <v>36</v>
      </c>
      <c r="AG1635" s="46" t="s">
        <v>36</v>
      </c>
      <c r="AH1635" s="46" t="s">
        <v>43</v>
      </c>
      <c r="AI1635" s="46" t="s">
        <v>36</v>
      </c>
      <c r="AJ1635" s="46">
        <f>=SUM(E1636:AI1636)</f>
      </c>
      <c r="AK1635" s="46">
        <f>=+AY1635</f>
      </c>
      <c r="AL1635" s="46"/>
      <c r="AM1635" s="1"/>
      <c r="AN1635" s="1">
        <f>=COUNTIF(E1635:AI1635,"A")+COUNTIF(E1635:AI1635,"B")+COUNTIF(E1635:AI1635,"C")+COUNTIF(E1635:AI1635,"D")+COUNTIF(E1635:AI1635,"E")+COUNTIF(E1635:AI1635,"F")+COUNTIF(E1635:AI1635,"M")+COUNTIF(E1635:AI1635,"AB")+COUNTIF(E1635:AI1635,"UZ")+COUNTIF(E1635:AI1635,"G")+(COUNTIF(E1635:AI1635,"RT.")/2)+(COUNTIF(E1635:AI1635,"ÇRT.")/2)</f>
      </c>
      <c r="AO1635" s="1">
        <f>=COUNTIF(E1635:AI1635,"O")</f>
      </c>
      <c r="AP1635" s="1">
        <f>=COUNTIF(E1635:AI1635,"RT")+(COUNTIF(E1635:AI1635,"RT.")/2)</f>
      </c>
      <c r="AQ1635" s="1">
        <f>=COUNTIF(E1635:AI1635,"ÇRT")+(COUNTIF(E1635:AI1635,"ÇRT.")/2)</f>
      </c>
      <c r="AR1635" s="1">
        <f>=COUNTIF(E1635:AI1635,"ÇHT")</f>
      </c>
      <c r="AS1635" s="1">
        <f>=COUNTIF(E1635:AI1635,"Ö")+COUNTIF(E1635:AI1635,"T")</f>
      </c>
      <c r="AT1635" s="1">
        <f>=COUNTIF(E1635:AI1635,"Y")</f>
      </c>
      <c r="AU1635" s="1">
        <f>=COUNTIF(E1635:AI1635,"R.")</f>
      </c>
      <c r="AV1635" s="1">
        <f>=COUNTIF(E1635:AI1635,"Ü")</f>
      </c>
      <c r="AW1635" s="1">
        <f>=COUNTIF(E1635:AI1635,"R")</f>
      </c>
      <c r="AX1635" s="1">
        <f>=COUNTIF(E1635:AI1635,"DV")</f>
      </c>
      <c r="AY1635" s="1">
        <f>=+AN1635+AO1635+AP1635+AQ1635+AR1635+AS1635+AT1635+AU1635</f>
      </c>
    </row>
    <row r="1636" ht="16" customHeight="1" spans="1:51" x14ac:dyDescent="0.25">
      <c r="A1636" s="45"/>
      <c r="B1636" s="46"/>
      <c r="C1636" s="46"/>
      <c r="D1636" s="46" t="s">
        <v>33</v>
      </c>
      <c r="E1636" s="46"/>
      <c r="F1636" s="46"/>
      <c r="G1636" s="46"/>
      <c r="H1636" s="46"/>
      <c r="I1636" s="46"/>
      <c r="J1636" s="46"/>
      <c r="K1636" s="46"/>
      <c r="L1636" s="46"/>
      <c r="M1636" s="46"/>
      <c r="N1636" s="46"/>
      <c r="O1636" s="46"/>
      <c r="P1636" s="46"/>
      <c r="Q1636" s="46"/>
      <c r="R1636" s="46"/>
      <c r="S1636" s="46"/>
      <c r="T1636" s="46"/>
      <c r="U1636" s="46"/>
      <c r="V1636" s="46"/>
      <c r="W1636" s="46"/>
      <c r="X1636" s="46"/>
      <c r="Y1636" s="46"/>
      <c r="Z1636" s="46"/>
      <c r="AA1636" s="46"/>
      <c r="AB1636" s="46"/>
      <c r="AC1636" s="46"/>
      <c r="AD1636" s="46"/>
      <c r="AE1636" s="46"/>
      <c r="AF1636" s="46"/>
      <c r="AG1636" s="46"/>
      <c r="AH1636" s="46"/>
      <c r="AI1636" s="46"/>
      <c r="AJ1636" s="46"/>
      <c r="AK1636" s="46"/>
      <c r="AL1636" s="46"/>
      <c r="AM1636" s="1"/>
      <c r="AN1636" s="1"/>
      <c r="AO1636" s="1"/>
      <c r="AP1636" s="1"/>
      <c r="AQ1636" s="1"/>
      <c r="AR1636" s="1"/>
      <c r="AS1636" s="1"/>
      <c r="AT1636" s="1"/>
      <c r="AU1636" s="1"/>
      <c r="AV1636" s="1"/>
      <c r="AW1636" s="1"/>
      <c r="AX1636" s="1"/>
      <c r="AY1636" s="1"/>
    </row>
    <row r="1637" ht="16" customHeight="1" spans="1:51" x14ac:dyDescent="0.25">
      <c r="A1637" s="45"/>
      <c r="B1637" s="46" t="s">
        <v>1689</v>
      </c>
      <c r="C1637" s="46" t="s">
        <v>1690</v>
      </c>
      <c r="D1637" s="46" t="s">
        <v>29</v>
      </c>
      <c r="E1637" s="46" t="s">
        <v>59</v>
      </c>
      <c r="F1637" s="46" t="s">
        <v>59</v>
      </c>
      <c r="G1637" s="46" t="s">
        <v>59</v>
      </c>
      <c r="H1637" s="46" t="s">
        <v>59</v>
      </c>
      <c r="I1637" s="46" t="s">
        <v>59</v>
      </c>
      <c r="J1637" s="46" t="s">
        <v>59</v>
      </c>
      <c r="K1637" s="46" t="s">
        <v>37</v>
      </c>
      <c r="L1637" s="46" t="s">
        <v>31</v>
      </c>
      <c r="M1637" s="46" t="s">
        <v>59</v>
      </c>
      <c r="N1637" s="46" t="s">
        <v>59</v>
      </c>
      <c r="O1637" s="46" t="s">
        <v>59</v>
      </c>
      <c r="P1637" s="46" t="s">
        <v>37</v>
      </c>
      <c r="Q1637" s="46" t="s">
        <v>59</v>
      </c>
      <c r="R1637" s="46" t="s">
        <v>59</v>
      </c>
      <c r="S1637" s="46" t="s">
        <v>59</v>
      </c>
      <c r="T1637" s="46" t="s">
        <v>59</v>
      </c>
      <c r="U1637" s="46" t="s">
        <v>59</v>
      </c>
      <c r="V1637" s="46" t="s">
        <v>59</v>
      </c>
      <c r="W1637" s="46" t="s">
        <v>37</v>
      </c>
      <c r="X1637" s="46" t="s">
        <v>59</v>
      </c>
      <c r="Y1637" s="46" t="s">
        <v>59</v>
      </c>
      <c r="Z1637" s="46" t="s">
        <v>59</v>
      </c>
      <c r="AA1637" s="46" t="s">
        <v>59</v>
      </c>
      <c r="AB1637" s="46" t="s">
        <v>59</v>
      </c>
      <c r="AC1637" s="46" t="s">
        <v>59</v>
      </c>
      <c r="AD1637" s="46" t="s">
        <v>37</v>
      </c>
      <c r="AE1637" s="46" t="s">
        <v>59</v>
      </c>
      <c r="AF1637" s="46" t="s">
        <v>59</v>
      </c>
      <c r="AG1637" s="46" t="s">
        <v>59</v>
      </c>
      <c r="AH1637" s="46" t="s">
        <v>43</v>
      </c>
      <c r="AI1637" s="46" t="s">
        <v>59</v>
      </c>
      <c r="AJ1637" s="46">
        <f>=SUM(E1638:AI1638)</f>
      </c>
      <c r="AK1637" s="46">
        <f>=+AY1637</f>
      </c>
      <c r="AL1637" s="46"/>
      <c r="AM1637" s="1"/>
      <c r="AN1637" s="1">
        <f>=COUNTIF(E1637:AI1637,"A")+COUNTIF(E1637:AI1637,"B")+COUNTIF(E1637:AI1637,"C")+COUNTIF(E1637:AI1637,"D")+COUNTIF(E1637:AI1637,"E")+COUNTIF(E1637:AI1637,"F")+COUNTIF(E1637:AI1637,"M")+COUNTIF(E1637:AI1637,"AB")+COUNTIF(E1637:AI1637,"UZ")+COUNTIF(E1637:AI1637,"G")+(COUNTIF(E1637:AI1637,"RT.")/2)+(COUNTIF(E1637:AI1637,"ÇRT.")/2)</f>
      </c>
      <c r="AO1637" s="1">
        <f>=COUNTIF(E1637:AI1637,"O")</f>
      </c>
      <c r="AP1637" s="1">
        <f>=COUNTIF(E1637:AI1637,"RT")+(COUNTIF(E1637:AI1637,"RT.")/2)</f>
      </c>
      <c r="AQ1637" s="1">
        <f>=COUNTIF(E1637:AI1637,"ÇRT")+(COUNTIF(E1637:AI1637,"ÇRT.")/2)</f>
      </c>
      <c r="AR1637" s="1">
        <f>=COUNTIF(E1637:AI1637,"ÇHT")</f>
      </c>
      <c r="AS1637" s="1">
        <f>=COUNTIF(E1637:AI1637,"Ö")+COUNTIF(E1637:AI1637,"T")</f>
      </c>
      <c r="AT1637" s="1">
        <f>=COUNTIF(E1637:AI1637,"Y")</f>
      </c>
      <c r="AU1637" s="1">
        <f>=COUNTIF(E1637:AI1637,"R.")</f>
      </c>
      <c r="AV1637" s="1">
        <f>=COUNTIF(E1637:AI1637,"Ü")</f>
      </c>
      <c r="AW1637" s="1">
        <f>=COUNTIF(E1637:AI1637,"R")</f>
      </c>
      <c r="AX1637" s="1">
        <f>=COUNTIF(E1637:AI1637,"DV")</f>
      </c>
      <c r="AY1637" s="1">
        <f>=+AN1637+AO1637+AP1637+AQ1637+AR1637+AS1637+AT1637+AU1637</f>
      </c>
    </row>
    <row r="1638" ht="16" customHeight="1" spans="1:51" x14ac:dyDescent="0.25">
      <c r="A1638" s="45"/>
      <c r="B1638" s="46"/>
      <c r="C1638" s="46"/>
      <c r="D1638" s="46" t="s">
        <v>33</v>
      </c>
      <c r="E1638" s="46"/>
      <c r="F1638" s="46"/>
      <c r="G1638" s="46"/>
      <c r="H1638" s="46"/>
      <c r="I1638" s="46"/>
      <c r="J1638" s="46"/>
      <c r="K1638" s="46"/>
      <c r="L1638" s="46"/>
      <c r="M1638" s="46"/>
      <c r="N1638" s="46"/>
      <c r="O1638" s="46"/>
      <c r="P1638" s="46"/>
      <c r="Q1638" s="46"/>
      <c r="R1638" s="46"/>
      <c r="S1638" s="46"/>
      <c r="T1638" s="46"/>
      <c r="U1638" s="46"/>
      <c r="V1638" s="46"/>
      <c r="W1638" s="46"/>
      <c r="X1638" s="46"/>
      <c r="Y1638" s="46"/>
      <c r="Z1638" s="46"/>
      <c r="AA1638" s="46"/>
      <c r="AB1638" s="46"/>
      <c r="AC1638" s="46"/>
      <c r="AD1638" s="46"/>
      <c r="AE1638" s="46"/>
      <c r="AF1638" s="46"/>
      <c r="AG1638" s="46"/>
      <c r="AH1638" s="46"/>
      <c r="AI1638" s="46"/>
      <c r="AJ1638" s="46"/>
      <c r="AK1638" s="46"/>
      <c r="AL1638" s="46"/>
      <c r="AM1638" s="1"/>
      <c r="AN1638" s="1"/>
      <c r="AO1638" s="1"/>
      <c r="AP1638" s="1"/>
      <c r="AQ1638" s="1"/>
      <c r="AR1638" s="1"/>
      <c r="AS1638" s="1"/>
      <c r="AT1638" s="1"/>
      <c r="AU1638" s="1"/>
      <c r="AV1638" s="1"/>
      <c r="AW1638" s="1"/>
      <c r="AX1638" s="1"/>
      <c r="AY1638" s="1"/>
    </row>
    <row r="1639" ht="16" customHeight="1" spans="1:51" x14ac:dyDescent="0.25">
      <c r="A1639" s="45"/>
      <c r="B1639" s="46" t="s">
        <v>1691</v>
      </c>
      <c r="C1639" s="46" t="s">
        <v>1692</v>
      </c>
      <c r="D1639" s="46" t="s">
        <v>29</v>
      </c>
      <c r="E1639" s="46" t="s">
        <v>36</v>
      </c>
      <c r="F1639" s="46" t="s">
        <v>36</v>
      </c>
      <c r="G1639" s="46" t="s">
        <v>37</v>
      </c>
      <c r="H1639" s="46" t="s">
        <v>36</v>
      </c>
      <c r="I1639" s="46" t="s">
        <v>36</v>
      </c>
      <c r="J1639" s="46" t="s">
        <v>36</v>
      </c>
      <c r="K1639" s="46" t="s">
        <v>36</v>
      </c>
      <c r="L1639" s="46" t="s">
        <v>36</v>
      </c>
      <c r="M1639" s="46" t="s">
        <v>36</v>
      </c>
      <c r="N1639" s="46" t="s">
        <v>37</v>
      </c>
      <c r="O1639" s="46" t="s">
        <v>36</v>
      </c>
      <c r="P1639" s="46" t="s">
        <v>36</v>
      </c>
      <c r="Q1639" s="46" t="s">
        <v>36</v>
      </c>
      <c r="R1639" s="46" t="s">
        <v>36</v>
      </c>
      <c r="S1639" s="46" t="s">
        <v>36</v>
      </c>
      <c r="T1639" s="46" t="s">
        <v>36</v>
      </c>
      <c r="U1639" s="46" t="s">
        <v>37</v>
      </c>
      <c r="V1639" s="46" t="s">
        <v>36</v>
      </c>
      <c r="W1639" s="46" t="s">
        <v>36</v>
      </c>
      <c r="X1639" s="46" t="s">
        <v>36</v>
      </c>
      <c r="Y1639" s="46" t="s">
        <v>36</v>
      </c>
      <c r="Z1639" s="46" t="s">
        <v>36</v>
      </c>
      <c r="AA1639" s="46" t="s">
        <v>36</v>
      </c>
      <c r="AB1639" s="46" t="s">
        <v>37</v>
      </c>
      <c r="AC1639" s="46" t="s">
        <v>36</v>
      </c>
      <c r="AD1639" s="46" t="s">
        <v>36</v>
      </c>
      <c r="AE1639" s="46" t="s">
        <v>36</v>
      </c>
      <c r="AF1639" s="46" t="s">
        <v>31</v>
      </c>
      <c r="AG1639" s="46" t="s">
        <v>31</v>
      </c>
      <c r="AH1639" s="46" t="s">
        <v>43</v>
      </c>
      <c r="AI1639" s="46" t="s">
        <v>37</v>
      </c>
      <c r="AJ1639" s="46">
        <f>=SUM(E1640:AI1640)</f>
      </c>
      <c r="AK1639" s="46">
        <f>=+AY1639</f>
      </c>
      <c r="AL1639" s="46"/>
      <c r="AM1639" s="1"/>
      <c r="AN1639" s="1">
        <f>=COUNTIF(E1639:AI1639,"A")+COUNTIF(E1639:AI1639,"B")+COUNTIF(E1639:AI1639,"C")+COUNTIF(E1639:AI1639,"D")+COUNTIF(E1639:AI1639,"E")+COUNTIF(E1639:AI1639,"F")+COUNTIF(E1639:AI1639,"M")+COUNTIF(E1639:AI1639,"AB")+COUNTIF(E1639:AI1639,"UZ")+COUNTIF(E1639:AI1639,"G")+(COUNTIF(E1639:AI1639,"RT.")/2)+(COUNTIF(E1639:AI1639,"ÇRT.")/2)</f>
      </c>
      <c r="AO1639" s="1">
        <f>=COUNTIF(E1639:AI1639,"O")</f>
      </c>
      <c r="AP1639" s="1">
        <f>=COUNTIF(E1639:AI1639,"RT")+(COUNTIF(E1639:AI1639,"RT.")/2)</f>
      </c>
      <c r="AQ1639" s="1">
        <f>=COUNTIF(E1639:AI1639,"ÇRT")+(COUNTIF(E1639:AI1639,"ÇRT.")/2)</f>
      </c>
      <c r="AR1639" s="1">
        <f>=COUNTIF(E1639:AI1639,"ÇHT")</f>
      </c>
      <c r="AS1639" s="1">
        <f>=COUNTIF(E1639:AI1639,"Ö")+COUNTIF(E1639:AI1639,"T")</f>
      </c>
      <c r="AT1639" s="1">
        <f>=COUNTIF(E1639:AI1639,"Y")</f>
      </c>
      <c r="AU1639" s="1">
        <f>=COUNTIF(E1639:AI1639,"R.")</f>
      </c>
      <c r="AV1639" s="1">
        <f>=COUNTIF(E1639:AI1639,"Ü")</f>
      </c>
      <c r="AW1639" s="1">
        <f>=COUNTIF(E1639:AI1639,"R")</f>
      </c>
      <c r="AX1639" s="1">
        <f>=COUNTIF(E1639:AI1639,"DV")</f>
      </c>
      <c r="AY1639" s="1">
        <f>=+AN1639+AO1639+AP1639+AQ1639+AR1639+AS1639+AT1639+AU1639</f>
      </c>
    </row>
    <row r="1640" ht="16" customHeight="1" spans="1:51" x14ac:dyDescent="0.25">
      <c r="A1640" s="45"/>
      <c r="B1640" s="46"/>
      <c r="C1640" s="46"/>
      <c r="D1640" s="46" t="s">
        <v>33</v>
      </c>
      <c r="E1640" s="46"/>
      <c r="F1640" s="46"/>
      <c r="G1640" s="46"/>
      <c r="H1640" s="46"/>
      <c r="I1640" s="46"/>
      <c r="J1640" s="46"/>
      <c r="K1640" s="46"/>
      <c r="L1640" s="46"/>
      <c r="M1640" s="46"/>
      <c r="N1640" s="46"/>
      <c r="O1640" s="46"/>
      <c r="P1640" s="46"/>
      <c r="Q1640" s="46"/>
      <c r="R1640" s="46"/>
      <c r="S1640" s="46"/>
      <c r="T1640" s="46"/>
      <c r="U1640" s="46"/>
      <c r="V1640" s="46"/>
      <c r="W1640" s="46"/>
      <c r="X1640" s="46"/>
      <c r="Y1640" s="46"/>
      <c r="Z1640" s="46"/>
      <c r="AA1640" s="46"/>
      <c r="AB1640" s="46"/>
      <c r="AC1640" s="46"/>
      <c r="AD1640" s="46"/>
      <c r="AE1640" s="46"/>
      <c r="AF1640" s="46"/>
      <c r="AG1640" s="46"/>
      <c r="AH1640" s="46"/>
      <c r="AI1640" s="46"/>
      <c r="AJ1640" s="46"/>
      <c r="AK1640" s="46"/>
      <c r="AL1640" s="46"/>
      <c r="AM1640" s="1"/>
      <c r="AN1640" s="1"/>
      <c r="AO1640" s="1"/>
      <c r="AP1640" s="1"/>
      <c r="AQ1640" s="1"/>
      <c r="AR1640" s="1"/>
      <c r="AS1640" s="1"/>
      <c r="AT1640" s="1"/>
      <c r="AU1640" s="1"/>
      <c r="AV1640" s="1"/>
      <c r="AW1640" s="1"/>
      <c r="AX1640" s="1"/>
      <c r="AY1640" s="1"/>
    </row>
    <row r="1641" ht="16" customHeight="1" spans="1:51" x14ac:dyDescent="0.25">
      <c r="A1641" s="45"/>
      <c r="B1641" s="46" t="s">
        <v>1693</v>
      </c>
      <c r="C1641" s="46" t="s">
        <v>1694</v>
      </c>
      <c r="D1641" s="46" t="s">
        <v>29</v>
      </c>
      <c r="E1641" s="46" t="s">
        <v>59</v>
      </c>
      <c r="F1641" s="46" t="s">
        <v>59</v>
      </c>
      <c r="G1641" s="46" t="s">
        <v>59</v>
      </c>
      <c r="H1641" s="46" t="s">
        <v>37</v>
      </c>
      <c r="I1641" s="46" t="s">
        <v>59</v>
      </c>
      <c r="J1641" s="46" t="s">
        <v>59</v>
      </c>
      <c r="K1641" s="46" t="s">
        <v>59</v>
      </c>
      <c r="L1641" s="46" t="s">
        <v>59</v>
      </c>
      <c r="M1641" s="46" t="s">
        <v>46</v>
      </c>
      <c r="N1641" s="46" t="s">
        <v>36</v>
      </c>
      <c r="O1641" s="46" t="s">
        <v>37</v>
      </c>
      <c r="P1641" s="46" t="s">
        <v>36</v>
      </c>
      <c r="Q1641" s="46" t="s">
        <v>36</v>
      </c>
      <c r="R1641" s="46" t="s">
        <v>36</v>
      </c>
      <c r="S1641" s="46" t="s">
        <v>36</v>
      </c>
      <c r="T1641" s="46" t="s">
        <v>36</v>
      </c>
      <c r="U1641" s="46" t="s">
        <v>36</v>
      </c>
      <c r="V1641" s="46" t="s">
        <v>37</v>
      </c>
      <c r="W1641" s="46" t="s">
        <v>36</v>
      </c>
      <c r="X1641" s="46" t="s">
        <v>36</v>
      </c>
      <c r="Y1641" s="46" t="s">
        <v>36</v>
      </c>
      <c r="Z1641" s="46" t="s">
        <v>36</v>
      </c>
      <c r="AA1641" s="46" t="s">
        <v>36</v>
      </c>
      <c r="AB1641" s="46" t="s">
        <v>36</v>
      </c>
      <c r="AC1641" s="46" t="s">
        <v>37</v>
      </c>
      <c r="AD1641" s="46" t="s">
        <v>36</v>
      </c>
      <c r="AE1641" s="46" t="s">
        <v>36</v>
      </c>
      <c r="AF1641" s="46" t="s">
        <v>36</v>
      </c>
      <c r="AG1641" s="46" t="s">
        <v>36</v>
      </c>
      <c r="AH1641" s="46" t="s">
        <v>43</v>
      </c>
      <c r="AI1641" s="46" t="s">
        <v>36</v>
      </c>
      <c r="AJ1641" s="46">
        <f>=SUM(E1642:AI1642)</f>
      </c>
      <c r="AK1641" s="46">
        <f>=+AY1641</f>
      </c>
      <c r="AL1641" s="46"/>
      <c r="AM1641" s="1"/>
      <c r="AN1641" s="1">
        <f>=COUNTIF(E1641:AI1641,"A")+COUNTIF(E1641:AI1641,"B")+COUNTIF(E1641:AI1641,"C")+COUNTIF(E1641:AI1641,"D")+COUNTIF(E1641:AI1641,"E")+COUNTIF(E1641:AI1641,"F")+COUNTIF(E1641:AI1641,"M")+COUNTIF(E1641:AI1641,"AB")+COUNTIF(E1641:AI1641,"UZ")+COUNTIF(E1641:AI1641,"G")+(COUNTIF(E1641:AI1641,"RT.")/2)+(COUNTIF(E1641:AI1641,"ÇRT.")/2)</f>
      </c>
      <c r="AO1641" s="1">
        <f>=COUNTIF(E1641:AI1641,"O")</f>
      </c>
      <c r="AP1641" s="1">
        <f>=COUNTIF(E1641:AI1641,"RT")+(COUNTIF(E1641:AI1641,"RT.")/2)</f>
      </c>
      <c r="AQ1641" s="1">
        <f>=COUNTIF(E1641:AI1641,"ÇRT")+(COUNTIF(E1641:AI1641,"ÇRT.")/2)</f>
      </c>
      <c r="AR1641" s="1">
        <f>=COUNTIF(E1641:AI1641,"ÇHT")</f>
      </c>
      <c r="AS1641" s="1">
        <f>=COUNTIF(E1641:AI1641,"Ö")+COUNTIF(E1641:AI1641,"T")</f>
      </c>
      <c r="AT1641" s="1">
        <f>=COUNTIF(E1641:AI1641,"Y")</f>
      </c>
      <c r="AU1641" s="1">
        <f>=COUNTIF(E1641:AI1641,"R.")</f>
      </c>
      <c r="AV1641" s="1">
        <f>=COUNTIF(E1641:AI1641,"Ü")</f>
      </c>
      <c r="AW1641" s="1">
        <f>=COUNTIF(E1641:AI1641,"R")</f>
      </c>
      <c r="AX1641" s="1">
        <f>=COUNTIF(E1641:AI1641,"DV")</f>
      </c>
      <c r="AY1641" s="1">
        <f>=+AN1641+AO1641+AP1641+AQ1641+AR1641+AS1641+AT1641+AU1641</f>
      </c>
    </row>
    <row r="1642" ht="16" customHeight="1" spans="1:51" x14ac:dyDescent="0.25">
      <c r="A1642" s="45"/>
      <c r="B1642" s="46"/>
      <c r="C1642" s="46"/>
      <c r="D1642" s="46" t="s">
        <v>33</v>
      </c>
      <c r="E1642" s="46"/>
      <c r="F1642" s="46"/>
      <c r="G1642" s="46"/>
      <c r="H1642" s="46"/>
      <c r="I1642" s="46"/>
      <c r="J1642" s="46"/>
      <c r="K1642" s="46"/>
      <c r="L1642" s="46"/>
      <c r="M1642" s="46"/>
      <c r="N1642" s="46"/>
      <c r="O1642" s="46"/>
      <c r="P1642" s="46"/>
      <c r="Q1642" s="46"/>
      <c r="R1642" s="46"/>
      <c r="S1642" s="46"/>
      <c r="T1642" s="46"/>
      <c r="U1642" s="46"/>
      <c r="V1642" s="46"/>
      <c r="W1642" s="46"/>
      <c r="X1642" s="46"/>
      <c r="Y1642" s="46"/>
      <c r="Z1642" s="46"/>
      <c r="AA1642" s="46"/>
      <c r="AB1642" s="46"/>
      <c r="AC1642" s="46"/>
      <c r="AD1642" s="46"/>
      <c r="AE1642" s="46"/>
      <c r="AF1642" s="46"/>
      <c r="AG1642" s="46"/>
      <c r="AH1642" s="46"/>
      <c r="AI1642" s="46"/>
      <c r="AJ1642" s="46"/>
      <c r="AK1642" s="46"/>
      <c r="AL1642" s="46"/>
      <c r="AM1642" s="1"/>
      <c r="AN1642" s="1"/>
      <c r="AO1642" s="1"/>
      <c r="AP1642" s="1"/>
      <c r="AQ1642" s="1"/>
      <c r="AR1642" s="1"/>
      <c r="AS1642" s="1"/>
      <c r="AT1642" s="1"/>
      <c r="AU1642" s="1"/>
      <c r="AV1642" s="1"/>
      <c r="AW1642" s="1"/>
      <c r="AX1642" s="1"/>
      <c r="AY1642" s="1"/>
    </row>
    <row r="1643" ht="16" customHeight="1" spans="1:51" x14ac:dyDescent="0.25">
      <c r="A1643" s="45"/>
      <c r="B1643" s="46" t="s">
        <v>1695</v>
      </c>
      <c r="C1643" s="46" t="s">
        <v>1696</v>
      </c>
      <c r="D1643" s="46" t="s">
        <v>29</v>
      </c>
      <c r="E1643" s="46" t="s">
        <v>36</v>
      </c>
      <c r="F1643" s="46" t="s">
        <v>36</v>
      </c>
      <c r="G1643" s="46" t="s">
        <v>37</v>
      </c>
      <c r="H1643" s="46" t="s">
        <v>36</v>
      </c>
      <c r="I1643" s="46" t="s">
        <v>36</v>
      </c>
      <c r="J1643" s="46" t="s">
        <v>36</v>
      </c>
      <c r="K1643" s="46" t="s">
        <v>36</v>
      </c>
      <c r="L1643" s="46" t="s">
        <v>36</v>
      </c>
      <c r="M1643" s="46" t="s">
        <v>36</v>
      </c>
      <c r="N1643" s="46" t="s">
        <v>37</v>
      </c>
      <c r="O1643" s="46" t="s">
        <v>36</v>
      </c>
      <c r="P1643" s="46" t="s">
        <v>36</v>
      </c>
      <c r="Q1643" s="46" t="s">
        <v>36</v>
      </c>
      <c r="R1643" s="46" t="s">
        <v>36</v>
      </c>
      <c r="S1643" s="46" t="s">
        <v>36</v>
      </c>
      <c r="T1643" s="46" t="s">
        <v>36</v>
      </c>
      <c r="U1643" s="46" t="s">
        <v>36</v>
      </c>
      <c r="V1643" s="46" t="s">
        <v>36</v>
      </c>
      <c r="W1643" s="46" t="s">
        <v>37</v>
      </c>
      <c r="X1643" s="46" t="s">
        <v>36</v>
      </c>
      <c r="Y1643" s="46" t="s">
        <v>36</v>
      </c>
      <c r="Z1643" s="46" t="s">
        <v>36</v>
      </c>
      <c r="AA1643" s="46" t="s">
        <v>36</v>
      </c>
      <c r="AB1643" s="46" t="s">
        <v>37</v>
      </c>
      <c r="AC1643" s="46" t="s">
        <v>36</v>
      </c>
      <c r="AD1643" s="46" t="s">
        <v>36</v>
      </c>
      <c r="AE1643" s="46" t="s">
        <v>36</v>
      </c>
      <c r="AF1643" s="46" t="s">
        <v>153</v>
      </c>
      <c r="AG1643" s="46" t="s">
        <v>153</v>
      </c>
      <c r="AH1643" s="46" t="s">
        <v>154</v>
      </c>
      <c r="AI1643" s="46" t="s">
        <v>37</v>
      </c>
      <c r="AJ1643" s="46">
        <f>=SUM(E1644:AI1644)</f>
      </c>
      <c r="AK1643" s="46">
        <f>=+AY1643</f>
      </c>
      <c r="AL1643" s="46"/>
      <c r="AM1643" s="1"/>
      <c r="AN1643" s="1">
        <f>=COUNTIF(E1643:AI1643,"A")+COUNTIF(E1643:AI1643,"B")+COUNTIF(E1643:AI1643,"C")+COUNTIF(E1643:AI1643,"D")+COUNTIF(E1643:AI1643,"E")+COUNTIF(E1643:AI1643,"F")+COUNTIF(E1643:AI1643,"M")+COUNTIF(E1643:AI1643,"AB")+COUNTIF(E1643:AI1643,"UZ")+COUNTIF(E1643:AI1643,"G")+(COUNTIF(E1643:AI1643,"RT.")/2)+(COUNTIF(E1643:AI1643,"ÇRT.")/2)</f>
      </c>
      <c r="AO1643" s="1">
        <f>=COUNTIF(E1643:AI1643,"O")</f>
      </c>
      <c r="AP1643" s="1">
        <f>=COUNTIF(E1643:AI1643,"RT")+(COUNTIF(E1643:AI1643,"RT.")/2)</f>
      </c>
      <c r="AQ1643" s="1">
        <f>=COUNTIF(E1643:AI1643,"ÇRT")+(COUNTIF(E1643:AI1643,"ÇRT.")/2)</f>
      </c>
      <c r="AR1643" s="1">
        <f>=COUNTIF(E1643:AI1643,"ÇHT")</f>
      </c>
      <c r="AS1643" s="1">
        <f>=COUNTIF(E1643:AI1643,"Ö")+COUNTIF(E1643:AI1643,"T")</f>
      </c>
      <c r="AT1643" s="1">
        <f>=COUNTIF(E1643:AI1643,"Y")</f>
      </c>
      <c r="AU1643" s="1">
        <f>=COUNTIF(E1643:AI1643,"R.")</f>
      </c>
      <c r="AV1643" s="1">
        <f>=COUNTIF(E1643:AI1643,"Ü")</f>
      </c>
      <c r="AW1643" s="1">
        <f>=COUNTIF(E1643:AI1643,"R")</f>
      </c>
      <c r="AX1643" s="1">
        <f>=COUNTIF(E1643:AI1643,"DV")</f>
      </c>
      <c r="AY1643" s="1">
        <f>=+AN1643+AO1643+AP1643+AQ1643+AR1643+AS1643+AT1643+AU1643</f>
      </c>
    </row>
    <row r="1644" ht="16" customHeight="1" spans="1:51" x14ac:dyDescent="0.25">
      <c r="A1644" s="45"/>
      <c r="B1644" s="46"/>
      <c r="C1644" s="46"/>
      <c r="D1644" s="46" t="s">
        <v>33</v>
      </c>
      <c r="E1644" s="46"/>
      <c r="F1644" s="46"/>
      <c r="G1644" s="46"/>
      <c r="H1644" s="46"/>
      <c r="I1644" s="46"/>
      <c r="J1644" s="46"/>
      <c r="K1644" s="46"/>
      <c r="L1644" s="46"/>
      <c r="M1644" s="46"/>
      <c r="N1644" s="46"/>
      <c r="O1644" s="46"/>
      <c r="P1644" s="46"/>
      <c r="Q1644" s="46">
        <v>2</v>
      </c>
      <c r="R1644" s="46"/>
      <c r="S1644" s="46"/>
      <c r="T1644" s="46"/>
      <c r="U1644" s="46"/>
      <c r="V1644" s="46"/>
      <c r="W1644" s="46"/>
      <c r="X1644" s="46"/>
      <c r="Y1644" s="46"/>
      <c r="Z1644" s="46"/>
      <c r="AA1644" s="46"/>
      <c r="AB1644" s="46"/>
      <c r="AC1644" s="46"/>
      <c r="AD1644" s="46"/>
      <c r="AE1644" s="46"/>
      <c r="AF1644" s="46"/>
      <c r="AG1644" s="46"/>
      <c r="AH1644" s="46"/>
      <c r="AI1644" s="46"/>
      <c r="AJ1644" s="46"/>
      <c r="AK1644" s="46"/>
      <c r="AL1644" s="46"/>
      <c r="AM1644" s="1"/>
      <c r="AN1644" s="1"/>
      <c r="AO1644" s="1"/>
      <c r="AP1644" s="1"/>
      <c r="AQ1644" s="1"/>
      <c r="AR1644" s="1"/>
      <c r="AS1644" s="1"/>
      <c r="AT1644" s="1"/>
      <c r="AU1644" s="1"/>
      <c r="AV1644" s="1"/>
      <c r="AW1644" s="1"/>
      <c r="AX1644" s="1"/>
      <c r="AY1644" s="1"/>
    </row>
    <row r="1645" ht="16" customHeight="1" spans="1:51" x14ac:dyDescent="0.25">
      <c r="A1645" s="45"/>
      <c r="B1645" s="46" t="s">
        <v>1697</v>
      </c>
      <c r="C1645" s="46" t="s">
        <v>1698</v>
      </c>
      <c r="D1645" s="46" t="s">
        <v>29</v>
      </c>
      <c r="E1645" s="46" t="s">
        <v>36</v>
      </c>
      <c r="F1645" s="46" t="s">
        <v>36</v>
      </c>
      <c r="G1645" s="46" t="s">
        <v>36</v>
      </c>
      <c r="H1645" s="46" t="s">
        <v>36</v>
      </c>
      <c r="I1645" s="46" t="s">
        <v>37</v>
      </c>
      <c r="J1645" s="46" t="s">
        <v>36</v>
      </c>
      <c r="K1645" s="46" t="s">
        <v>36</v>
      </c>
      <c r="L1645" s="46" t="s">
        <v>36</v>
      </c>
      <c r="M1645" s="46" t="s">
        <v>36</v>
      </c>
      <c r="N1645" s="46" t="s">
        <v>36</v>
      </c>
      <c r="O1645" s="46" t="s">
        <v>36</v>
      </c>
      <c r="P1645" s="46" t="s">
        <v>36</v>
      </c>
      <c r="Q1645" s="46" t="s">
        <v>37</v>
      </c>
      <c r="R1645" s="46" t="s">
        <v>36</v>
      </c>
      <c r="S1645" s="46" t="s">
        <v>36</v>
      </c>
      <c r="T1645" s="46" t="s">
        <v>36</v>
      </c>
      <c r="U1645" s="46" t="s">
        <v>36</v>
      </c>
      <c r="V1645" s="46" t="s">
        <v>36</v>
      </c>
      <c r="W1645" s="46" t="s">
        <v>37</v>
      </c>
      <c r="X1645" s="46" t="s">
        <v>36</v>
      </c>
      <c r="Y1645" s="46" t="s">
        <v>36</v>
      </c>
      <c r="Z1645" s="46" t="s">
        <v>36</v>
      </c>
      <c r="AA1645" s="46" t="s">
        <v>36</v>
      </c>
      <c r="AB1645" s="46" t="s">
        <v>36</v>
      </c>
      <c r="AC1645" s="46" t="s">
        <v>36</v>
      </c>
      <c r="AD1645" s="46" t="s">
        <v>37</v>
      </c>
      <c r="AE1645" s="46" t="s">
        <v>36</v>
      </c>
      <c r="AF1645" s="46" t="s">
        <v>36</v>
      </c>
      <c r="AG1645" s="46" t="s">
        <v>36</v>
      </c>
      <c r="AH1645" s="46" t="s">
        <v>43</v>
      </c>
      <c r="AI1645" s="46" t="s">
        <v>36</v>
      </c>
      <c r="AJ1645" s="46">
        <f>=SUM(E1646:AI1646)</f>
      </c>
      <c r="AK1645" s="46">
        <f>=+AY1645</f>
      </c>
      <c r="AL1645" s="46"/>
      <c r="AM1645" s="1"/>
      <c r="AN1645" s="1">
        <f>=COUNTIF(E1645:AI1645,"A")+COUNTIF(E1645:AI1645,"B")+COUNTIF(E1645:AI1645,"C")+COUNTIF(E1645:AI1645,"D")+COUNTIF(E1645:AI1645,"E")+COUNTIF(E1645:AI1645,"F")+COUNTIF(E1645:AI1645,"M")+COUNTIF(E1645:AI1645,"AB")+COUNTIF(E1645:AI1645,"UZ")+COUNTIF(E1645:AI1645,"G")+(COUNTIF(E1645:AI1645,"RT.")/2)+(COUNTIF(E1645:AI1645,"ÇRT.")/2)</f>
      </c>
      <c r="AO1645" s="1">
        <f>=COUNTIF(E1645:AI1645,"O")</f>
      </c>
      <c r="AP1645" s="1">
        <f>=COUNTIF(E1645:AI1645,"RT")+(COUNTIF(E1645:AI1645,"RT.")/2)</f>
      </c>
      <c r="AQ1645" s="1">
        <f>=COUNTIF(E1645:AI1645,"ÇRT")+(COUNTIF(E1645:AI1645,"ÇRT.")/2)</f>
      </c>
      <c r="AR1645" s="1">
        <f>=COUNTIF(E1645:AI1645,"ÇHT")</f>
      </c>
      <c r="AS1645" s="1">
        <f>=COUNTIF(E1645:AI1645,"Ö")+COUNTIF(E1645:AI1645,"T")</f>
      </c>
      <c r="AT1645" s="1">
        <f>=COUNTIF(E1645:AI1645,"Y")</f>
      </c>
      <c r="AU1645" s="1">
        <f>=COUNTIF(E1645:AI1645,"R.")</f>
      </c>
      <c r="AV1645" s="1">
        <f>=COUNTIF(E1645:AI1645,"Ü")</f>
      </c>
      <c r="AW1645" s="1">
        <f>=COUNTIF(E1645:AI1645,"R")</f>
      </c>
      <c r="AX1645" s="1">
        <f>=COUNTIF(E1645:AI1645,"DV")</f>
      </c>
      <c r="AY1645" s="1">
        <f>=+AN1645+AO1645+AP1645+AQ1645+AR1645+AS1645+AT1645+AU1645</f>
      </c>
    </row>
    <row r="1646" ht="16" customHeight="1" spans="1:51" x14ac:dyDescent="0.25">
      <c r="A1646" s="45"/>
      <c r="B1646" s="46"/>
      <c r="C1646" s="46"/>
      <c r="D1646" s="46" t="s">
        <v>33</v>
      </c>
      <c r="E1646" s="46"/>
      <c r="F1646" s="46"/>
      <c r="G1646" s="46"/>
      <c r="H1646" s="46"/>
      <c r="I1646" s="46"/>
      <c r="J1646" s="46"/>
      <c r="K1646" s="46"/>
      <c r="L1646" s="46"/>
      <c r="M1646" s="46"/>
      <c r="N1646" s="46"/>
      <c r="O1646" s="46"/>
      <c r="P1646" s="46"/>
      <c r="Q1646" s="46"/>
      <c r="R1646" s="46"/>
      <c r="S1646" s="46"/>
      <c r="T1646" s="46"/>
      <c r="U1646" s="46"/>
      <c r="V1646" s="46"/>
      <c r="W1646" s="46"/>
      <c r="X1646" s="46"/>
      <c r="Y1646" s="46"/>
      <c r="Z1646" s="46"/>
      <c r="AA1646" s="46"/>
      <c r="AB1646" s="46"/>
      <c r="AC1646" s="46"/>
      <c r="AD1646" s="46"/>
      <c r="AE1646" s="46"/>
      <c r="AF1646" s="46"/>
      <c r="AG1646" s="46"/>
      <c r="AH1646" s="46"/>
      <c r="AI1646" s="46"/>
      <c r="AJ1646" s="46"/>
      <c r="AK1646" s="46"/>
      <c r="AL1646" s="46"/>
      <c r="AM1646" s="1"/>
      <c r="AN1646" s="1"/>
      <c r="AO1646" s="1"/>
      <c r="AP1646" s="1"/>
      <c r="AQ1646" s="1"/>
      <c r="AR1646" s="1"/>
      <c r="AS1646" s="1"/>
      <c r="AT1646" s="1"/>
      <c r="AU1646" s="1"/>
      <c r="AV1646" s="1"/>
      <c r="AW1646" s="1"/>
      <c r="AX1646" s="1"/>
      <c r="AY1646" s="1"/>
    </row>
    <row r="1647" ht="16" customHeight="1" spans="1:51" x14ac:dyDescent="0.25">
      <c r="A1647" s="45"/>
      <c r="B1647" s="46" t="s">
        <v>1699</v>
      </c>
      <c r="C1647" s="46" t="s">
        <v>1700</v>
      </c>
      <c r="D1647" s="46" t="s">
        <v>29</v>
      </c>
      <c r="E1647" s="46" t="s">
        <v>1348</v>
      </c>
      <c r="F1647" s="46" t="s">
        <v>1348</v>
      </c>
      <c r="G1647" s="46" t="s">
        <v>59</v>
      </c>
      <c r="H1647" s="46" t="s">
        <v>59</v>
      </c>
      <c r="I1647" s="46" t="s">
        <v>59</v>
      </c>
      <c r="J1647" s="46" t="s">
        <v>37</v>
      </c>
      <c r="K1647" s="46" t="s">
        <v>59</v>
      </c>
      <c r="L1647" s="46" t="s">
        <v>59</v>
      </c>
      <c r="M1647" s="46" t="s">
        <v>59</v>
      </c>
      <c r="N1647" s="46" t="s">
        <v>1348</v>
      </c>
      <c r="O1647" s="46" t="s">
        <v>59</v>
      </c>
      <c r="P1647" s="46" t="s">
        <v>59</v>
      </c>
      <c r="Q1647" s="46" t="s">
        <v>37</v>
      </c>
      <c r="R1647" s="46" t="s">
        <v>59</v>
      </c>
      <c r="S1647" s="46" t="s">
        <v>59</v>
      </c>
      <c r="T1647" s="46" t="s">
        <v>59</v>
      </c>
      <c r="U1647" s="46" t="s">
        <v>1348</v>
      </c>
      <c r="V1647" s="46" t="s">
        <v>1348</v>
      </c>
      <c r="W1647" s="46" t="s">
        <v>1348</v>
      </c>
      <c r="X1647" s="46" t="s">
        <v>37</v>
      </c>
      <c r="Y1647" s="46" t="s">
        <v>1348</v>
      </c>
      <c r="Z1647" s="46" t="s">
        <v>1348</v>
      </c>
      <c r="AA1647" s="46" t="s">
        <v>1348</v>
      </c>
      <c r="AB1647" s="46" t="s">
        <v>1348</v>
      </c>
      <c r="AC1647" s="46" t="s">
        <v>59</v>
      </c>
      <c r="AD1647" s="46" t="s">
        <v>59</v>
      </c>
      <c r="AE1647" s="46" t="s">
        <v>37</v>
      </c>
      <c r="AF1647" s="46" t="s">
        <v>59</v>
      </c>
      <c r="AG1647" s="46" t="s">
        <v>59</v>
      </c>
      <c r="AH1647" s="46" t="s">
        <v>43</v>
      </c>
      <c r="AI1647" s="46" t="s">
        <v>1348</v>
      </c>
      <c r="AJ1647" s="46">
        <f>=SUM(E1648:AI1648)</f>
      </c>
      <c r="AK1647" s="46">
        <f>=+AY1647</f>
      </c>
      <c r="AL1647" s="46"/>
      <c r="AM1647" s="1"/>
      <c r="AN1647" s="1">
        <f>=COUNTIF(E1647:AI1647,"A")+COUNTIF(E1647:AI1647,"B")+COUNTIF(E1647:AI1647,"C")+COUNTIF(E1647:AI1647,"D")+COUNTIF(E1647:AI1647,"E")+COUNTIF(E1647:AI1647,"F")+COUNTIF(E1647:AI1647,"M")+COUNTIF(E1647:AI1647,"AB")+COUNTIF(E1647:AI1647,"UZ")+COUNTIF(E1647:AI1647,"G")+(COUNTIF(E1647:AI1647,"RT.")/2)+(COUNTIF(E1647:AI1647,"ÇRT.")/2)</f>
      </c>
      <c r="AO1647" s="1">
        <f>=COUNTIF(E1647:AI1647,"O")</f>
      </c>
      <c r="AP1647" s="1">
        <f>=COUNTIF(E1647:AI1647,"RT")+(COUNTIF(E1647:AI1647,"RT.")/2)</f>
      </c>
      <c r="AQ1647" s="1">
        <f>=COUNTIF(E1647:AI1647,"ÇRT")+(COUNTIF(E1647:AI1647,"ÇRT.")/2)</f>
      </c>
      <c r="AR1647" s="1">
        <f>=COUNTIF(E1647:AI1647,"ÇHT")</f>
      </c>
      <c r="AS1647" s="1">
        <f>=COUNTIF(E1647:AI1647,"Ö")+COUNTIF(E1647:AI1647,"T")</f>
      </c>
      <c r="AT1647" s="1">
        <f>=COUNTIF(E1647:AI1647,"Y")</f>
      </c>
      <c r="AU1647" s="1">
        <f>=COUNTIF(E1647:AI1647,"R.")</f>
      </c>
      <c r="AV1647" s="1">
        <f>=COUNTIF(E1647:AI1647,"Ü")</f>
      </c>
      <c r="AW1647" s="1">
        <f>=COUNTIF(E1647:AI1647,"R")</f>
      </c>
      <c r="AX1647" s="1">
        <f>=COUNTIF(E1647:AI1647,"DV")</f>
      </c>
      <c r="AY1647" s="1">
        <f>=+AN1647+AO1647+AP1647+AQ1647+AR1647+AS1647+AT1647+AU1647</f>
      </c>
    </row>
    <row r="1648" ht="16" customHeight="1" spans="1:51" x14ac:dyDescent="0.25">
      <c r="A1648" s="45"/>
      <c r="B1648" s="46"/>
      <c r="C1648" s="46"/>
      <c r="D1648" s="46" t="s">
        <v>33</v>
      </c>
      <c r="E1648" s="46"/>
      <c r="F1648" s="46"/>
      <c r="G1648" s="46"/>
      <c r="H1648" s="46"/>
      <c r="I1648" s="46"/>
      <c r="J1648" s="46"/>
      <c r="K1648" s="46"/>
      <c r="L1648" s="46"/>
      <c r="M1648" s="46"/>
      <c r="N1648" s="46"/>
      <c r="O1648" s="46"/>
      <c r="P1648" s="46"/>
      <c r="Q1648" s="46"/>
      <c r="R1648" s="46"/>
      <c r="S1648" s="46"/>
      <c r="T1648" s="46"/>
      <c r="U1648" s="46"/>
      <c r="V1648" s="46"/>
      <c r="W1648" s="46"/>
      <c r="X1648" s="46"/>
      <c r="Y1648" s="46"/>
      <c r="Z1648" s="46"/>
      <c r="AA1648" s="46"/>
      <c r="AB1648" s="46"/>
      <c r="AC1648" s="46"/>
      <c r="AD1648" s="46"/>
      <c r="AE1648" s="46"/>
      <c r="AF1648" s="46"/>
      <c r="AG1648" s="46"/>
      <c r="AH1648" s="46"/>
      <c r="AI1648" s="46"/>
      <c r="AJ1648" s="46"/>
      <c r="AK1648" s="46"/>
      <c r="AL1648" s="46"/>
      <c r="AM1648" s="1"/>
      <c r="AN1648" s="1"/>
      <c r="AO1648" s="1"/>
      <c r="AP1648" s="1"/>
      <c r="AQ1648" s="1"/>
      <c r="AR1648" s="1"/>
      <c r="AS1648" s="1"/>
      <c r="AT1648" s="1"/>
      <c r="AU1648" s="1"/>
      <c r="AV1648" s="1"/>
      <c r="AW1648" s="1"/>
      <c r="AX1648" s="1"/>
      <c r="AY1648" s="1"/>
    </row>
    <row r="1649" ht="16" customHeight="1" spans="1:51" x14ac:dyDescent="0.25">
      <c r="A1649" s="45"/>
      <c r="B1649" s="46" t="s">
        <v>1701</v>
      </c>
      <c r="C1649" s="46" t="s">
        <v>1702</v>
      </c>
      <c r="D1649" s="46" t="s">
        <v>29</v>
      </c>
      <c r="E1649" s="46" t="s">
        <v>59</v>
      </c>
      <c r="F1649" s="46" t="s">
        <v>59</v>
      </c>
      <c r="G1649" s="46" t="s">
        <v>37</v>
      </c>
      <c r="H1649" s="46" t="s">
        <v>59</v>
      </c>
      <c r="I1649" s="46" t="s">
        <v>1348</v>
      </c>
      <c r="J1649" s="46" t="s">
        <v>59</v>
      </c>
      <c r="K1649" s="46" t="s">
        <v>59</v>
      </c>
      <c r="L1649" s="46" t="s">
        <v>59</v>
      </c>
      <c r="M1649" s="46" t="s">
        <v>59</v>
      </c>
      <c r="N1649" s="46" t="s">
        <v>59</v>
      </c>
      <c r="O1649" s="46" t="s">
        <v>59</v>
      </c>
      <c r="P1649" s="46" t="s">
        <v>37</v>
      </c>
      <c r="Q1649" s="46" t="s">
        <v>1348</v>
      </c>
      <c r="R1649" s="46" t="s">
        <v>1348</v>
      </c>
      <c r="S1649" s="46" t="s">
        <v>59</v>
      </c>
      <c r="T1649" s="46" t="s">
        <v>59</v>
      </c>
      <c r="U1649" s="46" t="s">
        <v>153</v>
      </c>
      <c r="V1649" s="46" t="s">
        <v>59</v>
      </c>
      <c r="W1649" s="46" t="s">
        <v>37</v>
      </c>
      <c r="X1649" s="46" t="s">
        <v>59</v>
      </c>
      <c r="Y1649" s="46" t="s">
        <v>1348</v>
      </c>
      <c r="Z1649" s="46" t="s">
        <v>59</v>
      </c>
      <c r="AA1649" s="46" t="s">
        <v>59</v>
      </c>
      <c r="AB1649" s="46" t="s">
        <v>59</v>
      </c>
      <c r="AC1649" s="46" t="s">
        <v>59</v>
      </c>
      <c r="AD1649" s="46" t="s">
        <v>37</v>
      </c>
      <c r="AE1649" s="46" t="s">
        <v>59</v>
      </c>
      <c r="AF1649" s="46" t="s">
        <v>59</v>
      </c>
      <c r="AG1649" s="46" t="s">
        <v>59</v>
      </c>
      <c r="AH1649" s="46" t="s">
        <v>43</v>
      </c>
      <c r="AI1649" s="46" t="s">
        <v>37</v>
      </c>
      <c r="AJ1649" s="46">
        <f>=SUM(E1650:AI1650)</f>
      </c>
      <c r="AK1649" s="46">
        <f>=+AY1649</f>
      </c>
      <c r="AL1649" s="46"/>
      <c r="AM1649" s="1"/>
      <c r="AN1649" s="1">
        <f>=COUNTIF(E1649:AI1649,"A")+COUNTIF(E1649:AI1649,"B")+COUNTIF(E1649:AI1649,"C")+COUNTIF(E1649:AI1649,"D")+COUNTIF(E1649:AI1649,"E")+COUNTIF(E1649:AI1649,"F")+COUNTIF(E1649:AI1649,"M")+COUNTIF(E1649:AI1649,"AB")+COUNTIF(E1649:AI1649,"UZ")+COUNTIF(E1649:AI1649,"G")+(COUNTIF(E1649:AI1649,"RT.")/2)+(COUNTIF(E1649:AI1649,"ÇRT.")/2)</f>
      </c>
      <c r="AO1649" s="1">
        <f>=COUNTIF(E1649:AI1649,"O")</f>
      </c>
      <c r="AP1649" s="1">
        <f>=COUNTIF(E1649:AI1649,"RT")+(COUNTIF(E1649:AI1649,"RT.")/2)</f>
      </c>
      <c r="AQ1649" s="1">
        <f>=COUNTIF(E1649:AI1649,"ÇRT")+(COUNTIF(E1649:AI1649,"ÇRT.")/2)</f>
      </c>
      <c r="AR1649" s="1">
        <f>=COUNTIF(E1649:AI1649,"ÇHT")</f>
      </c>
      <c r="AS1649" s="1">
        <f>=COUNTIF(E1649:AI1649,"Ö")+COUNTIF(E1649:AI1649,"T")</f>
      </c>
      <c r="AT1649" s="1">
        <f>=COUNTIF(E1649:AI1649,"Y")</f>
      </c>
      <c r="AU1649" s="1">
        <f>=COUNTIF(E1649:AI1649,"R.")</f>
      </c>
      <c r="AV1649" s="1">
        <f>=COUNTIF(E1649:AI1649,"Ü")</f>
      </c>
      <c r="AW1649" s="1">
        <f>=COUNTIF(E1649:AI1649,"R")</f>
      </c>
      <c r="AX1649" s="1">
        <f>=COUNTIF(E1649:AI1649,"DV")</f>
      </c>
      <c r="AY1649" s="1">
        <f>=+AN1649+AO1649+AP1649+AQ1649+AR1649+AS1649+AT1649+AU1649</f>
      </c>
    </row>
    <row r="1650" ht="16" customHeight="1" spans="1:51" x14ac:dyDescent="0.25">
      <c r="A1650" s="45"/>
      <c r="B1650" s="46"/>
      <c r="C1650" s="46"/>
      <c r="D1650" s="46" t="s">
        <v>33</v>
      </c>
      <c r="E1650" s="46"/>
      <c r="F1650" s="46"/>
      <c r="G1650" s="46"/>
      <c r="H1650" s="46"/>
      <c r="I1650" s="46"/>
      <c r="J1650" s="46"/>
      <c r="K1650" s="46"/>
      <c r="L1650" s="46"/>
      <c r="M1650" s="46"/>
      <c r="N1650" s="46"/>
      <c r="O1650" s="46"/>
      <c r="P1650" s="46"/>
      <c r="Q1650" s="46"/>
      <c r="R1650" s="46"/>
      <c r="S1650" s="46"/>
      <c r="T1650" s="46"/>
      <c r="U1650" s="46"/>
      <c r="V1650" s="46"/>
      <c r="W1650" s="46"/>
      <c r="X1650" s="46"/>
      <c r="Y1650" s="46"/>
      <c r="Z1650" s="46"/>
      <c r="AA1650" s="46"/>
      <c r="AB1650" s="46"/>
      <c r="AC1650" s="46"/>
      <c r="AD1650" s="46"/>
      <c r="AE1650" s="46"/>
      <c r="AF1650" s="46"/>
      <c r="AG1650" s="46"/>
      <c r="AH1650" s="46"/>
      <c r="AI1650" s="46"/>
      <c r="AJ1650" s="46"/>
      <c r="AK1650" s="46"/>
      <c r="AL1650" s="46"/>
      <c r="AM1650" s="1"/>
      <c r="AN1650" s="1"/>
      <c r="AO1650" s="1"/>
      <c r="AP1650" s="1"/>
      <c r="AQ1650" s="1"/>
      <c r="AR1650" s="1"/>
      <c r="AS1650" s="1"/>
      <c r="AT1650" s="1"/>
      <c r="AU1650" s="1"/>
      <c r="AV1650" s="1"/>
      <c r="AW1650" s="1"/>
      <c r="AX1650" s="1"/>
      <c r="AY1650" s="1"/>
    </row>
    <row r="1651" ht="16" customHeight="1" spans="1:51" x14ac:dyDescent="0.25">
      <c r="A1651" s="45"/>
      <c r="B1651" s="46" t="s">
        <v>1703</v>
      </c>
      <c r="C1651" s="46" t="s">
        <v>1704</v>
      </c>
      <c r="D1651" s="46" t="s">
        <v>29</v>
      </c>
      <c r="E1651" s="46" t="s">
        <v>36</v>
      </c>
      <c r="F1651" s="46" t="s">
        <v>36</v>
      </c>
      <c r="G1651" s="46" t="s">
        <v>37</v>
      </c>
      <c r="H1651" s="46" t="s">
        <v>36</v>
      </c>
      <c r="I1651" s="46" t="s">
        <v>36</v>
      </c>
      <c r="J1651" s="46" t="s">
        <v>36</v>
      </c>
      <c r="K1651" s="46" t="s">
        <v>36</v>
      </c>
      <c r="L1651" s="46" t="s">
        <v>36</v>
      </c>
      <c r="M1651" s="46" t="s">
        <v>36</v>
      </c>
      <c r="N1651" s="46" t="s">
        <v>37</v>
      </c>
      <c r="O1651" s="46" t="s">
        <v>36</v>
      </c>
      <c r="P1651" s="46" t="s">
        <v>31</v>
      </c>
      <c r="Q1651" s="46" t="s">
        <v>36</v>
      </c>
      <c r="R1651" s="46" t="s">
        <v>36</v>
      </c>
      <c r="S1651" s="46" t="s">
        <v>36</v>
      </c>
      <c r="T1651" s="46" t="s">
        <v>36</v>
      </c>
      <c r="U1651" s="46" t="s">
        <v>37</v>
      </c>
      <c r="V1651" s="46" t="s">
        <v>36</v>
      </c>
      <c r="W1651" s="46" t="s">
        <v>36</v>
      </c>
      <c r="X1651" s="46" t="s">
        <v>36</v>
      </c>
      <c r="Y1651" s="46" t="s">
        <v>36</v>
      </c>
      <c r="Z1651" s="46" t="s">
        <v>36</v>
      </c>
      <c r="AA1651" s="46" t="s">
        <v>36</v>
      </c>
      <c r="AB1651" s="46" t="s">
        <v>37</v>
      </c>
      <c r="AC1651" s="46" t="s">
        <v>36</v>
      </c>
      <c r="AD1651" s="46" t="s">
        <v>36</v>
      </c>
      <c r="AE1651" s="46" t="s">
        <v>36</v>
      </c>
      <c r="AF1651" s="46" t="s">
        <v>36</v>
      </c>
      <c r="AG1651" s="46" t="s">
        <v>36</v>
      </c>
      <c r="AH1651" s="46" t="s">
        <v>43</v>
      </c>
      <c r="AI1651" s="46" t="s">
        <v>37</v>
      </c>
      <c r="AJ1651" s="46">
        <f>=SUM(E1652:AI1652)</f>
      </c>
      <c r="AK1651" s="46">
        <f>=+AY1651</f>
      </c>
      <c r="AL1651" s="46"/>
      <c r="AM1651" s="1"/>
      <c r="AN1651" s="1">
        <f>=COUNTIF(E1651:AI1651,"A")+COUNTIF(E1651:AI1651,"B")+COUNTIF(E1651:AI1651,"C")+COUNTIF(E1651:AI1651,"D")+COUNTIF(E1651:AI1651,"E")+COUNTIF(E1651:AI1651,"F")+COUNTIF(E1651:AI1651,"M")+COUNTIF(E1651:AI1651,"AB")+COUNTIF(E1651:AI1651,"UZ")+COUNTIF(E1651:AI1651,"G")+(COUNTIF(E1651:AI1651,"RT.")/2)+(COUNTIF(E1651:AI1651,"ÇRT.")/2)</f>
      </c>
      <c r="AO1651" s="1">
        <f>=COUNTIF(E1651:AI1651,"O")</f>
      </c>
      <c r="AP1651" s="1">
        <f>=COUNTIF(E1651:AI1651,"RT")+(COUNTIF(E1651:AI1651,"RT.")/2)</f>
      </c>
      <c r="AQ1651" s="1">
        <f>=COUNTIF(E1651:AI1651,"ÇRT")+(COUNTIF(E1651:AI1651,"ÇRT.")/2)</f>
      </c>
      <c r="AR1651" s="1">
        <f>=COUNTIF(E1651:AI1651,"ÇHT")</f>
      </c>
      <c r="AS1651" s="1">
        <f>=COUNTIF(E1651:AI1651,"Ö")+COUNTIF(E1651:AI1651,"T")</f>
      </c>
      <c r="AT1651" s="1">
        <f>=COUNTIF(E1651:AI1651,"Y")</f>
      </c>
      <c r="AU1651" s="1">
        <f>=COUNTIF(E1651:AI1651,"R.")</f>
      </c>
      <c r="AV1651" s="1">
        <f>=COUNTIF(E1651:AI1651,"Ü")</f>
      </c>
      <c r="AW1651" s="1">
        <f>=COUNTIF(E1651:AI1651,"R")</f>
      </c>
      <c r="AX1651" s="1">
        <f>=COUNTIF(E1651:AI1651,"DV")</f>
      </c>
      <c r="AY1651" s="1">
        <f>=+AN1651+AO1651+AP1651+AQ1651+AR1651+AS1651+AT1651+AU1651</f>
      </c>
    </row>
    <row r="1652" ht="16" customHeight="1" spans="1:51" x14ac:dyDescent="0.25">
      <c r="A1652" s="45"/>
      <c r="B1652" s="46"/>
      <c r="C1652" s="46"/>
      <c r="D1652" s="46" t="s">
        <v>33</v>
      </c>
      <c r="E1652" s="46"/>
      <c r="F1652" s="46"/>
      <c r="G1652" s="46"/>
      <c r="H1652" s="46"/>
      <c r="I1652" s="46"/>
      <c r="J1652" s="46"/>
      <c r="K1652" s="46"/>
      <c r="L1652" s="46"/>
      <c r="M1652" s="46"/>
      <c r="N1652" s="46"/>
      <c r="O1652" s="46"/>
      <c r="P1652" s="46"/>
      <c r="Q1652" s="46"/>
      <c r="R1652" s="46"/>
      <c r="S1652" s="46"/>
      <c r="T1652" s="46"/>
      <c r="U1652" s="46"/>
      <c r="V1652" s="46"/>
      <c r="W1652" s="46"/>
      <c r="X1652" s="46"/>
      <c r="Y1652" s="46"/>
      <c r="Z1652" s="46"/>
      <c r="AA1652" s="46"/>
      <c r="AB1652" s="46"/>
      <c r="AC1652" s="46"/>
      <c r="AD1652" s="46"/>
      <c r="AE1652" s="46"/>
      <c r="AF1652" s="46"/>
      <c r="AG1652" s="46"/>
      <c r="AH1652" s="46"/>
      <c r="AI1652" s="46"/>
      <c r="AJ1652" s="46"/>
      <c r="AK1652" s="46"/>
      <c r="AL1652" s="46"/>
      <c r="AM1652" s="1"/>
      <c r="AN1652" s="1"/>
      <c r="AO1652" s="1"/>
      <c r="AP1652" s="1"/>
      <c r="AQ1652" s="1"/>
      <c r="AR1652" s="1"/>
      <c r="AS1652" s="1"/>
      <c r="AT1652" s="1"/>
      <c r="AU1652" s="1"/>
      <c r="AV1652" s="1"/>
      <c r="AW1652" s="1"/>
      <c r="AX1652" s="1"/>
      <c r="AY1652" s="1"/>
    </row>
    <row r="1653" ht="16" customHeight="1" spans="1:51" x14ac:dyDescent="0.25">
      <c r="A1653" s="45"/>
      <c r="B1653" s="46" t="s">
        <v>1705</v>
      </c>
      <c r="C1653" s="46" t="s">
        <v>1706</v>
      </c>
      <c r="D1653" s="46" t="s">
        <v>29</v>
      </c>
      <c r="E1653" s="46" t="s">
        <v>59</v>
      </c>
      <c r="F1653" s="46" t="s">
        <v>59</v>
      </c>
      <c r="G1653" s="46" t="s">
        <v>59</v>
      </c>
      <c r="H1653" s="46" t="s">
        <v>59</v>
      </c>
      <c r="I1653" s="46" t="s">
        <v>1348</v>
      </c>
      <c r="J1653" s="46" t="s">
        <v>59</v>
      </c>
      <c r="K1653" s="46" t="s">
        <v>37</v>
      </c>
      <c r="L1653" s="46" t="s">
        <v>59</v>
      </c>
      <c r="M1653" s="46" t="s">
        <v>59</v>
      </c>
      <c r="N1653" s="46" t="s">
        <v>59</v>
      </c>
      <c r="O1653" s="46" t="s">
        <v>59</v>
      </c>
      <c r="P1653" s="46" t="s">
        <v>59</v>
      </c>
      <c r="Q1653" s="46" t="s">
        <v>59</v>
      </c>
      <c r="R1653" s="46" t="s">
        <v>37</v>
      </c>
      <c r="S1653" s="46" t="s">
        <v>59</v>
      </c>
      <c r="T1653" s="46" t="s">
        <v>59</v>
      </c>
      <c r="U1653" s="46" t="s">
        <v>1348</v>
      </c>
      <c r="V1653" s="46" t="s">
        <v>59</v>
      </c>
      <c r="W1653" s="46" t="s">
        <v>37</v>
      </c>
      <c r="X1653" s="46" t="s">
        <v>59</v>
      </c>
      <c r="Y1653" s="46" t="s">
        <v>59</v>
      </c>
      <c r="Z1653" s="46" t="s">
        <v>59</v>
      </c>
      <c r="AA1653" s="46" t="s">
        <v>59</v>
      </c>
      <c r="AB1653" s="46" t="s">
        <v>59</v>
      </c>
      <c r="AC1653" s="46" t="s">
        <v>59</v>
      </c>
      <c r="AD1653" s="46" t="s">
        <v>59</v>
      </c>
      <c r="AE1653" s="46" t="s">
        <v>59</v>
      </c>
      <c r="AF1653" s="46" t="s">
        <v>37</v>
      </c>
      <c r="AG1653" s="46" t="s">
        <v>59</v>
      </c>
      <c r="AH1653" s="46" t="s">
        <v>43</v>
      </c>
      <c r="AI1653" s="46" t="s">
        <v>59</v>
      </c>
      <c r="AJ1653" s="46">
        <f>=SUM(E1654:AI1654)</f>
      </c>
      <c r="AK1653" s="46">
        <f>=+AY1653</f>
      </c>
      <c r="AL1653" s="46"/>
      <c r="AM1653" s="1"/>
      <c r="AN1653" s="1">
        <f>=COUNTIF(E1653:AI1653,"A")+COUNTIF(E1653:AI1653,"B")+COUNTIF(E1653:AI1653,"C")+COUNTIF(E1653:AI1653,"D")+COUNTIF(E1653:AI1653,"E")+COUNTIF(E1653:AI1653,"F")+COUNTIF(E1653:AI1653,"M")+COUNTIF(E1653:AI1653,"AB")+COUNTIF(E1653:AI1653,"UZ")+COUNTIF(E1653:AI1653,"G")+(COUNTIF(E1653:AI1653,"RT.")/2)+(COUNTIF(E1653:AI1653,"ÇRT.")/2)</f>
      </c>
      <c r="AO1653" s="1">
        <f>=COUNTIF(E1653:AI1653,"O")</f>
      </c>
      <c r="AP1653" s="1">
        <f>=COUNTIF(E1653:AI1653,"RT")+(COUNTIF(E1653:AI1653,"RT.")/2)</f>
      </c>
      <c r="AQ1653" s="1">
        <f>=COUNTIF(E1653:AI1653,"ÇRT")+(COUNTIF(E1653:AI1653,"ÇRT.")/2)</f>
      </c>
      <c r="AR1653" s="1">
        <f>=COUNTIF(E1653:AI1653,"ÇHT")</f>
      </c>
      <c r="AS1653" s="1">
        <f>=COUNTIF(E1653:AI1653,"Ö")+COUNTIF(E1653:AI1653,"T")</f>
      </c>
      <c r="AT1653" s="1">
        <f>=COUNTIF(E1653:AI1653,"Y")</f>
      </c>
      <c r="AU1653" s="1">
        <f>=COUNTIF(E1653:AI1653,"R.")</f>
      </c>
      <c r="AV1653" s="1">
        <f>=COUNTIF(E1653:AI1653,"Ü")</f>
      </c>
      <c r="AW1653" s="1">
        <f>=COUNTIF(E1653:AI1653,"R")</f>
      </c>
      <c r="AX1653" s="1">
        <f>=COUNTIF(E1653:AI1653,"DV")</f>
      </c>
      <c r="AY1653" s="1">
        <f>=+AN1653+AO1653+AP1653+AQ1653+AR1653+AS1653+AT1653+AU1653</f>
      </c>
    </row>
    <row r="1654" ht="16" customHeight="1" spans="1:51" x14ac:dyDescent="0.25">
      <c r="A1654" s="45"/>
      <c r="B1654" s="46"/>
      <c r="C1654" s="46"/>
      <c r="D1654" s="46" t="s">
        <v>33</v>
      </c>
      <c r="E1654" s="46"/>
      <c r="F1654" s="46"/>
      <c r="G1654" s="46">
        <v>2</v>
      </c>
      <c r="H1654" s="46"/>
      <c r="I1654" s="46"/>
      <c r="J1654" s="46"/>
      <c r="K1654" s="46"/>
      <c r="L1654" s="46"/>
      <c r="M1654" s="46"/>
      <c r="N1654" s="46"/>
      <c r="O1654" s="46"/>
      <c r="P1654" s="46">
        <v>1</v>
      </c>
      <c r="Q1654" s="46"/>
      <c r="R1654" s="46"/>
      <c r="S1654" s="46"/>
      <c r="T1654" s="46"/>
      <c r="U1654" s="46"/>
      <c r="V1654" s="46"/>
      <c r="W1654" s="46"/>
      <c r="X1654" s="46"/>
      <c r="Y1654" s="46"/>
      <c r="Z1654" s="46"/>
      <c r="AA1654" s="46"/>
      <c r="AB1654" s="46"/>
      <c r="AC1654" s="46"/>
      <c r="AD1654" s="46"/>
      <c r="AE1654" s="46"/>
      <c r="AF1654" s="46"/>
      <c r="AG1654" s="46"/>
      <c r="AH1654" s="46"/>
      <c r="AI1654" s="46">
        <v>1</v>
      </c>
      <c r="AJ1654" s="46"/>
      <c r="AK1654" s="46"/>
      <c r="AL1654" s="46"/>
      <c r="AM1654" s="1"/>
      <c r="AN1654" s="1"/>
      <c r="AO1654" s="1"/>
      <c r="AP1654" s="1"/>
      <c r="AQ1654" s="1"/>
      <c r="AR1654" s="1"/>
      <c r="AS1654" s="1"/>
      <c r="AT1654" s="1"/>
      <c r="AU1654" s="1"/>
      <c r="AV1654" s="1"/>
      <c r="AW1654" s="1"/>
      <c r="AX1654" s="1"/>
      <c r="AY1654" s="1"/>
    </row>
    <row r="1655" ht="16" customHeight="1" spans="1:51" x14ac:dyDescent="0.25">
      <c r="A1655" s="45"/>
      <c r="B1655" s="46" t="s">
        <v>1707</v>
      </c>
      <c r="C1655" s="46" t="s">
        <v>1708</v>
      </c>
      <c r="D1655" s="46" t="s">
        <v>29</v>
      </c>
      <c r="E1655" s="46" t="s">
        <v>36</v>
      </c>
      <c r="F1655" s="46" t="s">
        <v>36</v>
      </c>
      <c r="G1655" s="46" t="s">
        <v>36</v>
      </c>
      <c r="H1655" s="46" t="s">
        <v>36</v>
      </c>
      <c r="I1655" s="46" t="s">
        <v>37</v>
      </c>
      <c r="J1655" s="46" t="s">
        <v>36</v>
      </c>
      <c r="K1655" s="46" t="s">
        <v>36</v>
      </c>
      <c r="L1655" s="46" t="s">
        <v>36</v>
      </c>
      <c r="M1655" s="46" t="s">
        <v>36</v>
      </c>
      <c r="N1655" s="46" t="s">
        <v>36</v>
      </c>
      <c r="O1655" s="46" t="s">
        <v>36</v>
      </c>
      <c r="P1655" s="46" t="s">
        <v>37</v>
      </c>
      <c r="Q1655" s="46" t="s">
        <v>36</v>
      </c>
      <c r="R1655" s="46" t="s">
        <v>36</v>
      </c>
      <c r="S1655" s="46" t="s">
        <v>36</v>
      </c>
      <c r="T1655" s="46" t="s">
        <v>36</v>
      </c>
      <c r="U1655" s="46" t="s">
        <v>36</v>
      </c>
      <c r="V1655" s="46" t="s">
        <v>36</v>
      </c>
      <c r="W1655" s="46" t="s">
        <v>37</v>
      </c>
      <c r="X1655" s="46" t="s">
        <v>36</v>
      </c>
      <c r="Y1655" s="46" t="s">
        <v>36</v>
      </c>
      <c r="Z1655" s="46" t="s">
        <v>36</v>
      </c>
      <c r="AA1655" s="46" t="s">
        <v>36</v>
      </c>
      <c r="AB1655" s="46" t="s">
        <v>36</v>
      </c>
      <c r="AC1655" s="46" t="s">
        <v>36</v>
      </c>
      <c r="AD1655" s="46" t="s">
        <v>37</v>
      </c>
      <c r="AE1655" s="46" t="s">
        <v>36</v>
      </c>
      <c r="AF1655" s="46" t="s">
        <v>36</v>
      </c>
      <c r="AG1655" s="46" t="s">
        <v>36</v>
      </c>
      <c r="AH1655" s="46" t="s">
        <v>173</v>
      </c>
      <c r="AI1655" s="46"/>
      <c r="AJ1655" s="46">
        <f>=SUM(E1656:AI1656)</f>
      </c>
      <c r="AK1655" s="46">
        <f>=+AY1655</f>
      </c>
      <c r="AL1655" s="46"/>
      <c r="AM1655" s="1"/>
      <c r="AN1655" s="1">
        <f>=COUNTIF(E1655:AI1655,"A")+COUNTIF(E1655:AI1655,"B")+COUNTIF(E1655:AI1655,"C")+COUNTIF(E1655:AI1655,"D")+COUNTIF(E1655:AI1655,"E")+COUNTIF(E1655:AI1655,"F")+COUNTIF(E1655:AI1655,"M")+COUNTIF(E1655:AI1655,"AB")+COUNTIF(E1655:AI1655,"UZ")+COUNTIF(E1655:AI1655,"G")+(COUNTIF(E1655:AI1655,"RT.")/2)+(COUNTIF(E1655:AI1655,"ÇRT.")/2)</f>
      </c>
      <c r="AO1655" s="1">
        <f>=COUNTIF(E1655:AI1655,"O")</f>
      </c>
      <c r="AP1655" s="1">
        <f>=COUNTIF(E1655:AI1655,"RT")+(COUNTIF(E1655:AI1655,"RT.")/2)</f>
      </c>
      <c r="AQ1655" s="1">
        <f>=COUNTIF(E1655:AI1655,"ÇRT")+(COUNTIF(E1655:AI1655,"ÇRT.")/2)</f>
      </c>
      <c r="AR1655" s="1">
        <f>=COUNTIF(E1655:AI1655,"ÇHT")</f>
      </c>
      <c r="AS1655" s="1">
        <f>=COUNTIF(E1655:AI1655,"Ö")+COUNTIF(E1655:AI1655,"T")</f>
      </c>
      <c r="AT1655" s="1">
        <f>=COUNTIF(E1655:AI1655,"Y")</f>
      </c>
      <c r="AU1655" s="1">
        <f>=COUNTIF(E1655:AI1655,"R.")</f>
      </c>
      <c r="AV1655" s="1">
        <f>=COUNTIF(E1655:AI1655,"Ü")</f>
      </c>
      <c r="AW1655" s="1">
        <f>=COUNTIF(E1655:AI1655,"R")</f>
      </c>
      <c r="AX1655" s="1">
        <f>=COUNTIF(E1655:AI1655,"DV")</f>
      </c>
      <c r="AY1655" s="1">
        <f>=+AN1655+AO1655+AP1655+AQ1655+AR1655+AS1655+AT1655+AU1655</f>
      </c>
    </row>
    <row r="1656" ht="16" customHeight="1" spans="1:51" x14ac:dyDescent="0.25">
      <c r="A1656" s="45"/>
      <c r="B1656" s="46"/>
      <c r="C1656" s="46"/>
      <c r="D1656" s="46" t="s">
        <v>33</v>
      </c>
      <c r="E1656" s="46"/>
      <c r="F1656" s="46"/>
      <c r="G1656" s="46"/>
      <c r="H1656" s="46"/>
      <c r="I1656" s="46"/>
      <c r="J1656" s="46"/>
      <c r="K1656" s="46"/>
      <c r="L1656" s="46"/>
      <c r="M1656" s="46"/>
      <c r="N1656" s="46"/>
      <c r="O1656" s="46"/>
      <c r="P1656" s="46"/>
      <c r="Q1656" s="46"/>
      <c r="R1656" s="46"/>
      <c r="S1656" s="46"/>
      <c r="T1656" s="46"/>
      <c r="U1656" s="46"/>
      <c r="V1656" s="46"/>
      <c r="W1656" s="46"/>
      <c r="X1656" s="46"/>
      <c r="Y1656" s="46"/>
      <c r="Z1656" s="46"/>
      <c r="AA1656" s="46"/>
      <c r="AB1656" s="46"/>
      <c r="AC1656" s="46"/>
      <c r="AD1656" s="46"/>
      <c r="AE1656" s="46"/>
      <c r="AF1656" s="46"/>
      <c r="AG1656" s="46"/>
      <c r="AH1656" s="46"/>
      <c r="AI1656" s="46"/>
      <c r="AJ1656" s="46"/>
      <c r="AK1656" s="46"/>
      <c r="AL1656" s="46"/>
      <c r="AM1656" s="1"/>
      <c r="AN1656" s="1"/>
      <c r="AO1656" s="1"/>
      <c r="AP1656" s="1"/>
      <c r="AQ1656" s="1"/>
      <c r="AR1656" s="1"/>
      <c r="AS1656" s="1"/>
      <c r="AT1656" s="1"/>
      <c r="AU1656" s="1"/>
      <c r="AV1656" s="1"/>
      <c r="AW1656" s="1"/>
      <c r="AX1656" s="1"/>
      <c r="AY1656" s="1"/>
    </row>
    <row r="1657" ht="16" customHeight="1" spans="1:51" x14ac:dyDescent="0.25">
      <c r="A1657" s="45"/>
      <c r="B1657" s="46" t="s">
        <v>1709</v>
      </c>
      <c r="C1657" s="46" t="s">
        <v>1710</v>
      </c>
      <c r="D1657" s="46" t="s">
        <v>29</v>
      </c>
      <c r="E1657" s="46" t="s">
        <v>37</v>
      </c>
      <c r="F1657" s="46" t="s">
        <v>59</v>
      </c>
      <c r="G1657" s="46" t="s">
        <v>59</v>
      </c>
      <c r="H1657" s="46" t="s">
        <v>59</v>
      </c>
      <c r="I1657" s="46" t="s">
        <v>59</v>
      </c>
      <c r="J1657" s="46" t="s">
        <v>59</v>
      </c>
      <c r="K1657" s="46" t="s">
        <v>59</v>
      </c>
      <c r="L1657" s="46" t="s">
        <v>37</v>
      </c>
      <c r="M1657" s="46" t="s">
        <v>59</v>
      </c>
      <c r="N1657" s="46" t="s">
        <v>59</v>
      </c>
      <c r="O1657" s="46" t="s">
        <v>1348</v>
      </c>
      <c r="P1657" s="46" t="s">
        <v>1348</v>
      </c>
      <c r="Q1657" s="46" t="s">
        <v>1348</v>
      </c>
      <c r="R1657" s="46" t="s">
        <v>1348</v>
      </c>
      <c r="S1657" s="46" t="s">
        <v>37</v>
      </c>
      <c r="T1657" s="46" t="s">
        <v>1348</v>
      </c>
      <c r="U1657" s="46" t="s">
        <v>59</v>
      </c>
      <c r="V1657" s="46" t="s">
        <v>59</v>
      </c>
      <c r="W1657" s="46" t="s">
        <v>59</v>
      </c>
      <c r="X1657" s="46" t="s">
        <v>59</v>
      </c>
      <c r="Y1657" s="46" t="s">
        <v>37</v>
      </c>
      <c r="Z1657" s="46" t="s">
        <v>59</v>
      </c>
      <c r="AA1657" s="46" t="s">
        <v>59</v>
      </c>
      <c r="AB1657" s="46" t="s">
        <v>59</v>
      </c>
      <c r="AC1657" s="46" t="s">
        <v>59</v>
      </c>
      <c r="AD1657" s="46" t="s">
        <v>37</v>
      </c>
      <c r="AE1657" s="46" t="s">
        <v>59</v>
      </c>
      <c r="AF1657" s="46" t="s">
        <v>59</v>
      </c>
      <c r="AG1657" s="46" t="s">
        <v>59</v>
      </c>
      <c r="AH1657" s="46" t="s">
        <v>43</v>
      </c>
      <c r="AI1657" s="46" t="s">
        <v>59</v>
      </c>
      <c r="AJ1657" s="46">
        <f>=SUM(E1658:AI1658)</f>
      </c>
      <c r="AK1657" s="46">
        <f>=+AY1657</f>
      </c>
      <c r="AL1657" s="46"/>
      <c r="AM1657" s="1"/>
      <c r="AN1657" s="1">
        <f>=COUNTIF(E1657:AI1657,"A")+COUNTIF(E1657:AI1657,"B")+COUNTIF(E1657:AI1657,"C")+COUNTIF(E1657:AI1657,"D")+COUNTIF(E1657:AI1657,"E")+COUNTIF(E1657:AI1657,"F")+COUNTIF(E1657:AI1657,"M")+COUNTIF(E1657:AI1657,"AB")+COUNTIF(E1657:AI1657,"UZ")+COUNTIF(E1657:AI1657,"G")+(COUNTIF(E1657:AI1657,"RT.")/2)+(COUNTIF(E1657:AI1657,"ÇRT.")/2)</f>
      </c>
      <c r="AO1657" s="1">
        <f>=COUNTIF(E1657:AI1657,"O")</f>
      </c>
      <c r="AP1657" s="1">
        <f>=COUNTIF(E1657:AI1657,"RT")+(COUNTIF(E1657:AI1657,"RT.")/2)</f>
      </c>
      <c r="AQ1657" s="1">
        <f>=COUNTIF(E1657:AI1657,"ÇRT")+(COUNTIF(E1657:AI1657,"ÇRT.")/2)</f>
      </c>
      <c r="AR1657" s="1">
        <f>=COUNTIF(E1657:AI1657,"ÇHT")</f>
      </c>
      <c r="AS1657" s="1">
        <f>=COUNTIF(E1657:AI1657,"Ö")+COUNTIF(E1657:AI1657,"T")</f>
      </c>
      <c r="AT1657" s="1">
        <f>=COUNTIF(E1657:AI1657,"Y")</f>
      </c>
      <c r="AU1657" s="1">
        <f>=COUNTIF(E1657:AI1657,"R.")</f>
      </c>
      <c r="AV1657" s="1">
        <f>=COUNTIF(E1657:AI1657,"Ü")</f>
      </c>
      <c r="AW1657" s="1">
        <f>=COUNTIF(E1657:AI1657,"R")</f>
      </c>
      <c r="AX1657" s="1">
        <f>=COUNTIF(E1657:AI1657,"DV")</f>
      </c>
      <c r="AY1657" s="1">
        <f>=+AN1657+AO1657+AP1657+AQ1657+AR1657+AS1657+AT1657+AU1657</f>
      </c>
    </row>
    <row r="1658" ht="16" customHeight="1" spans="1:51" x14ac:dyDescent="0.25">
      <c r="A1658" s="45"/>
      <c r="B1658" s="46"/>
      <c r="C1658" s="46"/>
      <c r="D1658" s="46" t="s">
        <v>33</v>
      </c>
      <c r="E1658" s="46"/>
      <c r="F1658" s="46"/>
      <c r="G1658" s="46"/>
      <c r="H1658" s="46"/>
      <c r="I1658" s="46">
        <v>1</v>
      </c>
      <c r="J1658" s="46"/>
      <c r="K1658" s="46">
        <v>2</v>
      </c>
      <c r="L1658" s="46"/>
      <c r="M1658" s="46"/>
      <c r="N1658" s="46"/>
      <c r="O1658" s="46"/>
      <c r="P1658" s="46"/>
      <c r="Q1658" s="46"/>
      <c r="R1658" s="46"/>
      <c r="S1658" s="46"/>
      <c r="T1658" s="46"/>
      <c r="U1658" s="46"/>
      <c r="V1658" s="46"/>
      <c r="W1658" s="46"/>
      <c r="X1658" s="46"/>
      <c r="Y1658" s="46"/>
      <c r="Z1658" s="46"/>
      <c r="AA1658" s="46"/>
      <c r="AB1658" s="46"/>
      <c r="AC1658" s="46"/>
      <c r="AD1658" s="46"/>
      <c r="AE1658" s="46"/>
      <c r="AF1658" s="46"/>
      <c r="AG1658" s="46"/>
      <c r="AH1658" s="46"/>
      <c r="AI1658" s="46"/>
      <c r="AJ1658" s="46"/>
      <c r="AK1658" s="46"/>
      <c r="AL1658" s="46"/>
      <c r="AM1658" s="1"/>
      <c r="AN1658" s="1"/>
      <c r="AO1658" s="1"/>
      <c r="AP1658" s="1"/>
      <c r="AQ1658" s="1"/>
      <c r="AR1658" s="1"/>
      <c r="AS1658" s="1"/>
      <c r="AT1658" s="1"/>
      <c r="AU1658" s="1"/>
      <c r="AV1658" s="1"/>
      <c r="AW1658" s="1"/>
      <c r="AX1658" s="1"/>
      <c r="AY1658" s="1"/>
    </row>
    <row r="1659" ht="16" customHeight="1" spans="1:51" x14ac:dyDescent="0.25">
      <c r="A1659" s="45"/>
      <c r="B1659" s="46" t="s">
        <v>1711</v>
      </c>
      <c r="C1659" s="46" t="s">
        <v>1712</v>
      </c>
      <c r="D1659" s="46" t="s">
        <v>29</v>
      </c>
      <c r="E1659" s="46" t="s">
        <v>37</v>
      </c>
      <c r="F1659" s="46" t="s">
        <v>36</v>
      </c>
      <c r="G1659" s="46" t="s">
        <v>36</v>
      </c>
      <c r="H1659" s="46" t="s">
        <v>36</v>
      </c>
      <c r="I1659" s="46" t="s">
        <v>36</v>
      </c>
      <c r="J1659" s="46" t="s">
        <v>36</v>
      </c>
      <c r="K1659" s="46" t="s">
        <v>36</v>
      </c>
      <c r="L1659" s="46" t="s">
        <v>37</v>
      </c>
      <c r="M1659" s="46" t="s">
        <v>36</v>
      </c>
      <c r="N1659" s="46" t="s">
        <v>1348</v>
      </c>
      <c r="O1659" s="46" t="s">
        <v>30</v>
      </c>
      <c r="P1659" s="46" t="s">
        <v>37</v>
      </c>
      <c r="Q1659" s="46" t="s">
        <v>1348</v>
      </c>
      <c r="R1659" s="46" t="s">
        <v>59</v>
      </c>
      <c r="S1659" s="46" t="s">
        <v>1348</v>
      </c>
      <c r="T1659" s="46" t="s">
        <v>1348</v>
      </c>
      <c r="U1659" s="46" t="s">
        <v>1348</v>
      </c>
      <c r="V1659" s="46" t="s">
        <v>1348</v>
      </c>
      <c r="W1659" s="46" t="s">
        <v>37</v>
      </c>
      <c r="X1659" s="46" t="s">
        <v>1348</v>
      </c>
      <c r="Y1659" s="46" t="s">
        <v>1348</v>
      </c>
      <c r="Z1659" s="46" t="s">
        <v>1348</v>
      </c>
      <c r="AA1659" s="46" t="s">
        <v>59</v>
      </c>
      <c r="AB1659" s="46" t="s">
        <v>1348</v>
      </c>
      <c r="AC1659" s="46" t="s">
        <v>59</v>
      </c>
      <c r="AD1659" s="46" t="s">
        <v>1348</v>
      </c>
      <c r="AE1659" s="46" t="s">
        <v>1348</v>
      </c>
      <c r="AF1659" s="46" t="s">
        <v>1348</v>
      </c>
      <c r="AG1659" s="46" t="s">
        <v>37</v>
      </c>
      <c r="AH1659" s="46" t="s">
        <v>43</v>
      </c>
      <c r="AI1659" s="46" t="s">
        <v>59</v>
      </c>
      <c r="AJ1659" s="46">
        <f>=SUM(E1660:AI1660)</f>
      </c>
      <c r="AK1659" s="46">
        <f>=+AY1659</f>
      </c>
      <c r="AL1659" s="46"/>
      <c r="AM1659" s="1"/>
      <c r="AN1659" s="1">
        <f>=COUNTIF(E1659:AI1659,"A")+COUNTIF(E1659:AI1659,"B")+COUNTIF(E1659:AI1659,"C")+COUNTIF(E1659:AI1659,"D")+COUNTIF(E1659:AI1659,"E")+COUNTIF(E1659:AI1659,"F")+COUNTIF(E1659:AI1659,"M")+COUNTIF(E1659:AI1659,"AB")+COUNTIF(E1659:AI1659,"UZ")+COUNTIF(E1659:AI1659,"G")+(COUNTIF(E1659:AI1659,"RT.")/2)+(COUNTIF(E1659:AI1659,"ÇRT.")/2)</f>
      </c>
      <c r="AO1659" s="1">
        <f>=COUNTIF(E1659:AI1659,"O")</f>
      </c>
      <c r="AP1659" s="1">
        <f>=COUNTIF(E1659:AI1659,"RT")+(COUNTIF(E1659:AI1659,"RT.")/2)</f>
      </c>
      <c r="AQ1659" s="1">
        <f>=COUNTIF(E1659:AI1659,"ÇRT")+(COUNTIF(E1659:AI1659,"ÇRT.")/2)</f>
      </c>
      <c r="AR1659" s="1">
        <f>=COUNTIF(E1659:AI1659,"ÇHT")</f>
      </c>
      <c r="AS1659" s="1">
        <f>=COUNTIF(E1659:AI1659,"Ö")+COUNTIF(E1659:AI1659,"T")</f>
      </c>
      <c r="AT1659" s="1">
        <f>=COUNTIF(E1659:AI1659,"Y")</f>
      </c>
      <c r="AU1659" s="1">
        <f>=COUNTIF(E1659:AI1659,"R.")</f>
      </c>
      <c r="AV1659" s="1">
        <f>=COUNTIF(E1659:AI1659,"Ü")</f>
      </c>
      <c r="AW1659" s="1">
        <f>=COUNTIF(E1659:AI1659,"R")</f>
      </c>
      <c r="AX1659" s="1">
        <f>=COUNTIF(E1659:AI1659,"DV")</f>
      </c>
      <c r="AY1659" s="1">
        <f>=+AN1659+AO1659+AP1659+AQ1659+AR1659+AS1659+AT1659+AU1659</f>
      </c>
    </row>
    <row r="1660" ht="16" customHeight="1" spans="1:51" x14ac:dyDescent="0.25">
      <c r="A1660" s="45"/>
      <c r="B1660" s="46"/>
      <c r="C1660" s="46"/>
      <c r="D1660" s="46" t="s">
        <v>33</v>
      </c>
      <c r="E1660" s="46"/>
      <c r="F1660" s="46"/>
      <c r="G1660" s="46"/>
      <c r="H1660" s="46"/>
      <c r="I1660" s="46"/>
      <c r="J1660" s="46"/>
      <c r="K1660" s="46"/>
      <c r="L1660" s="46"/>
      <c r="M1660" s="46"/>
      <c r="N1660" s="46"/>
      <c r="O1660" s="46"/>
      <c r="P1660" s="46"/>
      <c r="Q1660" s="46"/>
      <c r="R1660" s="46"/>
      <c r="S1660" s="46"/>
      <c r="T1660" s="46">
        <v>0</v>
      </c>
      <c r="U1660" s="46"/>
      <c r="V1660" s="46"/>
      <c r="W1660" s="46"/>
      <c r="X1660" s="46"/>
      <c r="Y1660" s="46"/>
      <c r="Z1660" s="46"/>
      <c r="AA1660" s="46"/>
      <c r="AB1660" s="46"/>
      <c r="AC1660" s="46"/>
      <c r="AD1660" s="46"/>
      <c r="AE1660" s="46"/>
      <c r="AF1660" s="46"/>
      <c r="AG1660" s="46"/>
      <c r="AH1660" s="46"/>
      <c r="AI1660" s="46"/>
      <c r="AJ1660" s="46"/>
      <c r="AK1660" s="46"/>
      <c r="AL1660" s="46"/>
      <c r="AM1660" s="1"/>
      <c r="AN1660" s="1"/>
      <c r="AO1660" s="1"/>
      <c r="AP1660" s="1"/>
      <c r="AQ1660" s="1"/>
      <c r="AR1660" s="1"/>
      <c r="AS1660" s="1"/>
      <c r="AT1660" s="1"/>
      <c r="AU1660" s="1"/>
      <c r="AV1660" s="1"/>
      <c r="AW1660" s="1"/>
      <c r="AX1660" s="1"/>
      <c r="AY1660" s="1"/>
    </row>
    <row r="1661" ht="16" customHeight="1" spans="1:51" x14ac:dyDescent="0.25">
      <c r="A1661" s="45"/>
      <c r="B1661" s="46" t="s">
        <v>1713</v>
      </c>
      <c r="C1661" s="46" t="s">
        <v>1714</v>
      </c>
      <c r="D1661" s="46" t="s">
        <v>29</v>
      </c>
      <c r="E1661" s="46" t="s">
        <v>59</v>
      </c>
      <c r="F1661" s="46" t="s">
        <v>59</v>
      </c>
      <c r="G1661" s="46" t="s">
        <v>37</v>
      </c>
      <c r="H1661" s="46" t="s">
        <v>59</v>
      </c>
      <c r="I1661" s="46" t="s">
        <v>59</v>
      </c>
      <c r="J1661" s="46" t="s">
        <v>59</v>
      </c>
      <c r="K1661" s="46" t="s">
        <v>59</v>
      </c>
      <c r="L1661" s="46" t="s">
        <v>59</v>
      </c>
      <c r="M1661" s="46" t="s">
        <v>59</v>
      </c>
      <c r="N1661" s="46" t="s">
        <v>59</v>
      </c>
      <c r="O1661" s="46" t="s">
        <v>59</v>
      </c>
      <c r="P1661" s="46" t="s">
        <v>37</v>
      </c>
      <c r="Q1661" s="46" t="s">
        <v>59</v>
      </c>
      <c r="R1661" s="46" t="s">
        <v>59</v>
      </c>
      <c r="S1661" s="46" t="s">
        <v>59</v>
      </c>
      <c r="T1661" s="46" t="s">
        <v>59</v>
      </c>
      <c r="U1661" s="46" t="s">
        <v>59</v>
      </c>
      <c r="V1661" s="46" t="s">
        <v>59</v>
      </c>
      <c r="W1661" s="46" t="s">
        <v>59</v>
      </c>
      <c r="X1661" s="46" t="s">
        <v>59</v>
      </c>
      <c r="Y1661" s="46" t="s">
        <v>59</v>
      </c>
      <c r="Z1661" s="46" t="s">
        <v>37</v>
      </c>
      <c r="AA1661" s="46" t="s">
        <v>153</v>
      </c>
      <c r="AB1661" s="46" t="s">
        <v>37</v>
      </c>
      <c r="AC1661" s="46" t="s">
        <v>1348</v>
      </c>
      <c r="AD1661" s="46" t="s">
        <v>59</v>
      </c>
      <c r="AE1661" s="46" t="s">
        <v>59</v>
      </c>
      <c r="AF1661" s="46" t="s">
        <v>59</v>
      </c>
      <c r="AG1661" s="46" t="s">
        <v>59</v>
      </c>
      <c r="AH1661" s="46" t="s">
        <v>43</v>
      </c>
      <c r="AI1661" s="46" t="s">
        <v>37</v>
      </c>
      <c r="AJ1661" s="46">
        <f>=SUM(E1662:AI1662)</f>
      </c>
      <c r="AK1661" s="46">
        <f>=+AY1661</f>
      </c>
      <c r="AL1661" s="46"/>
      <c r="AM1661" s="1"/>
      <c r="AN1661" s="1">
        <f>=COUNTIF(E1661:AI1661,"A")+COUNTIF(E1661:AI1661,"B")+COUNTIF(E1661:AI1661,"C")+COUNTIF(E1661:AI1661,"D")+COUNTIF(E1661:AI1661,"E")+COUNTIF(E1661:AI1661,"F")+COUNTIF(E1661:AI1661,"M")+COUNTIF(E1661:AI1661,"AB")+COUNTIF(E1661:AI1661,"UZ")+COUNTIF(E1661:AI1661,"G")+(COUNTIF(E1661:AI1661,"RT.")/2)+(COUNTIF(E1661:AI1661,"ÇRT.")/2)</f>
      </c>
      <c r="AO1661" s="1">
        <f>=COUNTIF(E1661:AI1661,"O")</f>
      </c>
      <c r="AP1661" s="1">
        <f>=COUNTIF(E1661:AI1661,"RT")+(COUNTIF(E1661:AI1661,"RT.")/2)</f>
      </c>
      <c r="AQ1661" s="1">
        <f>=COUNTIF(E1661:AI1661,"ÇRT")+(COUNTIF(E1661:AI1661,"ÇRT.")/2)</f>
      </c>
      <c r="AR1661" s="1">
        <f>=COUNTIF(E1661:AI1661,"ÇHT")</f>
      </c>
      <c r="AS1661" s="1">
        <f>=COUNTIF(E1661:AI1661,"Ö")+COUNTIF(E1661:AI1661,"T")</f>
      </c>
      <c r="AT1661" s="1">
        <f>=COUNTIF(E1661:AI1661,"Y")</f>
      </c>
      <c r="AU1661" s="1">
        <f>=COUNTIF(E1661:AI1661,"R.")</f>
      </c>
      <c r="AV1661" s="1">
        <f>=COUNTIF(E1661:AI1661,"Ü")</f>
      </c>
      <c r="AW1661" s="1">
        <f>=COUNTIF(E1661:AI1661,"R")</f>
      </c>
      <c r="AX1661" s="1">
        <f>=COUNTIF(E1661:AI1661,"DV")</f>
      </c>
      <c r="AY1661" s="1">
        <f>=+AN1661+AO1661+AP1661+AQ1661+AR1661+AS1661+AT1661+AU1661</f>
      </c>
    </row>
    <row r="1662" ht="16" customHeight="1" spans="1:51" x14ac:dyDescent="0.25">
      <c r="A1662" s="45"/>
      <c r="B1662" s="46"/>
      <c r="C1662" s="46"/>
      <c r="D1662" s="46" t="s">
        <v>33</v>
      </c>
      <c r="E1662" s="46"/>
      <c r="F1662" s="46"/>
      <c r="G1662" s="46"/>
      <c r="H1662" s="46"/>
      <c r="I1662" s="46"/>
      <c r="J1662" s="46"/>
      <c r="K1662" s="46"/>
      <c r="L1662" s="46"/>
      <c r="M1662" s="46"/>
      <c r="N1662" s="46"/>
      <c r="O1662" s="46"/>
      <c r="P1662" s="46"/>
      <c r="Q1662" s="46"/>
      <c r="R1662" s="46"/>
      <c r="S1662" s="46"/>
      <c r="T1662" s="46"/>
      <c r="U1662" s="46"/>
      <c r="V1662" s="46"/>
      <c r="W1662" s="46"/>
      <c r="X1662" s="46"/>
      <c r="Y1662" s="46"/>
      <c r="Z1662" s="46"/>
      <c r="AA1662" s="46"/>
      <c r="AB1662" s="46"/>
      <c r="AC1662" s="46"/>
      <c r="AD1662" s="46"/>
      <c r="AE1662" s="46"/>
      <c r="AF1662" s="46"/>
      <c r="AG1662" s="46"/>
      <c r="AH1662" s="46"/>
      <c r="AI1662" s="46"/>
      <c r="AJ1662" s="46"/>
      <c r="AK1662" s="46"/>
      <c r="AL1662" s="46"/>
      <c r="AM1662" s="1"/>
      <c r="AN1662" s="1"/>
      <c r="AO1662" s="1"/>
      <c r="AP1662" s="1"/>
      <c r="AQ1662" s="1"/>
      <c r="AR1662" s="1"/>
      <c r="AS1662" s="1"/>
      <c r="AT1662" s="1"/>
      <c r="AU1662" s="1"/>
      <c r="AV1662" s="1"/>
      <c r="AW1662" s="1"/>
      <c r="AX1662" s="1"/>
      <c r="AY1662" s="1"/>
    </row>
    <row r="1663" ht="16" customHeight="1" spans="1:51" x14ac:dyDescent="0.25">
      <c r="A1663" s="45"/>
      <c r="B1663" s="46" t="s">
        <v>1715</v>
      </c>
      <c r="C1663" s="46" t="s">
        <v>1716</v>
      </c>
      <c r="D1663" s="46" t="s">
        <v>29</v>
      </c>
      <c r="E1663" s="46" t="s">
        <v>42</v>
      </c>
      <c r="F1663" s="46" t="s">
        <v>42</v>
      </c>
      <c r="G1663" s="46" t="s">
        <v>42</v>
      </c>
      <c r="H1663" s="46" t="s">
        <v>37</v>
      </c>
      <c r="I1663" s="46" t="s">
        <v>42</v>
      </c>
      <c r="J1663" s="46" t="s">
        <v>42</v>
      </c>
      <c r="K1663" s="46" t="s">
        <v>42</v>
      </c>
      <c r="L1663" s="46" t="s">
        <v>42</v>
      </c>
      <c r="M1663" s="46" t="s">
        <v>42</v>
      </c>
      <c r="N1663" s="46" t="s">
        <v>42</v>
      </c>
      <c r="O1663" s="46" t="s">
        <v>37</v>
      </c>
      <c r="P1663" s="46" t="s">
        <v>42</v>
      </c>
      <c r="Q1663" s="46" t="s">
        <v>42</v>
      </c>
      <c r="R1663" s="46" t="s">
        <v>42</v>
      </c>
      <c r="S1663" s="46" t="s">
        <v>42</v>
      </c>
      <c r="T1663" s="46" t="s">
        <v>42</v>
      </c>
      <c r="U1663" s="46" t="s">
        <v>42</v>
      </c>
      <c r="V1663" s="46" t="s">
        <v>37</v>
      </c>
      <c r="W1663" s="46" t="s">
        <v>42</v>
      </c>
      <c r="X1663" s="46" t="s">
        <v>42</v>
      </c>
      <c r="Y1663" s="46" t="s">
        <v>42</v>
      </c>
      <c r="Z1663" s="46" t="s">
        <v>42</v>
      </c>
      <c r="AA1663" s="46" t="s">
        <v>42</v>
      </c>
      <c r="AB1663" s="46" t="s">
        <v>42</v>
      </c>
      <c r="AC1663" s="46" t="s">
        <v>37</v>
      </c>
      <c r="AD1663" s="46" t="s">
        <v>42</v>
      </c>
      <c r="AE1663" s="46" t="s">
        <v>42</v>
      </c>
      <c r="AF1663" s="46" t="s">
        <v>42</v>
      </c>
      <c r="AG1663" s="46" t="s">
        <v>42</v>
      </c>
      <c r="AH1663" s="46" t="s">
        <v>43</v>
      </c>
      <c r="AI1663" s="46" t="s">
        <v>42</v>
      </c>
      <c r="AJ1663" s="46">
        <f>=SUM(E1664:AI1664)</f>
      </c>
      <c r="AK1663" s="46">
        <f>=+AY1663</f>
      </c>
      <c r="AL1663" s="46"/>
      <c r="AM1663" s="1"/>
      <c r="AN1663" s="1">
        <f>=COUNTIF(E1663:AI1663,"A")+COUNTIF(E1663:AI1663,"B")+COUNTIF(E1663:AI1663,"C")+COUNTIF(E1663:AI1663,"D")+COUNTIF(E1663:AI1663,"E")+COUNTIF(E1663:AI1663,"F")+COUNTIF(E1663:AI1663,"M")+COUNTIF(E1663:AI1663,"AB")+COUNTIF(E1663:AI1663,"UZ")+COUNTIF(E1663:AI1663,"G")+(COUNTIF(E1663:AI1663,"RT.")/2)+(COUNTIF(E1663:AI1663,"ÇRT.")/2)</f>
      </c>
      <c r="AO1663" s="1">
        <f>=COUNTIF(E1663:AI1663,"O")</f>
      </c>
      <c r="AP1663" s="1">
        <f>=COUNTIF(E1663:AI1663,"RT")+(COUNTIF(E1663:AI1663,"RT.")/2)</f>
      </c>
      <c r="AQ1663" s="1">
        <f>=COUNTIF(E1663:AI1663,"ÇRT")+(COUNTIF(E1663:AI1663,"ÇRT.")/2)</f>
      </c>
      <c r="AR1663" s="1">
        <f>=COUNTIF(E1663:AI1663,"ÇHT")</f>
      </c>
      <c r="AS1663" s="1">
        <f>=COUNTIF(E1663:AI1663,"Ö")+COUNTIF(E1663:AI1663,"T")</f>
      </c>
      <c r="AT1663" s="1">
        <f>=COUNTIF(E1663:AI1663,"Y")</f>
      </c>
      <c r="AU1663" s="1">
        <f>=COUNTIF(E1663:AI1663,"R.")</f>
      </c>
      <c r="AV1663" s="1">
        <f>=COUNTIF(E1663:AI1663,"Ü")</f>
      </c>
      <c r="AW1663" s="1">
        <f>=COUNTIF(E1663:AI1663,"R")</f>
      </c>
      <c r="AX1663" s="1">
        <f>=COUNTIF(E1663:AI1663,"DV")</f>
      </c>
      <c r="AY1663" s="1">
        <f>=+AN1663+AO1663+AP1663+AQ1663+AR1663+AS1663+AT1663+AU1663</f>
      </c>
    </row>
    <row r="1664" ht="16" customHeight="1" spans="1:51" x14ac:dyDescent="0.25">
      <c r="A1664" s="45"/>
      <c r="B1664" s="46"/>
      <c r="C1664" s="46"/>
      <c r="D1664" s="46" t="s">
        <v>33</v>
      </c>
      <c r="E1664" s="46"/>
      <c r="F1664" s="46"/>
      <c r="G1664" s="46"/>
      <c r="H1664" s="46"/>
      <c r="I1664" s="46"/>
      <c r="J1664" s="46"/>
      <c r="K1664" s="46"/>
      <c r="L1664" s="46"/>
      <c r="M1664" s="46"/>
      <c r="N1664" s="46"/>
      <c r="O1664" s="46"/>
      <c r="P1664" s="46"/>
      <c r="Q1664" s="46"/>
      <c r="R1664" s="46"/>
      <c r="S1664" s="46"/>
      <c r="T1664" s="46"/>
      <c r="U1664" s="46"/>
      <c r="V1664" s="46"/>
      <c r="W1664" s="46"/>
      <c r="X1664" s="46"/>
      <c r="Y1664" s="46"/>
      <c r="Z1664" s="46"/>
      <c r="AA1664" s="46"/>
      <c r="AB1664" s="46"/>
      <c r="AC1664" s="46"/>
      <c r="AD1664" s="46"/>
      <c r="AE1664" s="46"/>
      <c r="AF1664" s="46"/>
      <c r="AG1664" s="46"/>
      <c r="AH1664" s="46"/>
      <c r="AI1664" s="46"/>
      <c r="AJ1664" s="46"/>
      <c r="AK1664" s="46"/>
      <c r="AL1664" s="46"/>
      <c r="AM1664" s="1"/>
      <c r="AN1664" s="1"/>
      <c r="AO1664" s="1"/>
      <c r="AP1664" s="1"/>
      <c r="AQ1664" s="1"/>
      <c r="AR1664" s="1"/>
      <c r="AS1664" s="1"/>
      <c r="AT1664" s="1"/>
      <c r="AU1664" s="1"/>
      <c r="AV1664" s="1"/>
      <c r="AW1664" s="1"/>
      <c r="AX1664" s="1"/>
      <c r="AY1664" s="1"/>
    </row>
    <row r="1665" ht="16" customHeight="1" spans="1:51" x14ac:dyDescent="0.25">
      <c r="A1665" s="45"/>
      <c r="B1665" s="46" t="s">
        <v>1717</v>
      </c>
      <c r="C1665" s="46" t="s">
        <v>1718</v>
      </c>
      <c r="D1665" s="46" t="s">
        <v>29</v>
      </c>
      <c r="E1665" s="46" t="s">
        <v>36</v>
      </c>
      <c r="F1665" s="46" t="s">
        <v>36</v>
      </c>
      <c r="G1665" s="46" t="s">
        <v>36</v>
      </c>
      <c r="H1665" s="46" t="s">
        <v>37</v>
      </c>
      <c r="I1665" s="46" t="s">
        <v>36</v>
      </c>
      <c r="J1665" s="46" t="s">
        <v>36</v>
      </c>
      <c r="K1665" s="46" t="s">
        <v>36</v>
      </c>
      <c r="L1665" s="46" t="s">
        <v>36</v>
      </c>
      <c r="M1665" s="46" t="s">
        <v>36</v>
      </c>
      <c r="N1665" s="46" t="s">
        <v>36</v>
      </c>
      <c r="O1665" s="46" t="s">
        <v>37</v>
      </c>
      <c r="P1665" s="46" t="s">
        <v>36</v>
      </c>
      <c r="Q1665" s="46" t="s">
        <v>36</v>
      </c>
      <c r="R1665" s="46" t="s">
        <v>31</v>
      </c>
      <c r="S1665" s="46" t="s">
        <v>31</v>
      </c>
      <c r="T1665" s="46" t="s">
        <v>36</v>
      </c>
      <c r="U1665" s="46" t="s">
        <v>36</v>
      </c>
      <c r="V1665" s="46" t="s">
        <v>37</v>
      </c>
      <c r="W1665" s="46" t="s">
        <v>36</v>
      </c>
      <c r="X1665" s="46" t="s">
        <v>36</v>
      </c>
      <c r="Y1665" s="46" t="s">
        <v>36</v>
      </c>
      <c r="Z1665" s="46" t="s">
        <v>36</v>
      </c>
      <c r="AA1665" s="46" t="s">
        <v>36</v>
      </c>
      <c r="AB1665" s="46" t="s">
        <v>36</v>
      </c>
      <c r="AC1665" s="46" t="s">
        <v>37</v>
      </c>
      <c r="AD1665" s="46" t="s">
        <v>36</v>
      </c>
      <c r="AE1665" s="46" t="s">
        <v>36</v>
      </c>
      <c r="AF1665" s="46" t="s">
        <v>36</v>
      </c>
      <c r="AG1665" s="46" t="s">
        <v>36</v>
      </c>
      <c r="AH1665" s="46" t="s">
        <v>43</v>
      </c>
      <c r="AI1665" s="46" t="s">
        <v>36</v>
      </c>
      <c r="AJ1665" s="46">
        <f>=SUM(E1666:AI1666)</f>
      </c>
      <c r="AK1665" s="46">
        <f>=+AY1665</f>
      </c>
      <c r="AL1665" s="46"/>
      <c r="AM1665" s="1"/>
      <c r="AN1665" s="1">
        <f>=COUNTIF(E1665:AI1665,"A")+COUNTIF(E1665:AI1665,"B")+COUNTIF(E1665:AI1665,"C")+COUNTIF(E1665:AI1665,"D")+COUNTIF(E1665:AI1665,"E")+COUNTIF(E1665:AI1665,"F")+COUNTIF(E1665:AI1665,"M")+COUNTIF(E1665:AI1665,"AB")+COUNTIF(E1665:AI1665,"UZ")+COUNTIF(E1665:AI1665,"G")+(COUNTIF(E1665:AI1665,"RT.")/2)+(COUNTIF(E1665:AI1665,"ÇRT.")/2)</f>
      </c>
      <c r="AO1665" s="1">
        <f>=COUNTIF(E1665:AI1665,"O")</f>
      </c>
      <c r="AP1665" s="1">
        <f>=COUNTIF(E1665:AI1665,"RT")+(COUNTIF(E1665:AI1665,"RT.")/2)</f>
      </c>
      <c r="AQ1665" s="1">
        <f>=COUNTIF(E1665:AI1665,"ÇRT")+(COUNTIF(E1665:AI1665,"ÇRT.")/2)</f>
      </c>
      <c r="AR1665" s="1">
        <f>=COUNTIF(E1665:AI1665,"ÇHT")</f>
      </c>
      <c r="AS1665" s="1">
        <f>=COUNTIF(E1665:AI1665,"Ö")+COUNTIF(E1665:AI1665,"T")</f>
      </c>
      <c r="AT1665" s="1">
        <f>=COUNTIF(E1665:AI1665,"Y")</f>
      </c>
      <c r="AU1665" s="1">
        <f>=COUNTIF(E1665:AI1665,"R.")</f>
      </c>
      <c r="AV1665" s="1">
        <f>=COUNTIF(E1665:AI1665,"Ü")</f>
      </c>
      <c r="AW1665" s="1">
        <f>=COUNTIF(E1665:AI1665,"R")</f>
      </c>
      <c r="AX1665" s="1">
        <f>=COUNTIF(E1665:AI1665,"DV")</f>
      </c>
      <c r="AY1665" s="1">
        <f>=+AN1665+AO1665+AP1665+AQ1665+AR1665+AS1665+AT1665+AU1665</f>
      </c>
    </row>
    <row r="1666" ht="16" customHeight="1" spans="1:51" x14ac:dyDescent="0.25">
      <c r="A1666" s="45"/>
      <c r="B1666" s="46"/>
      <c r="C1666" s="46"/>
      <c r="D1666" s="46" t="s">
        <v>33</v>
      </c>
      <c r="E1666" s="46"/>
      <c r="F1666" s="46"/>
      <c r="G1666" s="46"/>
      <c r="H1666" s="46"/>
      <c r="I1666" s="46"/>
      <c r="J1666" s="46"/>
      <c r="K1666" s="46"/>
      <c r="L1666" s="46"/>
      <c r="M1666" s="46"/>
      <c r="N1666" s="46"/>
      <c r="O1666" s="46"/>
      <c r="P1666" s="46"/>
      <c r="Q1666" s="46"/>
      <c r="R1666" s="46"/>
      <c r="S1666" s="46"/>
      <c r="T1666" s="46"/>
      <c r="U1666" s="46"/>
      <c r="V1666" s="46"/>
      <c r="W1666" s="46"/>
      <c r="X1666" s="46"/>
      <c r="Y1666" s="46"/>
      <c r="Z1666" s="46"/>
      <c r="AA1666" s="46"/>
      <c r="AB1666" s="46"/>
      <c r="AC1666" s="46"/>
      <c r="AD1666" s="46"/>
      <c r="AE1666" s="46"/>
      <c r="AF1666" s="46"/>
      <c r="AG1666" s="46"/>
      <c r="AH1666" s="46"/>
      <c r="AI1666" s="46"/>
      <c r="AJ1666" s="46"/>
      <c r="AK1666" s="46"/>
      <c r="AL1666" s="46"/>
      <c r="AM1666" s="1"/>
      <c r="AN1666" s="1"/>
      <c r="AO1666" s="1"/>
      <c r="AP1666" s="1"/>
      <c r="AQ1666" s="1"/>
      <c r="AR1666" s="1"/>
      <c r="AS1666" s="1"/>
      <c r="AT1666" s="1"/>
      <c r="AU1666" s="1"/>
      <c r="AV1666" s="1"/>
      <c r="AW1666" s="1"/>
      <c r="AX1666" s="1"/>
      <c r="AY1666" s="1"/>
    </row>
    <row r="1667" ht="16" customHeight="1" spans="1:51" x14ac:dyDescent="0.25">
      <c r="A1667" s="45"/>
      <c r="B1667" s="46" t="s">
        <v>1719</v>
      </c>
      <c r="C1667" s="46" t="s">
        <v>1720</v>
      </c>
      <c r="D1667" s="46" t="s">
        <v>29</v>
      </c>
      <c r="E1667" s="46" t="s">
        <v>37</v>
      </c>
      <c r="F1667" s="46" t="s">
        <v>337</v>
      </c>
      <c r="G1667" s="46" t="s">
        <v>337</v>
      </c>
      <c r="H1667" s="46" t="s">
        <v>31</v>
      </c>
      <c r="I1667" s="46" t="s">
        <v>31</v>
      </c>
      <c r="J1667" s="46" t="s">
        <v>32</v>
      </c>
      <c r="K1667" s="46" t="s">
        <v>32</v>
      </c>
      <c r="L1667" s="46" t="s">
        <v>32</v>
      </c>
      <c r="M1667" s="46" t="s">
        <v>37</v>
      </c>
      <c r="N1667" s="46" t="s">
        <v>36</v>
      </c>
      <c r="O1667" s="46" t="s">
        <v>36</v>
      </c>
      <c r="P1667" s="46" t="s">
        <v>36</v>
      </c>
      <c r="Q1667" s="46" t="s">
        <v>36</v>
      </c>
      <c r="R1667" s="46" t="s">
        <v>36</v>
      </c>
      <c r="S1667" s="46" t="s">
        <v>37</v>
      </c>
      <c r="T1667" s="46" t="s">
        <v>36</v>
      </c>
      <c r="U1667" s="46" t="s">
        <v>36</v>
      </c>
      <c r="V1667" s="46" t="s">
        <v>36</v>
      </c>
      <c r="W1667" s="46" t="s">
        <v>36</v>
      </c>
      <c r="X1667" s="46" t="s">
        <v>36</v>
      </c>
      <c r="Y1667" s="46" t="s">
        <v>36</v>
      </c>
      <c r="Z1667" s="46" t="s">
        <v>37</v>
      </c>
      <c r="AA1667" s="46" t="s">
        <v>36</v>
      </c>
      <c r="AB1667" s="46" t="s">
        <v>36</v>
      </c>
      <c r="AC1667" s="46" t="s">
        <v>36</v>
      </c>
      <c r="AD1667" s="46" t="s">
        <v>36</v>
      </c>
      <c r="AE1667" s="46" t="s">
        <v>36</v>
      </c>
      <c r="AF1667" s="46" t="s">
        <v>36</v>
      </c>
      <c r="AG1667" s="46" t="s">
        <v>37</v>
      </c>
      <c r="AH1667" s="46" t="s">
        <v>43</v>
      </c>
      <c r="AI1667" s="46" t="s">
        <v>36</v>
      </c>
      <c r="AJ1667" s="46">
        <f>=SUM(E1668:AI1668)</f>
      </c>
      <c r="AK1667" s="46">
        <f>=+AY1667</f>
      </c>
      <c r="AL1667" s="46"/>
      <c r="AM1667" s="1"/>
      <c r="AN1667" s="1">
        <f>=COUNTIF(E1667:AI1667,"A")+COUNTIF(E1667:AI1667,"B")+COUNTIF(E1667:AI1667,"C")+COUNTIF(E1667:AI1667,"D")+COUNTIF(E1667:AI1667,"E")+COUNTIF(E1667:AI1667,"F")+COUNTIF(E1667:AI1667,"M")+COUNTIF(E1667:AI1667,"AB")+COUNTIF(E1667:AI1667,"UZ")+COUNTIF(E1667:AI1667,"G")+(COUNTIF(E1667:AI1667,"RT.")/2)+(COUNTIF(E1667:AI1667,"ÇRT.")/2)</f>
      </c>
      <c r="AO1667" s="1">
        <f>=COUNTIF(E1667:AI1667,"O")</f>
      </c>
      <c r="AP1667" s="1">
        <f>=COUNTIF(E1667:AI1667,"RT")+(COUNTIF(E1667:AI1667,"RT.")/2)</f>
      </c>
      <c r="AQ1667" s="1">
        <f>=COUNTIF(E1667:AI1667,"ÇRT")+(COUNTIF(E1667:AI1667,"ÇRT.")/2)</f>
      </c>
      <c r="AR1667" s="1">
        <f>=COUNTIF(E1667:AI1667,"ÇHT")</f>
      </c>
      <c r="AS1667" s="1">
        <f>=COUNTIF(E1667:AI1667,"Ö")+COUNTIF(E1667:AI1667,"T")</f>
      </c>
      <c r="AT1667" s="1">
        <f>=COUNTIF(E1667:AI1667,"Y")</f>
      </c>
      <c r="AU1667" s="1">
        <f>=COUNTIF(E1667:AI1667,"R.")</f>
      </c>
      <c r="AV1667" s="1">
        <f>=COUNTIF(E1667:AI1667,"Ü")</f>
      </c>
      <c r="AW1667" s="1">
        <f>=COUNTIF(E1667:AI1667,"R")</f>
      </c>
      <c r="AX1667" s="1">
        <f>=COUNTIF(E1667:AI1667,"DV")</f>
      </c>
      <c r="AY1667" s="1">
        <f>=+AN1667+AO1667+AP1667+AQ1667+AR1667+AS1667+AT1667+AU1667</f>
      </c>
    </row>
    <row r="1668" ht="16" customHeight="1" spans="1:51" x14ac:dyDescent="0.25">
      <c r="A1668" s="45"/>
      <c r="B1668" s="46"/>
      <c r="C1668" s="46"/>
      <c r="D1668" s="46" t="s">
        <v>33</v>
      </c>
      <c r="E1668" s="46"/>
      <c r="F1668" s="46"/>
      <c r="G1668" s="46"/>
      <c r="H1668" s="46"/>
      <c r="I1668" s="46"/>
      <c r="J1668" s="46"/>
      <c r="K1668" s="46"/>
      <c r="L1668" s="46"/>
      <c r="M1668" s="46"/>
      <c r="N1668" s="46"/>
      <c r="O1668" s="46"/>
      <c r="P1668" s="46"/>
      <c r="Q1668" s="46"/>
      <c r="R1668" s="46"/>
      <c r="S1668" s="46"/>
      <c r="T1668" s="46"/>
      <c r="U1668" s="46"/>
      <c r="V1668" s="46"/>
      <c r="W1668" s="46"/>
      <c r="X1668" s="46"/>
      <c r="Y1668" s="46"/>
      <c r="Z1668" s="46"/>
      <c r="AA1668" s="46"/>
      <c r="AB1668" s="46"/>
      <c r="AC1668" s="46"/>
      <c r="AD1668" s="46"/>
      <c r="AE1668" s="46"/>
      <c r="AF1668" s="46"/>
      <c r="AG1668" s="46"/>
      <c r="AH1668" s="46"/>
      <c r="AI1668" s="46"/>
      <c r="AJ1668" s="46"/>
      <c r="AK1668" s="46"/>
      <c r="AL1668" s="46"/>
      <c r="AM1668" s="1"/>
      <c r="AN1668" s="1"/>
      <c r="AO1668" s="1"/>
      <c r="AP1668" s="1"/>
      <c r="AQ1668" s="1"/>
      <c r="AR1668" s="1"/>
      <c r="AS1668" s="1"/>
      <c r="AT1668" s="1"/>
      <c r="AU1668" s="1"/>
      <c r="AV1668" s="1"/>
      <c r="AW1668" s="1"/>
      <c r="AX1668" s="1"/>
      <c r="AY1668" s="1"/>
    </row>
    <row r="1669" ht="16" customHeight="1" spans="1:51" x14ac:dyDescent="0.25">
      <c r="A1669" s="45"/>
      <c r="B1669" s="46" t="s">
        <v>1721</v>
      </c>
      <c r="C1669" s="46" t="s">
        <v>1722</v>
      </c>
      <c r="D1669" s="46" t="s">
        <v>29</v>
      </c>
      <c r="E1669" s="46" t="s">
        <v>37</v>
      </c>
      <c r="F1669" s="46" t="s">
        <v>59</v>
      </c>
      <c r="G1669" s="46" t="s">
        <v>1348</v>
      </c>
      <c r="H1669" s="46" t="s">
        <v>59</v>
      </c>
      <c r="I1669" s="46" t="s">
        <v>59</v>
      </c>
      <c r="J1669" s="46" t="s">
        <v>59</v>
      </c>
      <c r="K1669" s="46" t="s">
        <v>59</v>
      </c>
      <c r="L1669" s="46" t="s">
        <v>37</v>
      </c>
      <c r="M1669" s="46" t="s">
        <v>59</v>
      </c>
      <c r="N1669" s="46" t="s">
        <v>59</v>
      </c>
      <c r="O1669" s="46" t="s">
        <v>59</v>
      </c>
      <c r="P1669" s="46" t="s">
        <v>59</v>
      </c>
      <c r="Q1669" s="46" t="s">
        <v>59</v>
      </c>
      <c r="R1669" s="46" t="s">
        <v>59</v>
      </c>
      <c r="S1669" s="46" t="s">
        <v>37</v>
      </c>
      <c r="T1669" s="46" t="s">
        <v>59</v>
      </c>
      <c r="U1669" s="46" t="s">
        <v>59</v>
      </c>
      <c r="V1669" s="46" t="s">
        <v>59</v>
      </c>
      <c r="W1669" s="46" t="s">
        <v>59</v>
      </c>
      <c r="X1669" s="46" t="s">
        <v>59</v>
      </c>
      <c r="Y1669" s="46" t="s">
        <v>59</v>
      </c>
      <c r="Z1669" s="46" t="s">
        <v>37</v>
      </c>
      <c r="AA1669" s="46" t="s">
        <v>59</v>
      </c>
      <c r="AB1669" s="46" t="s">
        <v>1348</v>
      </c>
      <c r="AC1669" s="46" t="s">
        <v>59</v>
      </c>
      <c r="AD1669" s="46" t="s">
        <v>59</v>
      </c>
      <c r="AE1669" s="46" t="s">
        <v>59</v>
      </c>
      <c r="AF1669" s="46" t="s">
        <v>37</v>
      </c>
      <c r="AG1669" s="46" t="s">
        <v>59</v>
      </c>
      <c r="AH1669" s="46" t="s">
        <v>43</v>
      </c>
      <c r="AI1669" s="46" t="s">
        <v>59</v>
      </c>
      <c r="AJ1669" s="46">
        <f>=SUM(E1670:AI1670)</f>
      </c>
      <c r="AK1669" s="46">
        <f>=+AY1669</f>
      </c>
      <c r="AL1669" s="46"/>
      <c r="AM1669" s="1"/>
      <c r="AN1669" s="1">
        <f>=COUNTIF(E1669:AI1669,"A")+COUNTIF(E1669:AI1669,"B")+COUNTIF(E1669:AI1669,"C")+COUNTIF(E1669:AI1669,"D")+COUNTIF(E1669:AI1669,"E")+COUNTIF(E1669:AI1669,"F")+COUNTIF(E1669:AI1669,"M")+COUNTIF(E1669:AI1669,"AB")+COUNTIF(E1669:AI1669,"UZ")+COUNTIF(E1669:AI1669,"G")+(COUNTIF(E1669:AI1669,"RT.")/2)+(COUNTIF(E1669:AI1669,"ÇRT.")/2)</f>
      </c>
      <c r="AO1669" s="1">
        <f>=COUNTIF(E1669:AI1669,"O")</f>
      </c>
      <c r="AP1669" s="1">
        <f>=COUNTIF(E1669:AI1669,"RT")+(COUNTIF(E1669:AI1669,"RT.")/2)</f>
      </c>
      <c r="AQ1669" s="1">
        <f>=COUNTIF(E1669:AI1669,"ÇRT")+(COUNTIF(E1669:AI1669,"ÇRT.")/2)</f>
      </c>
      <c r="AR1669" s="1">
        <f>=COUNTIF(E1669:AI1669,"ÇHT")</f>
      </c>
      <c r="AS1669" s="1">
        <f>=COUNTIF(E1669:AI1669,"Ö")+COUNTIF(E1669:AI1669,"T")</f>
      </c>
      <c r="AT1669" s="1">
        <f>=COUNTIF(E1669:AI1669,"Y")</f>
      </c>
      <c r="AU1669" s="1">
        <f>=COUNTIF(E1669:AI1669,"R.")</f>
      </c>
      <c r="AV1669" s="1">
        <f>=COUNTIF(E1669:AI1669,"Ü")</f>
      </c>
      <c r="AW1669" s="1">
        <f>=COUNTIF(E1669:AI1669,"R")</f>
      </c>
      <c r="AX1669" s="1">
        <f>=COUNTIF(E1669:AI1669,"DV")</f>
      </c>
      <c r="AY1669" s="1">
        <f>=+AN1669+AO1669+AP1669+AQ1669+AR1669+AS1669+AT1669+AU1669</f>
      </c>
    </row>
    <row r="1670" ht="16" customHeight="1" spans="1:51" x14ac:dyDescent="0.25">
      <c r="A1670" s="45"/>
      <c r="B1670" s="46"/>
      <c r="C1670" s="46"/>
      <c r="D1670" s="46" t="s">
        <v>33</v>
      </c>
      <c r="E1670" s="46"/>
      <c r="F1670" s="46"/>
      <c r="G1670" s="46"/>
      <c r="H1670" s="46"/>
      <c r="I1670" s="46"/>
      <c r="J1670" s="46"/>
      <c r="K1670" s="46"/>
      <c r="L1670" s="46"/>
      <c r="M1670" s="46"/>
      <c r="N1670" s="46"/>
      <c r="O1670" s="46"/>
      <c r="P1670" s="46"/>
      <c r="Q1670" s="46"/>
      <c r="R1670" s="46"/>
      <c r="S1670" s="46"/>
      <c r="T1670" s="46"/>
      <c r="U1670" s="46"/>
      <c r="V1670" s="46"/>
      <c r="W1670" s="46">
        <v>1</v>
      </c>
      <c r="X1670" s="46"/>
      <c r="Y1670" s="46"/>
      <c r="Z1670" s="46"/>
      <c r="AA1670" s="46"/>
      <c r="AB1670" s="46"/>
      <c r="AC1670" s="46"/>
      <c r="AD1670" s="46"/>
      <c r="AE1670" s="46"/>
      <c r="AF1670" s="46"/>
      <c r="AG1670" s="46"/>
      <c r="AH1670" s="46"/>
      <c r="AI1670" s="46"/>
      <c r="AJ1670" s="46"/>
      <c r="AK1670" s="46"/>
      <c r="AL1670" s="46"/>
      <c r="AM1670" s="1"/>
      <c r="AN1670" s="1"/>
      <c r="AO1670" s="1"/>
      <c r="AP1670" s="1"/>
      <c r="AQ1670" s="1"/>
      <c r="AR1670" s="1"/>
      <c r="AS1670" s="1"/>
      <c r="AT1670" s="1"/>
      <c r="AU1670" s="1"/>
      <c r="AV1670" s="1"/>
      <c r="AW1670" s="1"/>
      <c r="AX1670" s="1"/>
      <c r="AY1670" s="1"/>
    </row>
    <row r="1671" ht="16" customHeight="1" spans="1:51" x14ac:dyDescent="0.25">
      <c r="A1671" s="45"/>
      <c r="B1671" s="46" t="s">
        <v>1723</v>
      </c>
      <c r="C1671" s="46" t="s">
        <v>1724</v>
      </c>
      <c r="D1671" s="46" t="s">
        <v>29</v>
      </c>
      <c r="E1671" s="46" t="s">
        <v>1348</v>
      </c>
      <c r="F1671" s="46" t="s">
        <v>1348</v>
      </c>
      <c r="G1671" s="46" t="s">
        <v>1348</v>
      </c>
      <c r="H1671" s="46" t="s">
        <v>1348</v>
      </c>
      <c r="I1671" s="46" t="s">
        <v>1348</v>
      </c>
      <c r="J1671" s="46" t="s">
        <v>1348</v>
      </c>
      <c r="K1671" s="46" t="s">
        <v>37</v>
      </c>
      <c r="L1671" s="46" t="s">
        <v>1348</v>
      </c>
      <c r="M1671" s="46" t="s">
        <v>1348</v>
      </c>
      <c r="N1671" s="46" t="s">
        <v>1348</v>
      </c>
      <c r="O1671" s="46" t="s">
        <v>1348</v>
      </c>
      <c r="P1671" s="46" t="s">
        <v>1348</v>
      </c>
      <c r="Q1671" s="46" t="s">
        <v>153</v>
      </c>
      <c r="R1671" s="46" t="s">
        <v>37</v>
      </c>
      <c r="S1671" s="46" t="s">
        <v>1348</v>
      </c>
      <c r="T1671" s="46" t="s">
        <v>1348</v>
      </c>
      <c r="U1671" s="46" t="s">
        <v>1348</v>
      </c>
      <c r="V1671" s="46" t="s">
        <v>1348</v>
      </c>
      <c r="W1671" s="46" t="s">
        <v>1348</v>
      </c>
      <c r="X1671" s="46" t="s">
        <v>1348</v>
      </c>
      <c r="Y1671" s="46" t="s">
        <v>37</v>
      </c>
      <c r="Z1671" s="46" t="s">
        <v>1348</v>
      </c>
      <c r="AA1671" s="46" t="s">
        <v>1348</v>
      </c>
      <c r="AB1671" s="46" t="s">
        <v>1348</v>
      </c>
      <c r="AC1671" s="46" t="s">
        <v>1348</v>
      </c>
      <c r="AD1671" s="46" t="s">
        <v>1348</v>
      </c>
      <c r="AE1671" s="46" t="s">
        <v>1348</v>
      </c>
      <c r="AF1671" s="46" t="s">
        <v>1348</v>
      </c>
      <c r="AG1671" s="46" t="s">
        <v>1348</v>
      </c>
      <c r="AH1671" s="46" t="s">
        <v>37</v>
      </c>
      <c r="AI1671" s="46" t="s">
        <v>337</v>
      </c>
      <c r="AJ1671" s="46">
        <f>=SUM(E1672:AI1672)</f>
      </c>
      <c r="AK1671" s="46">
        <f>=+AY1671</f>
      </c>
      <c r="AL1671" s="46"/>
      <c r="AM1671" s="1"/>
      <c r="AN1671" s="1">
        <f>=COUNTIF(E1671:AI1671,"A")+COUNTIF(E1671:AI1671,"B")+COUNTIF(E1671:AI1671,"C")+COUNTIF(E1671:AI1671,"D")+COUNTIF(E1671:AI1671,"E")+COUNTIF(E1671:AI1671,"F")+COUNTIF(E1671:AI1671,"M")+COUNTIF(E1671:AI1671,"AB")+COUNTIF(E1671:AI1671,"UZ")+COUNTIF(E1671:AI1671,"G")+(COUNTIF(E1671:AI1671,"RT.")/2)+(COUNTIF(E1671:AI1671,"ÇRT.")/2)</f>
      </c>
      <c r="AO1671" s="1">
        <f>=COUNTIF(E1671:AI1671,"O")</f>
      </c>
      <c r="AP1671" s="1">
        <f>=COUNTIF(E1671:AI1671,"RT")+(COUNTIF(E1671:AI1671,"RT.")/2)</f>
      </c>
      <c r="AQ1671" s="1">
        <f>=COUNTIF(E1671:AI1671,"ÇRT")+(COUNTIF(E1671:AI1671,"ÇRT.")/2)</f>
      </c>
      <c r="AR1671" s="1">
        <f>=COUNTIF(E1671:AI1671,"ÇHT")</f>
      </c>
      <c r="AS1671" s="1">
        <f>=COUNTIF(E1671:AI1671,"Ö")+COUNTIF(E1671:AI1671,"T")</f>
      </c>
      <c r="AT1671" s="1">
        <f>=COUNTIF(E1671:AI1671,"Y")</f>
      </c>
      <c r="AU1671" s="1">
        <f>=COUNTIF(E1671:AI1671,"R.")</f>
      </c>
      <c r="AV1671" s="1">
        <f>=COUNTIF(E1671:AI1671,"Ü")</f>
      </c>
      <c r="AW1671" s="1">
        <f>=COUNTIF(E1671:AI1671,"R")</f>
      </c>
      <c r="AX1671" s="1">
        <f>=COUNTIF(E1671:AI1671,"DV")</f>
      </c>
      <c r="AY1671" s="1">
        <f>=+AN1671+AO1671+AP1671+AQ1671+AR1671+AS1671+AT1671+AU1671</f>
      </c>
    </row>
    <row r="1672" ht="16" customHeight="1" spans="1:51" x14ac:dyDescent="0.25">
      <c r="A1672" s="45"/>
      <c r="B1672" s="46"/>
      <c r="C1672" s="46"/>
      <c r="D1672" s="46" t="s">
        <v>33</v>
      </c>
      <c r="E1672" s="46"/>
      <c r="F1672" s="46"/>
      <c r="G1672" s="46"/>
      <c r="H1672" s="46"/>
      <c r="I1672" s="46"/>
      <c r="J1672" s="46"/>
      <c r="K1672" s="46"/>
      <c r="L1672" s="46"/>
      <c r="M1672" s="46"/>
      <c r="N1672" s="46"/>
      <c r="O1672" s="46"/>
      <c r="P1672" s="46"/>
      <c r="Q1672" s="46"/>
      <c r="R1672" s="46"/>
      <c r="S1672" s="46"/>
      <c r="T1672" s="46"/>
      <c r="U1672" s="46"/>
      <c r="V1672" s="46"/>
      <c r="W1672" s="46"/>
      <c r="X1672" s="46"/>
      <c r="Y1672" s="46"/>
      <c r="Z1672" s="46"/>
      <c r="AA1672" s="46"/>
      <c r="AB1672" s="46"/>
      <c r="AC1672" s="46"/>
      <c r="AD1672" s="46"/>
      <c r="AE1672" s="46"/>
      <c r="AF1672" s="46"/>
      <c r="AG1672" s="46"/>
      <c r="AH1672" s="46"/>
      <c r="AI1672" s="46"/>
      <c r="AJ1672" s="46"/>
      <c r="AK1672" s="46"/>
      <c r="AL1672" s="46"/>
      <c r="AM1672" s="1"/>
      <c r="AN1672" s="1"/>
      <c r="AO1672" s="1"/>
      <c r="AP1672" s="1"/>
      <c r="AQ1672" s="1"/>
      <c r="AR1672" s="1"/>
      <c r="AS1672" s="1"/>
      <c r="AT1672" s="1"/>
      <c r="AU1672" s="1"/>
      <c r="AV1672" s="1"/>
      <c r="AW1672" s="1"/>
      <c r="AX1672" s="1"/>
      <c r="AY1672" s="1"/>
    </row>
    <row r="1673" ht="16" customHeight="1" spans="1:51" x14ac:dyDescent="0.25">
      <c r="A1673" s="45"/>
      <c r="B1673" s="46" t="s">
        <v>1725</v>
      </c>
      <c r="C1673" s="46" t="s">
        <v>1726</v>
      </c>
      <c r="D1673" s="46" t="s">
        <v>29</v>
      </c>
      <c r="E1673" s="46" t="s">
        <v>59</v>
      </c>
      <c r="F1673" s="46" t="s">
        <v>59</v>
      </c>
      <c r="G1673" s="46" t="s">
        <v>59</v>
      </c>
      <c r="H1673" s="46" t="s">
        <v>59</v>
      </c>
      <c r="I1673" s="46" t="s">
        <v>59</v>
      </c>
      <c r="J1673" s="46" t="s">
        <v>59</v>
      </c>
      <c r="K1673" s="46" t="s">
        <v>37</v>
      </c>
      <c r="L1673" s="46" t="s">
        <v>59</v>
      </c>
      <c r="M1673" s="46" t="s">
        <v>59</v>
      </c>
      <c r="N1673" s="46" t="s">
        <v>59</v>
      </c>
      <c r="O1673" s="46" t="s">
        <v>59</v>
      </c>
      <c r="P1673" s="46" t="s">
        <v>59</v>
      </c>
      <c r="Q1673" s="46"/>
      <c r="R1673" s="46"/>
      <c r="S1673" s="46"/>
      <c r="T1673" s="46"/>
      <c r="U1673" s="46"/>
      <c r="V1673" s="46"/>
      <c r="W1673" s="46"/>
      <c r="X1673" s="46"/>
      <c r="Y1673" s="46"/>
      <c r="Z1673" s="46"/>
      <c r="AA1673" s="46"/>
      <c r="AB1673" s="46"/>
      <c r="AC1673" s="46"/>
      <c r="AD1673" s="46"/>
      <c r="AE1673" s="46"/>
      <c r="AF1673" s="46"/>
      <c r="AG1673" s="46"/>
      <c r="AH1673" s="46"/>
      <c r="AI1673" s="46"/>
      <c r="AJ1673" s="46">
        <f>=SUM(E1674:AI1674)</f>
      </c>
      <c r="AK1673" s="46">
        <f>=+AY1673</f>
      </c>
      <c r="AL1673" s="46"/>
      <c r="AM1673" s="1"/>
      <c r="AN1673" s="1">
        <f>=COUNTIF(E1673:AI1673,"A")+COUNTIF(E1673:AI1673,"B")+COUNTIF(E1673:AI1673,"C")+COUNTIF(E1673:AI1673,"D")+COUNTIF(E1673:AI1673,"E")+COUNTIF(E1673:AI1673,"F")+COUNTIF(E1673:AI1673,"M")+COUNTIF(E1673:AI1673,"AB")+COUNTIF(E1673:AI1673,"UZ")+COUNTIF(E1673:AI1673,"G")+(COUNTIF(E1673:AI1673,"RT.")/2)+(COUNTIF(E1673:AI1673,"ÇRT.")/2)</f>
      </c>
      <c r="AO1673" s="1">
        <f>=COUNTIF(E1673:AI1673,"O")</f>
      </c>
      <c r="AP1673" s="1">
        <f>=COUNTIF(E1673:AI1673,"RT")+(COUNTIF(E1673:AI1673,"RT.")/2)</f>
      </c>
      <c r="AQ1673" s="1">
        <f>=COUNTIF(E1673:AI1673,"ÇRT")+(COUNTIF(E1673:AI1673,"ÇRT.")/2)</f>
      </c>
      <c r="AR1673" s="1">
        <f>=COUNTIF(E1673:AI1673,"ÇHT")</f>
      </c>
      <c r="AS1673" s="1">
        <f>=COUNTIF(E1673:AI1673,"Ö")+COUNTIF(E1673:AI1673,"T")</f>
      </c>
      <c r="AT1673" s="1">
        <f>=COUNTIF(E1673:AI1673,"Y")</f>
      </c>
      <c r="AU1673" s="1">
        <f>=COUNTIF(E1673:AI1673,"R.")</f>
      </c>
      <c r="AV1673" s="1">
        <f>=COUNTIF(E1673:AI1673,"Ü")</f>
      </c>
      <c r="AW1673" s="1">
        <f>=COUNTIF(E1673:AI1673,"R")</f>
      </c>
      <c r="AX1673" s="1">
        <f>=COUNTIF(E1673:AI1673,"DV")</f>
      </c>
      <c r="AY1673" s="1">
        <f>=+AN1673+AO1673+AP1673+AQ1673+AR1673+AS1673+AT1673+AU1673</f>
      </c>
    </row>
    <row r="1674" ht="16" customHeight="1" spans="1:51" x14ac:dyDescent="0.25">
      <c r="A1674" s="45"/>
      <c r="B1674" s="46"/>
      <c r="C1674" s="46"/>
      <c r="D1674" s="46" t="s">
        <v>33</v>
      </c>
      <c r="E1674" s="46"/>
      <c r="F1674" s="46"/>
      <c r="G1674" s="46"/>
      <c r="H1674" s="46"/>
      <c r="I1674" s="46"/>
      <c r="J1674" s="46"/>
      <c r="K1674" s="46"/>
      <c r="L1674" s="46"/>
      <c r="M1674" s="46"/>
      <c r="N1674" s="46"/>
      <c r="O1674" s="46"/>
      <c r="P1674" s="46"/>
      <c r="Q1674" s="46"/>
      <c r="R1674" s="46"/>
      <c r="S1674" s="46"/>
      <c r="T1674" s="46"/>
      <c r="U1674" s="46"/>
      <c r="V1674" s="46"/>
      <c r="W1674" s="46"/>
      <c r="X1674" s="46"/>
      <c r="Y1674" s="46"/>
      <c r="Z1674" s="46"/>
      <c r="AA1674" s="46"/>
      <c r="AB1674" s="46"/>
      <c r="AC1674" s="46"/>
      <c r="AD1674" s="46"/>
      <c r="AE1674" s="46"/>
      <c r="AF1674" s="46"/>
      <c r="AG1674" s="46"/>
      <c r="AH1674" s="46"/>
      <c r="AI1674" s="46"/>
      <c r="AJ1674" s="46"/>
      <c r="AK1674" s="46"/>
      <c r="AL1674" s="46"/>
      <c r="AM1674" s="1"/>
      <c r="AN1674" s="1"/>
      <c r="AO1674" s="1"/>
      <c r="AP1674" s="1"/>
      <c r="AQ1674" s="1"/>
      <c r="AR1674" s="1"/>
      <c r="AS1674" s="1"/>
      <c r="AT1674" s="1"/>
      <c r="AU1674" s="1"/>
      <c r="AV1674" s="1"/>
      <c r="AW1674" s="1"/>
      <c r="AX1674" s="1"/>
      <c r="AY1674" s="1"/>
    </row>
    <row r="1675" ht="16" customHeight="1" spans="1:51" x14ac:dyDescent="0.25">
      <c r="A1675" s="45"/>
      <c r="B1675" s="46" t="s">
        <v>1727</v>
      </c>
      <c r="C1675" s="46" t="s">
        <v>1728</v>
      </c>
      <c r="D1675" s="46" t="s">
        <v>29</v>
      </c>
      <c r="E1675" s="46" t="s">
        <v>1348</v>
      </c>
      <c r="F1675" s="46" t="s">
        <v>1348</v>
      </c>
      <c r="G1675" s="46" t="s">
        <v>37</v>
      </c>
      <c r="H1675" s="46" t="s">
        <v>1348</v>
      </c>
      <c r="I1675" s="46" t="s">
        <v>1348</v>
      </c>
      <c r="J1675" s="46" t="s">
        <v>1348</v>
      </c>
      <c r="K1675" s="46" t="s">
        <v>1348</v>
      </c>
      <c r="L1675" s="46" t="s">
        <v>153</v>
      </c>
      <c r="M1675" s="46" t="s">
        <v>153</v>
      </c>
      <c r="N1675" s="46" t="s">
        <v>37</v>
      </c>
      <c r="O1675" s="46" t="s">
        <v>1348</v>
      </c>
      <c r="P1675" s="46" t="s">
        <v>1348</v>
      </c>
      <c r="Q1675" s="46" t="s">
        <v>1348</v>
      </c>
      <c r="R1675" s="46" t="s">
        <v>1348</v>
      </c>
      <c r="S1675" s="46" t="s">
        <v>1348</v>
      </c>
      <c r="T1675" s="46" t="s">
        <v>1348</v>
      </c>
      <c r="U1675" s="46" t="s">
        <v>37</v>
      </c>
      <c r="V1675" s="46" t="s">
        <v>1348</v>
      </c>
      <c r="W1675" s="46" t="s">
        <v>1348</v>
      </c>
      <c r="X1675" s="46" t="s">
        <v>1348</v>
      </c>
      <c r="Y1675" s="46" t="s">
        <v>1348</v>
      </c>
      <c r="Z1675" s="46" t="s">
        <v>1348</v>
      </c>
      <c r="AA1675" s="46" t="s">
        <v>1348</v>
      </c>
      <c r="AB1675" s="46" t="s">
        <v>37</v>
      </c>
      <c r="AC1675" s="46" t="s">
        <v>1348</v>
      </c>
      <c r="AD1675" s="46" t="s">
        <v>1348</v>
      </c>
      <c r="AE1675" s="46" t="s">
        <v>1348</v>
      </c>
      <c r="AF1675" s="46" t="s">
        <v>1348</v>
      </c>
      <c r="AG1675" s="46" t="s">
        <v>1348</v>
      </c>
      <c r="AH1675" s="46" t="s">
        <v>43</v>
      </c>
      <c r="AI1675" s="46" t="s">
        <v>37</v>
      </c>
      <c r="AJ1675" s="46">
        <f>=SUM(E1676:AI1676)</f>
      </c>
      <c r="AK1675" s="46">
        <f>=+AY1675</f>
      </c>
      <c r="AL1675" s="46"/>
      <c r="AM1675" s="1"/>
      <c r="AN1675" s="1">
        <f>=COUNTIF(E1675:AI1675,"A")+COUNTIF(E1675:AI1675,"B")+COUNTIF(E1675:AI1675,"C")+COUNTIF(E1675:AI1675,"D")+COUNTIF(E1675:AI1675,"E")+COUNTIF(E1675:AI1675,"F")+COUNTIF(E1675:AI1675,"M")+COUNTIF(E1675:AI1675,"AB")+COUNTIF(E1675:AI1675,"UZ")+COUNTIF(E1675:AI1675,"G")+(COUNTIF(E1675:AI1675,"RT.")/2)+(COUNTIF(E1675:AI1675,"ÇRT.")/2)</f>
      </c>
      <c r="AO1675" s="1">
        <f>=COUNTIF(E1675:AI1675,"O")</f>
      </c>
      <c r="AP1675" s="1">
        <f>=COUNTIF(E1675:AI1675,"RT")+(COUNTIF(E1675:AI1675,"RT.")/2)</f>
      </c>
      <c r="AQ1675" s="1">
        <f>=COUNTIF(E1675:AI1675,"ÇRT")+(COUNTIF(E1675:AI1675,"ÇRT.")/2)</f>
      </c>
      <c r="AR1675" s="1">
        <f>=COUNTIF(E1675:AI1675,"ÇHT")</f>
      </c>
      <c r="AS1675" s="1">
        <f>=COUNTIF(E1675:AI1675,"Ö")+COUNTIF(E1675:AI1675,"T")</f>
      </c>
      <c r="AT1675" s="1">
        <f>=COUNTIF(E1675:AI1675,"Y")</f>
      </c>
      <c r="AU1675" s="1">
        <f>=COUNTIF(E1675:AI1675,"R.")</f>
      </c>
      <c r="AV1675" s="1">
        <f>=COUNTIF(E1675:AI1675,"Ü")</f>
      </c>
      <c r="AW1675" s="1">
        <f>=COUNTIF(E1675:AI1675,"R")</f>
      </c>
      <c r="AX1675" s="1">
        <f>=COUNTIF(E1675:AI1675,"DV")</f>
      </c>
      <c r="AY1675" s="1">
        <f>=+AN1675+AO1675+AP1675+AQ1675+AR1675+AS1675+AT1675+AU1675</f>
      </c>
    </row>
    <row r="1676" ht="16" customHeight="1" spans="1:51" x14ac:dyDescent="0.25">
      <c r="A1676" s="45"/>
      <c r="B1676" s="46"/>
      <c r="C1676" s="46"/>
      <c r="D1676" s="46" t="s">
        <v>33</v>
      </c>
      <c r="E1676" s="46"/>
      <c r="F1676" s="46"/>
      <c r="G1676" s="46"/>
      <c r="H1676" s="46"/>
      <c r="I1676" s="46"/>
      <c r="J1676" s="46"/>
      <c r="K1676" s="46"/>
      <c r="L1676" s="46"/>
      <c r="M1676" s="46"/>
      <c r="N1676" s="46"/>
      <c r="O1676" s="46"/>
      <c r="P1676" s="46"/>
      <c r="Q1676" s="46"/>
      <c r="R1676" s="46"/>
      <c r="S1676" s="46"/>
      <c r="T1676" s="46"/>
      <c r="U1676" s="46"/>
      <c r="V1676" s="46"/>
      <c r="W1676" s="46"/>
      <c r="X1676" s="46"/>
      <c r="Y1676" s="46"/>
      <c r="Z1676" s="46"/>
      <c r="AA1676" s="46"/>
      <c r="AB1676" s="46"/>
      <c r="AC1676" s="46"/>
      <c r="AD1676" s="46"/>
      <c r="AE1676" s="46"/>
      <c r="AF1676" s="46"/>
      <c r="AG1676" s="46"/>
      <c r="AH1676" s="46"/>
      <c r="AI1676" s="46"/>
      <c r="AJ1676" s="46"/>
      <c r="AK1676" s="46"/>
      <c r="AL1676" s="46"/>
      <c r="AM1676" s="1"/>
      <c r="AN1676" s="1"/>
      <c r="AO1676" s="1"/>
      <c r="AP1676" s="1"/>
      <c r="AQ1676" s="1"/>
      <c r="AR1676" s="1"/>
      <c r="AS1676" s="1"/>
      <c r="AT1676" s="1"/>
      <c r="AU1676" s="1"/>
      <c r="AV1676" s="1"/>
      <c r="AW1676" s="1"/>
      <c r="AX1676" s="1"/>
      <c r="AY1676" s="1"/>
    </row>
    <row r="1677" ht="16" customHeight="1" spans="1:51" x14ac:dyDescent="0.25">
      <c r="A1677" s="45"/>
      <c r="B1677" s="46" t="s">
        <v>1729</v>
      </c>
      <c r="C1677" s="46" t="s">
        <v>1730</v>
      </c>
      <c r="D1677" s="46" t="s">
        <v>29</v>
      </c>
      <c r="E1677" s="46" t="s">
        <v>36</v>
      </c>
      <c r="F1677" s="46" t="s">
        <v>37</v>
      </c>
      <c r="G1677" s="46" t="s">
        <v>36</v>
      </c>
      <c r="H1677" s="46" t="s">
        <v>36</v>
      </c>
      <c r="I1677" s="46" t="s">
        <v>36</v>
      </c>
      <c r="J1677" s="46" t="s">
        <v>36</v>
      </c>
      <c r="K1677" s="46" t="s">
        <v>36</v>
      </c>
      <c r="L1677" s="46" t="s">
        <v>36</v>
      </c>
      <c r="M1677" s="46" t="s">
        <v>37</v>
      </c>
      <c r="N1677" s="46" t="s">
        <v>36</v>
      </c>
      <c r="O1677" s="46" t="s">
        <v>36</v>
      </c>
      <c r="P1677" s="46" t="s">
        <v>36</v>
      </c>
      <c r="Q1677" s="46" t="s">
        <v>36</v>
      </c>
      <c r="R1677" s="46" t="s">
        <v>36</v>
      </c>
      <c r="S1677" s="46" t="s">
        <v>36</v>
      </c>
      <c r="T1677" s="46" t="s">
        <v>37</v>
      </c>
      <c r="U1677" s="46" t="s">
        <v>36</v>
      </c>
      <c r="V1677" s="46" t="s">
        <v>36</v>
      </c>
      <c r="W1677" s="46" t="s">
        <v>36</v>
      </c>
      <c r="X1677" s="46" t="s">
        <v>36</v>
      </c>
      <c r="Y1677" s="46" t="s">
        <v>36</v>
      </c>
      <c r="Z1677" s="46" t="s">
        <v>36</v>
      </c>
      <c r="AA1677" s="46" t="s">
        <v>37</v>
      </c>
      <c r="AB1677" s="46" t="s">
        <v>36</v>
      </c>
      <c r="AC1677" s="46" t="s">
        <v>36</v>
      </c>
      <c r="AD1677" s="46" t="s">
        <v>36</v>
      </c>
      <c r="AE1677" s="46" t="s">
        <v>36</v>
      </c>
      <c r="AF1677" s="46" t="s">
        <v>36</v>
      </c>
      <c r="AG1677" s="46" t="s">
        <v>36</v>
      </c>
      <c r="AH1677" s="46" t="s">
        <v>37</v>
      </c>
      <c r="AI1677" s="46" t="s">
        <v>36</v>
      </c>
      <c r="AJ1677" s="46">
        <f>=SUM(E1678:AI1678)</f>
      </c>
      <c r="AK1677" s="46">
        <f>=+AY1677</f>
      </c>
      <c r="AL1677" s="46"/>
      <c r="AM1677" s="1"/>
      <c r="AN1677" s="1">
        <f>=COUNTIF(E1677:AI1677,"A")+COUNTIF(E1677:AI1677,"B")+COUNTIF(E1677:AI1677,"C")+COUNTIF(E1677:AI1677,"D")+COUNTIF(E1677:AI1677,"E")+COUNTIF(E1677:AI1677,"F")+COUNTIF(E1677:AI1677,"M")+COUNTIF(E1677:AI1677,"AB")+COUNTIF(E1677:AI1677,"UZ")+COUNTIF(E1677:AI1677,"G")+(COUNTIF(E1677:AI1677,"RT.")/2)+(COUNTIF(E1677:AI1677,"ÇRT.")/2)</f>
      </c>
      <c r="AO1677" s="1">
        <f>=COUNTIF(E1677:AI1677,"O")</f>
      </c>
      <c r="AP1677" s="1">
        <f>=COUNTIF(E1677:AI1677,"RT")+(COUNTIF(E1677:AI1677,"RT.")/2)</f>
      </c>
      <c r="AQ1677" s="1">
        <f>=COUNTIF(E1677:AI1677,"ÇRT")+(COUNTIF(E1677:AI1677,"ÇRT.")/2)</f>
      </c>
      <c r="AR1677" s="1">
        <f>=COUNTIF(E1677:AI1677,"ÇHT")</f>
      </c>
      <c r="AS1677" s="1">
        <f>=COUNTIF(E1677:AI1677,"Ö")+COUNTIF(E1677:AI1677,"T")</f>
      </c>
      <c r="AT1677" s="1">
        <f>=COUNTIF(E1677:AI1677,"Y")</f>
      </c>
      <c r="AU1677" s="1">
        <f>=COUNTIF(E1677:AI1677,"R.")</f>
      </c>
      <c r="AV1677" s="1">
        <f>=COUNTIF(E1677:AI1677,"Ü")</f>
      </c>
      <c r="AW1677" s="1">
        <f>=COUNTIF(E1677:AI1677,"R")</f>
      </c>
      <c r="AX1677" s="1">
        <f>=COUNTIF(E1677:AI1677,"DV")</f>
      </c>
      <c r="AY1677" s="1">
        <f>=+AN1677+AO1677+AP1677+AQ1677+AR1677+AS1677+AT1677+AU1677</f>
      </c>
    </row>
    <row r="1678" ht="16" customHeight="1" spans="1:51" x14ac:dyDescent="0.25">
      <c r="A1678" s="45"/>
      <c r="B1678" s="46"/>
      <c r="C1678" s="46"/>
      <c r="D1678" s="46" t="s">
        <v>33</v>
      </c>
      <c r="E1678" s="46"/>
      <c r="F1678" s="46"/>
      <c r="G1678" s="46"/>
      <c r="H1678" s="46"/>
      <c r="I1678" s="46"/>
      <c r="J1678" s="46"/>
      <c r="K1678" s="46"/>
      <c r="L1678" s="46"/>
      <c r="M1678" s="46"/>
      <c r="N1678" s="46"/>
      <c r="O1678" s="46"/>
      <c r="P1678" s="46"/>
      <c r="Q1678" s="46"/>
      <c r="R1678" s="46"/>
      <c r="S1678" s="46"/>
      <c r="T1678" s="46"/>
      <c r="U1678" s="46"/>
      <c r="V1678" s="46"/>
      <c r="W1678" s="46"/>
      <c r="X1678" s="46"/>
      <c r="Y1678" s="46"/>
      <c r="Z1678" s="46"/>
      <c r="AA1678" s="46"/>
      <c r="AB1678" s="46"/>
      <c r="AC1678" s="46"/>
      <c r="AD1678" s="46"/>
      <c r="AE1678" s="46"/>
      <c r="AF1678" s="46"/>
      <c r="AG1678" s="46"/>
      <c r="AH1678" s="46"/>
      <c r="AI1678" s="46"/>
      <c r="AJ1678" s="46"/>
      <c r="AK1678" s="46"/>
      <c r="AL1678" s="46"/>
      <c r="AM1678" s="1"/>
      <c r="AN1678" s="1"/>
      <c r="AO1678" s="1"/>
      <c r="AP1678" s="1"/>
      <c r="AQ1678" s="1"/>
      <c r="AR1678" s="1"/>
      <c r="AS1678" s="1"/>
      <c r="AT1678" s="1"/>
      <c r="AU1678" s="1"/>
      <c r="AV1678" s="1"/>
      <c r="AW1678" s="1"/>
      <c r="AX1678" s="1"/>
      <c r="AY1678" s="1"/>
    </row>
    <row r="1679" ht="16" customHeight="1" spans="1:51" x14ac:dyDescent="0.25">
      <c r="A1679" s="45"/>
      <c r="B1679" s="46" t="s">
        <v>1731</v>
      </c>
      <c r="C1679" s="46" t="s">
        <v>1732</v>
      </c>
      <c r="D1679" s="46" t="s">
        <v>29</v>
      </c>
      <c r="E1679" s="46" t="s">
        <v>36</v>
      </c>
      <c r="F1679" s="46" t="s">
        <v>36</v>
      </c>
      <c r="G1679" s="46" t="s">
        <v>36</v>
      </c>
      <c r="H1679" s="46" t="s">
        <v>36</v>
      </c>
      <c r="I1679" s="46" t="s">
        <v>36</v>
      </c>
      <c r="J1679" s="46" t="s">
        <v>37</v>
      </c>
      <c r="K1679" s="46" t="s">
        <v>36</v>
      </c>
      <c r="L1679" s="46" t="s">
        <v>36</v>
      </c>
      <c r="M1679" s="46" t="s">
        <v>36</v>
      </c>
      <c r="N1679" s="46" t="s">
        <v>36</v>
      </c>
      <c r="O1679" s="46" t="s">
        <v>37</v>
      </c>
      <c r="P1679" s="46" t="s">
        <v>36</v>
      </c>
      <c r="Q1679" s="46" t="s">
        <v>36</v>
      </c>
      <c r="R1679" s="46" t="s">
        <v>36</v>
      </c>
      <c r="S1679" s="46" t="s">
        <v>36</v>
      </c>
      <c r="T1679" s="46" t="s">
        <v>36</v>
      </c>
      <c r="U1679" s="46" t="s">
        <v>36</v>
      </c>
      <c r="V1679" s="46" t="s">
        <v>36</v>
      </c>
      <c r="W1679" s="46" t="s">
        <v>36</v>
      </c>
      <c r="X1679" s="46" t="s">
        <v>37</v>
      </c>
      <c r="Y1679" s="46" t="s">
        <v>36</v>
      </c>
      <c r="Z1679" s="46" t="s">
        <v>36</v>
      </c>
      <c r="AA1679" s="46" t="s">
        <v>36</v>
      </c>
      <c r="AB1679" s="46" t="s">
        <v>31</v>
      </c>
      <c r="AC1679" s="46" t="s">
        <v>31</v>
      </c>
      <c r="AD1679" s="46" t="s">
        <v>37</v>
      </c>
      <c r="AE1679" s="46" t="s">
        <v>36</v>
      </c>
      <c r="AF1679" s="46" t="s">
        <v>36</v>
      </c>
      <c r="AG1679" s="46" t="s">
        <v>36</v>
      </c>
      <c r="AH1679" s="46" t="s">
        <v>43</v>
      </c>
      <c r="AI1679" s="46" t="s">
        <v>36</v>
      </c>
      <c r="AJ1679" s="46">
        <f>=SUM(E1680:AI1680)</f>
      </c>
      <c r="AK1679" s="46">
        <f>=+AY1679</f>
      </c>
      <c r="AL1679" s="46"/>
      <c r="AM1679" s="1"/>
      <c r="AN1679" s="1">
        <f>=COUNTIF(E1679:AI1679,"A")+COUNTIF(E1679:AI1679,"B")+COUNTIF(E1679:AI1679,"C")+COUNTIF(E1679:AI1679,"D")+COUNTIF(E1679:AI1679,"E")+COUNTIF(E1679:AI1679,"F")+COUNTIF(E1679:AI1679,"M")+COUNTIF(E1679:AI1679,"AB")+COUNTIF(E1679:AI1679,"UZ")+COUNTIF(E1679:AI1679,"G")+(COUNTIF(E1679:AI1679,"RT.")/2)+(COUNTIF(E1679:AI1679,"ÇRT.")/2)</f>
      </c>
      <c r="AO1679" s="1">
        <f>=COUNTIF(E1679:AI1679,"O")</f>
      </c>
      <c r="AP1679" s="1">
        <f>=COUNTIF(E1679:AI1679,"RT")+(COUNTIF(E1679:AI1679,"RT.")/2)</f>
      </c>
      <c r="AQ1679" s="1">
        <f>=COUNTIF(E1679:AI1679,"ÇRT")+(COUNTIF(E1679:AI1679,"ÇRT.")/2)</f>
      </c>
      <c r="AR1679" s="1">
        <f>=COUNTIF(E1679:AI1679,"ÇHT")</f>
      </c>
      <c r="AS1679" s="1">
        <f>=COUNTIF(E1679:AI1679,"Ö")+COUNTIF(E1679:AI1679,"T")</f>
      </c>
      <c r="AT1679" s="1">
        <f>=COUNTIF(E1679:AI1679,"Y")</f>
      </c>
      <c r="AU1679" s="1">
        <f>=COUNTIF(E1679:AI1679,"R.")</f>
      </c>
      <c r="AV1679" s="1">
        <f>=COUNTIF(E1679:AI1679,"Ü")</f>
      </c>
      <c r="AW1679" s="1">
        <f>=COUNTIF(E1679:AI1679,"R")</f>
      </c>
      <c r="AX1679" s="1">
        <f>=COUNTIF(E1679:AI1679,"DV")</f>
      </c>
      <c r="AY1679" s="1">
        <f>=+AN1679+AO1679+AP1679+AQ1679+AR1679+AS1679+AT1679+AU1679</f>
      </c>
    </row>
    <row r="1680" ht="16" customHeight="1" spans="1:51" x14ac:dyDescent="0.25">
      <c r="A1680" s="45"/>
      <c r="B1680" s="46"/>
      <c r="C1680" s="46"/>
      <c r="D1680" s="46" t="s">
        <v>33</v>
      </c>
      <c r="E1680" s="46">
        <v>3</v>
      </c>
      <c r="F1680" s="46">
        <v>3</v>
      </c>
      <c r="G1680" s="46">
        <v>3</v>
      </c>
      <c r="H1680" s="46">
        <v>3</v>
      </c>
      <c r="I1680" s="46">
        <v>3</v>
      </c>
      <c r="J1680" s="46"/>
      <c r="K1680" s="46">
        <v>3</v>
      </c>
      <c r="L1680" s="46">
        <v>3</v>
      </c>
      <c r="M1680" s="46">
        <v>3</v>
      </c>
      <c r="N1680" s="46">
        <v>3</v>
      </c>
      <c r="O1680" s="46"/>
      <c r="P1680" s="46">
        <v>3</v>
      </c>
      <c r="Q1680" s="46">
        <v>3</v>
      </c>
      <c r="R1680" s="46">
        <v>3</v>
      </c>
      <c r="S1680" s="46">
        <v>3</v>
      </c>
      <c r="T1680" s="46">
        <v>3</v>
      </c>
      <c r="U1680" s="46">
        <v>3</v>
      </c>
      <c r="V1680" s="46">
        <v>3</v>
      </c>
      <c r="W1680" s="46"/>
      <c r="X1680" s="46"/>
      <c r="Y1680" s="46">
        <v>3</v>
      </c>
      <c r="Z1680" s="46"/>
      <c r="AA1680" s="46"/>
      <c r="AB1680" s="46"/>
      <c r="AC1680" s="46"/>
      <c r="AD1680" s="46"/>
      <c r="AE1680" s="46"/>
      <c r="AF1680" s="46"/>
      <c r="AG1680" s="46"/>
      <c r="AH1680" s="46"/>
      <c r="AI1680" s="46"/>
      <c r="AJ1680" s="46"/>
      <c r="AK1680" s="46"/>
      <c r="AL1680" s="46"/>
      <c r="AM1680" s="1"/>
      <c r="AN1680" s="1"/>
      <c r="AO1680" s="1"/>
      <c r="AP1680" s="1"/>
      <c r="AQ1680" s="1"/>
      <c r="AR1680" s="1"/>
      <c r="AS1680" s="1"/>
      <c r="AT1680" s="1"/>
      <c r="AU1680" s="1"/>
      <c r="AV1680" s="1"/>
      <c r="AW1680" s="1"/>
      <c r="AX1680" s="1"/>
      <c r="AY1680" s="1"/>
    </row>
    <row r="1681" ht="16" customHeight="1" spans="1:51" x14ac:dyDescent="0.25">
      <c r="A1681" s="45"/>
      <c r="B1681" s="46" t="s">
        <v>1733</v>
      </c>
      <c r="C1681" s="46" t="s">
        <v>913</v>
      </c>
      <c r="D1681" s="46" t="s">
        <v>29</v>
      </c>
      <c r="E1681" s="46" t="s">
        <v>36</v>
      </c>
      <c r="F1681" s="46" t="s">
        <v>36</v>
      </c>
      <c r="G1681" s="46" t="s">
        <v>36</v>
      </c>
      <c r="H1681" s="46" t="s">
        <v>36</v>
      </c>
      <c r="I1681" s="46" t="s">
        <v>37</v>
      </c>
      <c r="J1681" s="46" t="s">
        <v>36</v>
      </c>
      <c r="K1681" s="46" t="s">
        <v>36</v>
      </c>
      <c r="L1681" s="46" t="s">
        <v>36</v>
      </c>
      <c r="M1681" s="46" t="s">
        <v>36</v>
      </c>
      <c r="N1681" s="46" t="s">
        <v>36</v>
      </c>
      <c r="O1681" s="46" t="s">
        <v>36</v>
      </c>
      <c r="P1681" s="46" t="s">
        <v>37</v>
      </c>
      <c r="Q1681" s="46" t="s">
        <v>31</v>
      </c>
      <c r="R1681" s="46" t="s">
        <v>32</v>
      </c>
      <c r="S1681" s="46" t="s">
        <v>36</v>
      </c>
      <c r="T1681" s="46" t="s">
        <v>36</v>
      </c>
      <c r="U1681" s="46" t="s">
        <v>36</v>
      </c>
      <c r="V1681" s="46" t="s">
        <v>36</v>
      </c>
      <c r="W1681" s="46" t="s">
        <v>37</v>
      </c>
      <c r="X1681" s="46" t="s">
        <v>36</v>
      </c>
      <c r="Y1681" s="46" t="s">
        <v>36</v>
      </c>
      <c r="Z1681" s="46" t="s">
        <v>36</v>
      </c>
      <c r="AA1681" s="46" t="s">
        <v>36</v>
      </c>
      <c r="AB1681" s="46" t="s">
        <v>36</v>
      </c>
      <c r="AC1681" s="46" t="s">
        <v>36</v>
      </c>
      <c r="AD1681" s="46" t="s">
        <v>37</v>
      </c>
      <c r="AE1681" s="46" t="s">
        <v>36</v>
      </c>
      <c r="AF1681" s="46" t="s">
        <v>36</v>
      </c>
      <c r="AG1681" s="46" t="s">
        <v>36</v>
      </c>
      <c r="AH1681" s="46" t="s">
        <v>43</v>
      </c>
      <c r="AI1681" s="46" t="s">
        <v>36</v>
      </c>
      <c r="AJ1681" s="46">
        <f>=SUM(E1682:AI1682)</f>
      </c>
      <c r="AK1681" s="46">
        <f>=+AY1681</f>
      </c>
      <c r="AL1681" s="46"/>
      <c r="AM1681" s="1"/>
      <c r="AN1681" s="1">
        <f>=COUNTIF(E1681:AI1681,"A")+COUNTIF(E1681:AI1681,"B")+COUNTIF(E1681:AI1681,"C")+COUNTIF(E1681:AI1681,"D")+COUNTIF(E1681:AI1681,"E")+COUNTIF(E1681:AI1681,"F")+COUNTIF(E1681:AI1681,"M")+COUNTIF(E1681:AI1681,"AB")+COUNTIF(E1681:AI1681,"UZ")+COUNTIF(E1681:AI1681,"G")+(COUNTIF(E1681:AI1681,"RT.")/2)+(COUNTIF(E1681:AI1681,"ÇRT.")/2)</f>
      </c>
      <c r="AO1681" s="1">
        <f>=COUNTIF(E1681:AI1681,"O")</f>
      </c>
      <c r="AP1681" s="1">
        <f>=COUNTIF(E1681:AI1681,"RT")+(COUNTIF(E1681:AI1681,"RT.")/2)</f>
      </c>
      <c r="AQ1681" s="1">
        <f>=COUNTIF(E1681:AI1681,"ÇRT")+(COUNTIF(E1681:AI1681,"ÇRT.")/2)</f>
      </c>
      <c r="AR1681" s="1">
        <f>=COUNTIF(E1681:AI1681,"ÇHT")</f>
      </c>
      <c r="AS1681" s="1">
        <f>=COUNTIF(E1681:AI1681,"Ö")+COUNTIF(E1681:AI1681,"T")</f>
      </c>
      <c r="AT1681" s="1">
        <f>=COUNTIF(E1681:AI1681,"Y")</f>
      </c>
      <c r="AU1681" s="1">
        <f>=COUNTIF(E1681:AI1681,"R.")</f>
      </c>
      <c r="AV1681" s="1">
        <f>=COUNTIF(E1681:AI1681,"Ü")</f>
      </c>
      <c r="AW1681" s="1">
        <f>=COUNTIF(E1681:AI1681,"R")</f>
      </c>
      <c r="AX1681" s="1">
        <f>=COUNTIF(E1681:AI1681,"DV")</f>
      </c>
      <c r="AY1681" s="1">
        <f>=+AN1681+AO1681+AP1681+AQ1681+AR1681+AS1681+AT1681+AU1681</f>
      </c>
    </row>
    <row r="1682" ht="16" customHeight="1" spans="1:51" x14ac:dyDescent="0.25">
      <c r="A1682" s="45"/>
      <c r="B1682" s="46"/>
      <c r="C1682" s="46"/>
      <c r="D1682" s="46" t="s">
        <v>33</v>
      </c>
      <c r="E1682" s="46"/>
      <c r="F1682" s="46"/>
      <c r="G1682" s="46"/>
      <c r="H1682" s="46"/>
      <c r="I1682" s="46"/>
      <c r="J1682" s="46"/>
      <c r="K1682" s="46"/>
      <c r="L1682" s="46"/>
      <c r="M1682" s="46"/>
      <c r="N1682" s="46"/>
      <c r="O1682" s="46"/>
      <c r="P1682" s="46"/>
      <c r="Q1682" s="46"/>
      <c r="R1682" s="46"/>
      <c r="S1682" s="46"/>
      <c r="T1682" s="46"/>
      <c r="U1682" s="46"/>
      <c r="V1682" s="46"/>
      <c r="W1682" s="46"/>
      <c r="X1682" s="46"/>
      <c r="Y1682" s="46"/>
      <c r="Z1682" s="46"/>
      <c r="AA1682" s="46"/>
      <c r="AB1682" s="46"/>
      <c r="AC1682" s="46"/>
      <c r="AD1682" s="46"/>
      <c r="AE1682" s="46"/>
      <c r="AF1682" s="46"/>
      <c r="AG1682" s="46"/>
      <c r="AH1682" s="46"/>
      <c r="AI1682" s="46"/>
      <c r="AJ1682" s="46"/>
      <c r="AK1682" s="46"/>
      <c r="AL1682" s="46"/>
      <c r="AM1682" s="1"/>
      <c r="AN1682" s="1"/>
      <c r="AO1682" s="1"/>
      <c r="AP1682" s="1"/>
      <c r="AQ1682" s="1"/>
      <c r="AR1682" s="1"/>
      <c r="AS1682" s="1"/>
      <c r="AT1682" s="1"/>
      <c r="AU1682" s="1"/>
      <c r="AV1682" s="1"/>
      <c r="AW1682" s="1"/>
      <c r="AX1682" s="1"/>
      <c r="AY1682" s="1"/>
    </row>
    <row r="1683" ht="16" customHeight="1" spans="1:51" x14ac:dyDescent="0.25">
      <c r="A1683" s="45"/>
      <c r="B1683" s="46" t="s">
        <v>1734</v>
      </c>
      <c r="C1683" s="46" t="s">
        <v>1735</v>
      </c>
      <c r="D1683" s="46" t="s">
        <v>29</v>
      </c>
      <c r="E1683" s="46" t="s">
        <v>36</v>
      </c>
      <c r="F1683" s="46" t="s">
        <v>36</v>
      </c>
      <c r="G1683" s="46" t="s">
        <v>36</v>
      </c>
      <c r="H1683" s="46" t="s">
        <v>37</v>
      </c>
      <c r="I1683" s="46" t="s">
        <v>36</v>
      </c>
      <c r="J1683" s="46" t="s">
        <v>36</v>
      </c>
      <c r="K1683" s="46" t="s">
        <v>36</v>
      </c>
      <c r="L1683" s="46" t="s">
        <v>36</v>
      </c>
      <c r="M1683" s="46" t="s">
        <v>36</v>
      </c>
      <c r="N1683" s="46" t="s">
        <v>36</v>
      </c>
      <c r="O1683" s="46" t="s">
        <v>37</v>
      </c>
      <c r="P1683" s="46" t="s">
        <v>36</v>
      </c>
      <c r="Q1683" s="46" t="s">
        <v>36</v>
      </c>
      <c r="R1683" s="46" t="s">
        <v>36</v>
      </c>
      <c r="S1683" s="46" t="s">
        <v>36</v>
      </c>
      <c r="T1683" s="46" t="s">
        <v>36</v>
      </c>
      <c r="U1683" s="46" t="s">
        <v>36</v>
      </c>
      <c r="V1683" s="46" t="s">
        <v>37</v>
      </c>
      <c r="W1683" s="46" t="s">
        <v>36</v>
      </c>
      <c r="X1683" s="46" t="s">
        <v>36</v>
      </c>
      <c r="Y1683" s="46" t="s">
        <v>36</v>
      </c>
      <c r="Z1683" s="46" t="s">
        <v>36</v>
      </c>
      <c r="AA1683" s="46" t="s">
        <v>36</v>
      </c>
      <c r="AB1683" s="46" t="s">
        <v>36</v>
      </c>
      <c r="AC1683" s="46" t="s">
        <v>37</v>
      </c>
      <c r="AD1683" s="46" t="s">
        <v>36</v>
      </c>
      <c r="AE1683" s="46" t="s">
        <v>36</v>
      </c>
      <c r="AF1683" s="46" t="s">
        <v>36</v>
      </c>
      <c r="AG1683" s="46" t="s">
        <v>36</v>
      </c>
      <c r="AH1683" s="46" t="s">
        <v>43</v>
      </c>
      <c r="AI1683" s="46" t="s">
        <v>37</v>
      </c>
      <c r="AJ1683" s="46">
        <f>=SUM(E1684:AI1684)</f>
      </c>
      <c r="AK1683" s="46">
        <f>=+AY1683</f>
      </c>
      <c r="AL1683" s="46"/>
      <c r="AM1683" s="1"/>
      <c r="AN1683" s="1">
        <f>=COUNTIF(E1683:AI1683,"A")+COUNTIF(E1683:AI1683,"B")+COUNTIF(E1683:AI1683,"C")+COUNTIF(E1683:AI1683,"D")+COUNTIF(E1683:AI1683,"E")+COUNTIF(E1683:AI1683,"F")+COUNTIF(E1683:AI1683,"M")+COUNTIF(E1683:AI1683,"AB")+COUNTIF(E1683:AI1683,"UZ")+COUNTIF(E1683:AI1683,"G")+(COUNTIF(E1683:AI1683,"RT.")/2)+(COUNTIF(E1683:AI1683,"ÇRT.")/2)</f>
      </c>
      <c r="AO1683" s="1">
        <f>=COUNTIF(E1683:AI1683,"O")</f>
      </c>
      <c r="AP1683" s="1">
        <f>=COUNTIF(E1683:AI1683,"RT")+(COUNTIF(E1683:AI1683,"RT.")/2)</f>
      </c>
      <c r="AQ1683" s="1">
        <f>=COUNTIF(E1683:AI1683,"ÇRT")+(COUNTIF(E1683:AI1683,"ÇRT.")/2)</f>
      </c>
      <c r="AR1683" s="1">
        <f>=COUNTIF(E1683:AI1683,"ÇHT")</f>
      </c>
      <c r="AS1683" s="1">
        <f>=COUNTIF(E1683:AI1683,"Ö")+COUNTIF(E1683:AI1683,"T")</f>
      </c>
      <c r="AT1683" s="1">
        <f>=COUNTIF(E1683:AI1683,"Y")</f>
      </c>
      <c r="AU1683" s="1">
        <f>=COUNTIF(E1683:AI1683,"R.")</f>
      </c>
      <c r="AV1683" s="1">
        <f>=COUNTIF(E1683:AI1683,"Ü")</f>
      </c>
      <c r="AW1683" s="1">
        <f>=COUNTIF(E1683:AI1683,"R")</f>
      </c>
      <c r="AX1683" s="1">
        <f>=COUNTIF(E1683:AI1683,"DV")</f>
      </c>
      <c r="AY1683" s="1">
        <f>=+AN1683+AO1683+AP1683+AQ1683+AR1683+AS1683+AT1683+AU1683</f>
      </c>
    </row>
    <row r="1684" ht="16" customHeight="1" spans="1:51" x14ac:dyDescent="0.25">
      <c r="A1684" s="45"/>
      <c r="B1684" s="46"/>
      <c r="C1684" s="46"/>
      <c r="D1684" s="46" t="s">
        <v>33</v>
      </c>
      <c r="E1684" s="46"/>
      <c r="F1684" s="46"/>
      <c r="G1684" s="46"/>
      <c r="H1684" s="46"/>
      <c r="I1684" s="46"/>
      <c r="J1684" s="46"/>
      <c r="K1684" s="46"/>
      <c r="L1684" s="46"/>
      <c r="M1684" s="46"/>
      <c r="N1684" s="46"/>
      <c r="O1684" s="46"/>
      <c r="P1684" s="46"/>
      <c r="Q1684" s="46"/>
      <c r="R1684" s="46"/>
      <c r="S1684" s="46"/>
      <c r="T1684" s="46"/>
      <c r="U1684" s="46"/>
      <c r="V1684" s="46"/>
      <c r="W1684" s="46"/>
      <c r="X1684" s="46"/>
      <c r="Y1684" s="46"/>
      <c r="Z1684" s="46"/>
      <c r="AA1684" s="46"/>
      <c r="AB1684" s="46"/>
      <c r="AC1684" s="46"/>
      <c r="AD1684" s="46"/>
      <c r="AE1684" s="46"/>
      <c r="AF1684" s="46"/>
      <c r="AG1684" s="46"/>
      <c r="AH1684" s="46"/>
      <c r="AI1684" s="46"/>
      <c r="AJ1684" s="46"/>
      <c r="AK1684" s="46"/>
      <c r="AL1684" s="46"/>
      <c r="AM1684" s="1"/>
      <c r="AN1684" s="1"/>
      <c r="AO1684" s="1"/>
      <c r="AP1684" s="1"/>
      <c r="AQ1684" s="1"/>
      <c r="AR1684" s="1"/>
      <c r="AS1684" s="1"/>
      <c r="AT1684" s="1"/>
      <c r="AU1684" s="1"/>
      <c r="AV1684" s="1"/>
      <c r="AW1684" s="1"/>
      <c r="AX1684" s="1"/>
      <c r="AY1684" s="1"/>
    </row>
    <row r="1685" ht="16" customHeight="1" spans="1:51" x14ac:dyDescent="0.25">
      <c r="A1685" s="45"/>
      <c r="B1685" s="46" t="s">
        <v>1736</v>
      </c>
      <c r="C1685" s="46" t="s">
        <v>1737</v>
      </c>
      <c r="D1685" s="46" t="s">
        <v>29</v>
      </c>
      <c r="E1685" s="46" t="s">
        <v>36</v>
      </c>
      <c r="F1685" s="46" t="s">
        <v>36</v>
      </c>
      <c r="G1685" s="46" t="s">
        <v>36</v>
      </c>
      <c r="H1685" s="46" t="s">
        <v>36</v>
      </c>
      <c r="I1685" s="46" t="s">
        <v>36</v>
      </c>
      <c r="J1685" s="46" t="s">
        <v>37</v>
      </c>
      <c r="K1685" s="46" t="s">
        <v>36</v>
      </c>
      <c r="L1685" s="46" t="s">
        <v>36</v>
      </c>
      <c r="M1685" s="46" t="s">
        <v>36</v>
      </c>
      <c r="N1685" s="46" t="s">
        <v>36</v>
      </c>
      <c r="O1685" s="46" t="s">
        <v>36</v>
      </c>
      <c r="P1685" s="46" t="s">
        <v>36</v>
      </c>
      <c r="Q1685" s="46" t="s">
        <v>37</v>
      </c>
      <c r="R1685" s="46" t="s">
        <v>36</v>
      </c>
      <c r="S1685" s="46" t="s">
        <v>36</v>
      </c>
      <c r="T1685" s="46" t="s">
        <v>36</v>
      </c>
      <c r="U1685" s="46" t="s">
        <v>36</v>
      </c>
      <c r="V1685" s="46" t="s">
        <v>36</v>
      </c>
      <c r="W1685" s="46" t="s">
        <v>36</v>
      </c>
      <c r="X1685" s="46" t="s">
        <v>37</v>
      </c>
      <c r="Y1685" s="46" t="s">
        <v>36</v>
      </c>
      <c r="Z1685" s="46" t="s">
        <v>36</v>
      </c>
      <c r="AA1685" s="46" t="s">
        <v>36</v>
      </c>
      <c r="AB1685" s="46" t="s">
        <v>36</v>
      </c>
      <c r="AC1685" s="46" t="s">
        <v>36</v>
      </c>
      <c r="AD1685" s="46" t="s">
        <v>36</v>
      </c>
      <c r="AE1685" s="46" t="s">
        <v>37</v>
      </c>
      <c r="AF1685" s="46" t="s">
        <v>36</v>
      </c>
      <c r="AG1685" s="46" t="s">
        <v>36</v>
      </c>
      <c r="AH1685" s="46" t="s">
        <v>43</v>
      </c>
      <c r="AI1685" s="46" t="s">
        <v>36</v>
      </c>
      <c r="AJ1685" s="46">
        <f>=SUM(E1686:AI1686)</f>
      </c>
      <c r="AK1685" s="46">
        <f>=+AY1685</f>
      </c>
      <c r="AL1685" s="46"/>
      <c r="AM1685" s="1"/>
      <c r="AN1685" s="1">
        <f>=COUNTIF(E1685:AI1685,"A")+COUNTIF(E1685:AI1685,"B")+COUNTIF(E1685:AI1685,"C")+COUNTIF(E1685:AI1685,"D")+COUNTIF(E1685:AI1685,"E")+COUNTIF(E1685:AI1685,"F")+COUNTIF(E1685:AI1685,"M")+COUNTIF(E1685:AI1685,"AB")+COUNTIF(E1685:AI1685,"UZ")+COUNTIF(E1685:AI1685,"G")+(COUNTIF(E1685:AI1685,"RT.")/2)+(COUNTIF(E1685:AI1685,"ÇRT.")/2)</f>
      </c>
      <c r="AO1685" s="1">
        <f>=COUNTIF(E1685:AI1685,"O")</f>
      </c>
      <c r="AP1685" s="1">
        <f>=COUNTIF(E1685:AI1685,"RT")+(COUNTIF(E1685:AI1685,"RT.")/2)</f>
      </c>
      <c r="AQ1685" s="1">
        <f>=COUNTIF(E1685:AI1685,"ÇRT")+(COUNTIF(E1685:AI1685,"ÇRT.")/2)</f>
      </c>
      <c r="AR1685" s="1">
        <f>=COUNTIF(E1685:AI1685,"ÇHT")</f>
      </c>
      <c r="AS1685" s="1">
        <f>=COUNTIF(E1685:AI1685,"Ö")+COUNTIF(E1685:AI1685,"T")</f>
      </c>
      <c r="AT1685" s="1">
        <f>=COUNTIF(E1685:AI1685,"Y")</f>
      </c>
      <c r="AU1685" s="1">
        <f>=COUNTIF(E1685:AI1685,"R.")</f>
      </c>
      <c r="AV1685" s="1">
        <f>=COUNTIF(E1685:AI1685,"Ü")</f>
      </c>
      <c r="AW1685" s="1">
        <f>=COUNTIF(E1685:AI1685,"R")</f>
      </c>
      <c r="AX1685" s="1">
        <f>=COUNTIF(E1685:AI1685,"DV")</f>
      </c>
      <c r="AY1685" s="1">
        <f>=+AN1685+AO1685+AP1685+AQ1685+AR1685+AS1685+AT1685+AU1685</f>
      </c>
    </row>
    <row r="1686" ht="16" customHeight="1" spans="1:51" x14ac:dyDescent="0.25">
      <c r="A1686" s="45"/>
      <c r="B1686" s="46"/>
      <c r="C1686" s="46"/>
      <c r="D1686" s="46" t="s">
        <v>33</v>
      </c>
      <c r="E1686" s="46"/>
      <c r="F1686" s="46"/>
      <c r="G1686" s="46"/>
      <c r="H1686" s="46"/>
      <c r="I1686" s="46"/>
      <c r="J1686" s="46"/>
      <c r="K1686" s="46"/>
      <c r="L1686" s="46"/>
      <c r="M1686" s="46"/>
      <c r="N1686" s="46"/>
      <c r="O1686" s="46"/>
      <c r="P1686" s="46"/>
      <c r="Q1686" s="46"/>
      <c r="R1686" s="46"/>
      <c r="S1686" s="46"/>
      <c r="T1686" s="46"/>
      <c r="U1686" s="46"/>
      <c r="V1686" s="46"/>
      <c r="W1686" s="46"/>
      <c r="X1686" s="46"/>
      <c r="Y1686" s="46"/>
      <c r="Z1686" s="46"/>
      <c r="AA1686" s="46"/>
      <c r="AB1686" s="46"/>
      <c r="AC1686" s="46"/>
      <c r="AD1686" s="46"/>
      <c r="AE1686" s="46"/>
      <c r="AF1686" s="46"/>
      <c r="AG1686" s="46"/>
      <c r="AH1686" s="46"/>
      <c r="AI1686" s="46"/>
      <c r="AJ1686" s="46"/>
      <c r="AK1686" s="46"/>
      <c r="AL1686" s="46"/>
      <c r="AM1686" s="1"/>
      <c r="AN1686" s="1"/>
      <c r="AO1686" s="1"/>
      <c r="AP1686" s="1"/>
      <c r="AQ1686" s="1"/>
      <c r="AR1686" s="1"/>
      <c r="AS1686" s="1"/>
      <c r="AT1686" s="1"/>
      <c r="AU1686" s="1"/>
      <c r="AV1686" s="1"/>
      <c r="AW1686" s="1"/>
      <c r="AX1686" s="1"/>
      <c r="AY1686" s="1"/>
    </row>
    <row r="1687" ht="16" customHeight="1" spans="1:51" x14ac:dyDescent="0.25">
      <c r="A1687" s="45"/>
      <c r="B1687" s="46" t="s">
        <v>1738</v>
      </c>
      <c r="C1687" s="46" t="s">
        <v>1739</v>
      </c>
      <c r="D1687" s="46" t="s">
        <v>29</v>
      </c>
      <c r="E1687" s="46" t="s">
        <v>36</v>
      </c>
      <c r="F1687" s="46" t="s">
        <v>37</v>
      </c>
      <c r="G1687" s="46" t="s">
        <v>36</v>
      </c>
      <c r="H1687" s="46" t="s">
        <v>36</v>
      </c>
      <c r="I1687" s="46" t="s">
        <v>36</v>
      </c>
      <c r="J1687" s="46" t="s">
        <v>31</v>
      </c>
      <c r="K1687" s="46" t="s">
        <v>31</v>
      </c>
      <c r="L1687" s="46" t="s">
        <v>32</v>
      </c>
      <c r="M1687" s="46" t="s">
        <v>37</v>
      </c>
      <c r="N1687" s="46" t="s">
        <v>36</v>
      </c>
      <c r="O1687" s="46" t="s">
        <v>36</v>
      </c>
      <c r="P1687" s="46" t="s">
        <v>36</v>
      </c>
      <c r="Q1687" s="46" t="s">
        <v>36</v>
      </c>
      <c r="R1687" s="46" t="s">
        <v>36</v>
      </c>
      <c r="S1687" s="46" t="s">
        <v>36</v>
      </c>
      <c r="T1687" s="46" t="s">
        <v>37</v>
      </c>
      <c r="U1687" s="46" t="s">
        <v>36</v>
      </c>
      <c r="V1687" s="46" t="s">
        <v>36</v>
      </c>
      <c r="W1687" s="46" t="s">
        <v>36</v>
      </c>
      <c r="X1687" s="46" t="s">
        <v>36</v>
      </c>
      <c r="Y1687" s="46" t="s">
        <v>36</v>
      </c>
      <c r="Z1687" s="46" t="s">
        <v>36</v>
      </c>
      <c r="AA1687" s="46" t="s">
        <v>37</v>
      </c>
      <c r="AB1687" s="46" t="s">
        <v>36</v>
      </c>
      <c r="AC1687" s="46" t="s">
        <v>36</v>
      </c>
      <c r="AD1687" s="46" t="s">
        <v>36</v>
      </c>
      <c r="AE1687" s="46" t="s">
        <v>36</v>
      </c>
      <c r="AF1687" s="46" t="s">
        <v>36</v>
      </c>
      <c r="AG1687" s="46" t="s">
        <v>36</v>
      </c>
      <c r="AH1687" s="46" t="s">
        <v>37</v>
      </c>
      <c r="AI1687" s="46" t="s">
        <v>36</v>
      </c>
      <c r="AJ1687" s="46">
        <f>=SUM(E1688:AI1688)</f>
      </c>
      <c r="AK1687" s="46">
        <f>=+AY1687</f>
      </c>
      <c r="AL1687" s="46"/>
      <c r="AM1687" s="1"/>
      <c r="AN1687" s="1">
        <f>=COUNTIF(E1687:AI1687,"A")+COUNTIF(E1687:AI1687,"B")+COUNTIF(E1687:AI1687,"C")+COUNTIF(E1687:AI1687,"D")+COUNTIF(E1687:AI1687,"E")+COUNTIF(E1687:AI1687,"F")+COUNTIF(E1687:AI1687,"M")+COUNTIF(E1687:AI1687,"AB")+COUNTIF(E1687:AI1687,"UZ")+COUNTIF(E1687:AI1687,"G")+(COUNTIF(E1687:AI1687,"RT.")/2)+(COUNTIF(E1687:AI1687,"ÇRT.")/2)</f>
      </c>
      <c r="AO1687" s="1">
        <f>=COUNTIF(E1687:AI1687,"O")</f>
      </c>
      <c r="AP1687" s="1">
        <f>=COUNTIF(E1687:AI1687,"RT")+(COUNTIF(E1687:AI1687,"RT.")/2)</f>
      </c>
      <c r="AQ1687" s="1">
        <f>=COUNTIF(E1687:AI1687,"ÇRT")+(COUNTIF(E1687:AI1687,"ÇRT.")/2)</f>
      </c>
      <c r="AR1687" s="1">
        <f>=COUNTIF(E1687:AI1687,"ÇHT")</f>
      </c>
      <c r="AS1687" s="1">
        <f>=COUNTIF(E1687:AI1687,"Ö")+COUNTIF(E1687:AI1687,"T")</f>
      </c>
      <c r="AT1687" s="1">
        <f>=COUNTIF(E1687:AI1687,"Y")</f>
      </c>
      <c r="AU1687" s="1">
        <f>=COUNTIF(E1687:AI1687,"R.")</f>
      </c>
      <c r="AV1687" s="1">
        <f>=COUNTIF(E1687:AI1687,"Ü")</f>
      </c>
      <c r="AW1687" s="1">
        <f>=COUNTIF(E1687:AI1687,"R")</f>
      </c>
      <c r="AX1687" s="1">
        <f>=COUNTIF(E1687:AI1687,"DV")</f>
      </c>
      <c r="AY1687" s="1">
        <f>=+AN1687+AO1687+AP1687+AQ1687+AR1687+AS1687+AT1687+AU1687</f>
      </c>
    </row>
    <row r="1688" ht="16" customHeight="1" spans="1:51" x14ac:dyDescent="0.25">
      <c r="A1688" s="45"/>
      <c r="B1688" s="46"/>
      <c r="C1688" s="46"/>
      <c r="D1688" s="46" t="s">
        <v>33</v>
      </c>
      <c r="E1688" s="46"/>
      <c r="F1688" s="46"/>
      <c r="G1688" s="46"/>
      <c r="H1688" s="46"/>
      <c r="I1688" s="46"/>
      <c r="J1688" s="46"/>
      <c r="K1688" s="46"/>
      <c r="L1688" s="46"/>
      <c r="M1688" s="46"/>
      <c r="N1688" s="46"/>
      <c r="O1688" s="46"/>
      <c r="P1688" s="46"/>
      <c r="Q1688" s="46"/>
      <c r="R1688" s="46"/>
      <c r="S1688" s="46"/>
      <c r="T1688" s="46"/>
      <c r="U1688" s="46"/>
      <c r="V1688" s="46"/>
      <c r="W1688" s="46"/>
      <c r="X1688" s="46"/>
      <c r="Y1688" s="46"/>
      <c r="Z1688" s="46"/>
      <c r="AA1688" s="46"/>
      <c r="AB1688" s="46"/>
      <c r="AC1688" s="46"/>
      <c r="AD1688" s="46"/>
      <c r="AE1688" s="46"/>
      <c r="AF1688" s="46"/>
      <c r="AG1688" s="46"/>
      <c r="AH1688" s="46"/>
      <c r="AI1688" s="46"/>
      <c r="AJ1688" s="46"/>
      <c r="AK1688" s="46"/>
      <c r="AL1688" s="46"/>
      <c r="AM1688" s="1"/>
      <c r="AN1688" s="1"/>
      <c r="AO1688" s="1"/>
      <c r="AP1688" s="1"/>
      <c r="AQ1688" s="1"/>
      <c r="AR1688" s="1"/>
      <c r="AS1688" s="1"/>
      <c r="AT1688" s="1"/>
      <c r="AU1688" s="1"/>
      <c r="AV1688" s="1"/>
      <c r="AW1688" s="1"/>
      <c r="AX1688" s="1"/>
      <c r="AY1688" s="1"/>
    </row>
    <row r="1689" ht="16" customHeight="1" spans="1:51" x14ac:dyDescent="0.25">
      <c r="A1689" s="45"/>
      <c r="B1689" s="46" t="s">
        <v>1740</v>
      </c>
      <c r="C1689" s="46" t="s">
        <v>1741</v>
      </c>
      <c r="D1689" s="46" t="s">
        <v>29</v>
      </c>
      <c r="E1689" s="46" t="s">
        <v>36</v>
      </c>
      <c r="F1689" s="46" t="s">
        <v>37</v>
      </c>
      <c r="G1689" s="46" t="s">
        <v>36</v>
      </c>
      <c r="H1689" s="46" t="s">
        <v>36</v>
      </c>
      <c r="I1689" s="46" t="s">
        <v>36</v>
      </c>
      <c r="J1689" s="46" t="s">
        <v>36</v>
      </c>
      <c r="K1689" s="46" t="s">
        <v>36</v>
      </c>
      <c r="L1689" s="46" t="s">
        <v>37</v>
      </c>
      <c r="M1689" s="46" t="s">
        <v>36</v>
      </c>
      <c r="N1689" s="46" t="s">
        <v>36</v>
      </c>
      <c r="O1689" s="46" t="s">
        <v>36</v>
      </c>
      <c r="P1689" s="46" t="s">
        <v>36</v>
      </c>
      <c r="Q1689" s="46" t="s">
        <v>36</v>
      </c>
      <c r="R1689" s="46" t="s">
        <v>36</v>
      </c>
      <c r="S1689" s="46" t="s">
        <v>37</v>
      </c>
      <c r="T1689" s="46" t="s">
        <v>153</v>
      </c>
      <c r="U1689" s="46" t="s">
        <v>36</v>
      </c>
      <c r="V1689" s="46" t="s">
        <v>36</v>
      </c>
      <c r="W1689" s="46" t="s">
        <v>36</v>
      </c>
      <c r="X1689" s="46" t="s">
        <v>36</v>
      </c>
      <c r="Y1689" s="46" t="s">
        <v>36</v>
      </c>
      <c r="Z1689" s="46" t="s">
        <v>37</v>
      </c>
      <c r="AA1689" s="46" t="s">
        <v>36</v>
      </c>
      <c r="AB1689" s="46" t="s">
        <v>36</v>
      </c>
      <c r="AC1689" s="46" t="s">
        <v>36</v>
      </c>
      <c r="AD1689" s="46" t="s">
        <v>36</v>
      </c>
      <c r="AE1689" s="46" t="s">
        <v>36</v>
      </c>
      <c r="AF1689" s="46" t="s">
        <v>36</v>
      </c>
      <c r="AG1689" s="46" t="s">
        <v>37</v>
      </c>
      <c r="AH1689" s="46" t="s">
        <v>43</v>
      </c>
      <c r="AI1689" s="46"/>
      <c r="AJ1689" s="46">
        <f>=SUM(E1690:AI1690)</f>
      </c>
      <c r="AK1689" s="46">
        <f>=+AY1689</f>
      </c>
      <c r="AL1689" s="46"/>
      <c r="AM1689" s="1"/>
      <c r="AN1689" s="1">
        <f>=COUNTIF(E1689:AI1689,"A")+COUNTIF(E1689:AI1689,"B")+COUNTIF(E1689:AI1689,"C")+COUNTIF(E1689:AI1689,"D")+COUNTIF(E1689:AI1689,"E")+COUNTIF(E1689:AI1689,"F")+COUNTIF(E1689:AI1689,"M")+COUNTIF(E1689:AI1689,"AB")+COUNTIF(E1689:AI1689,"UZ")+COUNTIF(E1689:AI1689,"G")+(COUNTIF(E1689:AI1689,"RT.")/2)+(COUNTIF(E1689:AI1689,"ÇRT.")/2)</f>
      </c>
      <c r="AO1689" s="1">
        <f>=COUNTIF(E1689:AI1689,"O")</f>
      </c>
      <c r="AP1689" s="1">
        <f>=COUNTIF(E1689:AI1689,"RT")+(COUNTIF(E1689:AI1689,"RT.")/2)</f>
      </c>
      <c r="AQ1689" s="1">
        <f>=COUNTIF(E1689:AI1689,"ÇRT")+(COUNTIF(E1689:AI1689,"ÇRT.")/2)</f>
      </c>
      <c r="AR1689" s="1">
        <f>=COUNTIF(E1689:AI1689,"ÇHT")</f>
      </c>
      <c r="AS1689" s="1">
        <f>=COUNTIF(E1689:AI1689,"Ö")+COUNTIF(E1689:AI1689,"T")</f>
      </c>
      <c r="AT1689" s="1">
        <f>=COUNTIF(E1689:AI1689,"Y")</f>
      </c>
      <c r="AU1689" s="1">
        <f>=COUNTIF(E1689:AI1689,"R.")</f>
      </c>
      <c r="AV1689" s="1">
        <f>=COUNTIF(E1689:AI1689,"Ü")</f>
      </c>
      <c r="AW1689" s="1">
        <f>=COUNTIF(E1689:AI1689,"R")</f>
      </c>
      <c r="AX1689" s="1">
        <f>=COUNTIF(E1689:AI1689,"DV")</f>
      </c>
      <c r="AY1689" s="1">
        <f>=+AN1689+AO1689+AP1689+AQ1689+AR1689+AS1689+AT1689+AU1689</f>
      </c>
    </row>
    <row r="1690" ht="16" customHeight="1" spans="1:51" x14ac:dyDescent="0.25">
      <c r="A1690" s="45"/>
      <c r="B1690" s="46"/>
      <c r="C1690" s="46"/>
      <c r="D1690" s="46" t="s">
        <v>33</v>
      </c>
      <c r="E1690" s="46"/>
      <c r="F1690" s="46"/>
      <c r="G1690" s="46"/>
      <c r="H1690" s="46"/>
      <c r="I1690" s="46"/>
      <c r="J1690" s="46"/>
      <c r="K1690" s="46"/>
      <c r="L1690" s="46"/>
      <c r="M1690" s="46"/>
      <c r="N1690" s="46"/>
      <c r="O1690" s="46"/>
      <c r="P1690" s="46"/>
      <c r="Q1690" s="46"/>
      <c r="R1690" s="46"/>
      <c r="S1690" s="46"/>
      <c r="T1690" s="46"/>
      <c r="U1690" s="46"/>
      <c r="V1690" s="46"/>
      <c r="W1690" s="46"/>
      <c r="X1690" s="46"/>
      <c r="Y1690" s="46"/>
      <c r="Z1690" s="46"/>
      <c r="AA1690" s="46"/>
      <c r="AB1690" s="46"/>
      <c r="AC1690" s="46"/>
      <c r="AD1690" s="46"/>
      <c r="AE1690" s="46"/>
      <c r="AF1690" s="46"/>
      <c r="AG1690" s="46"/>
      <c r="AH1690" s="46"/>
      <c r="AI1690" s="46"/>
      <c r="AJ1690" s="46"/>
      <c r="AK1690" s="46"/>
      <c r="AL1690" s="46"/>
      <c r="AM1690" s="1"/>
      <c r="AN1690" s="1"/>
      <c r="AO1690" s="1"/>
      <c r="AP1690" s="1"/>
      <c r="AQ1690" s="1"/>
      <c r="AR1690" s="1"/>
      <c r="AS1690" s="1"/>
      <c r="AT1690" s="1"/>
      <c r="AU1690" s="1"/>
      <c r="AV1690" s="1"/>
      <c r="AW1690" s="1"/>
      <c r="AX1690" s="1"/>
      <c r="AY1690" s="1"/>
    </row>
    <row r="1691" ht="16" customHeight="1" spans="1:51" x14ac:dyDescent="0.25">
      <c r="A1691" s="45"/>
      <c r="B1691" s="46" t="s">
        <v>1742</v>
      </c>
      <c r="C1691" s="46" t="s">
        <v>1743</v>
      </c>
      <c r="D1691" s="46" t="s">
        <v>29</v>
      </c>
      <c r="E1691" s="46" t="s">
        <v>46</v>
      </c>
      <c r="F1691" s="46" t="s">
        <v>46</v>
      </c>
      <c r="G1691" s="46" t="s">
        <v>46</v>
      </c>
      <c r="H1691" s="46" t="s">
        <v>46</v>
      </c>
      <c r="I1691" s="46" t="s">
        <v>46</v>
      </c>
      <c r="J1691" s="46" t="s">
        <v>37</v>
      </c>
      <c r="K1691" s="46" t="s">
        <v>46</v>
      </c>
      <c r="L1691" s="46" t="s">
        <v>46</v>
      </c>
      <c r="M1691" s="46" t="s">
        <v>46</v>
      </c>
      <c r="N1691" s="46" t="s">
        <v>46</v>
      </c>
      <c r="O1691" s="46" t="s">
        <v>46</v>
      </c>
      <c r="P1691" s="46" t="s">
        <v>46</v>
      </c>
      <c r="Q1691" s="46" t="s">
        <v>37</v>
      </c>
      <c r="R1691" s="46" t="s">
        <v>31</v>
      </c>
      <c r="S1691" s="46" t="s">
        <v>32</v>
      </c>
      <c r="T1691" s="46" t="s">
        <v>32</v>
      </c>
      <c r="U1691" s="46" t="s">
        <v>31</v>
      </c>
      <c r="V1691" s="46" t="s">
        <v>31</v>
      </c>
      <c r="W1691" s="46" t="s">
        <v>32</v>
      </c>
      <c r="X1691" s="46" t="s">
        <v>37</v>
      </c>
      <c r="Y1691" s="46" t="s">
        <v>46</v>
      </c>
      <c r="Z1691" s="46" t="s">
        <v>46</v>
      </c>
      <c r="AA1691" s="46" t="s">
        <v>46</v>
      </c>
      <c r="AB1691" s="46" t="s">
        <v>46</v>
      </c>
      <c r="AC1691" s="46" t="s">
        <v>46</v>
      </c>
      <c r="AD1691" s="46" t="s">
        <v>46</v>
      </c>
      <c r="AE1691" s="46" t="s">
        <v>37</v>
      </c>
      <c r="AF1691" s="46" t="s">
        <v>46</v>
      </c>
      <c r="AG1691" s="46" t="s">
        <v>46</v>
      </c>
      <c r="AH1691" s="46" t="s">
        <v>43</v>
      </c>
      <c r="AI1691" s="46" t="s">
        <v>46</v>
      </c>
      <c r="AJ1691" s="46">
        <f>=SUM(E1692:AI1692)</f>
      </c>
      <c r="AK1691" s="46">
        <f>=+AY1691</f>
      </c>
      <c r="AL1691" s="46"/>
      <c r="AM1691" s="1"/>
      <c r="AN1691" s="1">
        <f>=COUNTIF(E1691:AI1691,"A")+COUNTIF(E1691:AI1691,"B")+COUNTIF(E1691:AI1691,"C")+COUNTIF(E1691:AI1691,"D")+COUNTIF(E1691:AI1691,"E")+COUNTIF(E1691:AI1691,"F")+COUNTIF(E1691:AI1691,"M")+COUNTIF(E1691:AI1691,"AB")+COUNTIF(E1691:AI1691,"UZ")+COUNTIF(E1691:AI1691,"G")+(COUNTIF(E1691:AI1691,"RT.")/2)+(COUNTIF(E1691:AI1691,"ÇRT.")/2)</f>
      </c>
      <c r="AO1691" s="1">
        <f>=COUNTIF(E1691:AI1691,"O")</f>
      </c>
      <c r="AP1691" s="1">
        <f>=COUNTIF(E1691:AI1691,"RT")+(COUNTIF(E1691:AI1691,"RT.")/2)</f>
      </c>
      <c r="AQ1691" s="1">
        <f>=COUNTIF(E1691:AI1691,"ÇRT")+(COUNTIF(E1691:AI1691,"ÇRT.")/2)</f>
      </c>
      <c r="AR1691" s="1">
        <f>=COUNTIF(E1691:AI1691,"ÇHT")</f>
      </c>
      <c r="AS1691" s="1">
        <f>=COUNTIF(E1691:AI1691,"Ö")+COUNTIF(E1691:AI1691,"T")</f>
      </c>
      <c r="AT1691" s="1">
        <f>=COUNTIF(E1691:AI1691,"Y")</f>
      </c>
      <c r="AU1691" s="1">
        <f>=COUNTIF(E1691:AI1691,"R.")</f>
      </c>
      <c r="AV1691" s="1">
        <f>=COUNTIF(E1691:AI1691,"Ü")</f>
      </c>
      <c r="AW1691" s="1">
        <f>=COUNTIF(E1691:AI1691,"R")</f>
      </c>
      <c r="AX1691" s="1">
        <f>=COUNTIF(E1691:AI1691,"DV")</f>
      </c>
      <c r="AY1691" s="1">
        <f>=+AN1691+AO1691+AP1691+AQ1691+AR1691+AS1691+AT1691+AU1691</f>
      </c>
    </row>
    <row r="1692" ht="16" customHeight="1" spans="1:51" x14ac:dyDescent="0.25">
      <c r="A1692" s="45"/>
      <c r="B1692" s="46"/>
      <c r="C1692" s="46"/>
      <c r="D1692" s="46" t="s">
        <v>33</v>
      </c>
      <c r="E1692" s="46"/>
      <c r="F1692" s="46"/>
      <c r="G1692" s="46"/>
      <c r="H1692" s="46"/>
      <c r="I1692" s="46">
        <v>3</v>
      </c>
      <c r="J1692" s="46"/>
      <c r="K1692" s="46"/>
      <c r="L1692" s="46">
        <v>2</v>
      </c>
      <c r="M1692" s="46"/>
      <c r="N1692" s="46">
        <v>2</v>
      </c>
      <c r="O1692" s="46">
        <v>2</v>
      </c>
      <c r="P1692" s="46"/>
      <c r="Q1692" s="46"/>
      <c r="R1692" s="46"/>
      <c r="S1692" s="46"/>
      <c r="T1692" s="46"/>
      <c r="U1692" s="46"/>
      <c r="V1692" s="46"/>
      <c r="W1692" s="46"/>
      <c r="X1692" s="46"/>
      <c r="Y1692" s="46"/>
      <c r="Z1692" s="46"/>
      <c r="AA1692" s="46"/>
      <c r="AB1692" s="46"/>
      <c r="AC1692" s="46"/>
      <c r="AD1692" s="46"/>
      <c r="AE1692" s="46"/>
      <c r="AF1692" s="46"/>
      <c r="AG1692" s="46"/>
      <c r="AH1692" s="46"/>
      <c r="AI1692" s="46"/>
      <c r="AJ1692" s="46"/>
      <c r="AK1692" s="46"/>
      <c r="AL1692" s="46"/>
      <c r="AM1692" s="1"/>
      <c r="AN1692" s="1"/>
      <c r="AO1692" s="1"/>
      <c r="AP1692" s="1"/>
      <c r="AQ1692" s="1"/>
      <c r="AR1692" s="1"/>
      <c r="AS1692" s="1"/>
      <c r="AT1692" s="1"/>
      <c r="AU1692" s="1"/>
      <c r="AV1692" s="1"/>
      <c r="AW1692" s="1"/>
      <c r="AX1692" s="1"/>
      <c r="AY1692" s="1"/>
    </row>
    <row r="1693" ht="16" customHeight="1" spans="1:51" x14ac:dyDescent="0.25">
      <c r="A1693" s="45"/>
      <c r="B1693" s="46" t="s">
        <v>1744</v>
      </c>
      <c r="C1693" s="46" t="s">
        <v>1745</v>
      </c>
      <c r="D1693" s="46" t="s">
        <v>29</v>
      </c>
      <c r="E1693" s="46" t="s">
        <v>1348</v>
      </c>
      <c r="F1693" s="46" t="s">
        <v>37</v>
      </c>
      <c r="G1693" s="46" t="s">
        <v>59</v>
      </c>
      <c r="H1693" s="46" t="s">
        <v>59</v>
      </c>
      <c r="I1693" s="46" t="s">
        <v>59</v>
      </c>
      <c r="J1693" s="46" t="s">
        <v>59</v>
      </c>
      <c r="K1693" s="46" t="s">
        <v>59</v>
      </c>
      <c r="L1693" s="46" t="s">
        <v>1348</v>
      </c>
      <c r="M1693" s="46" t="s">
        <v>37</v>
      </c>
      <c r="N1693" s="46" t="s">
        <v>59</v>
      </c>
      <c r="O1693" s="46" t="s">
        <v>59</v>
      </c>
      <c r="P1693" s="46" t="s">
        <v>59</v>
      </c>
      <c r="Q1693" s="46" t="s">
        <v>59</v>
      </c>
      <c r="R1693" s="46" t="s">
        <v>59</v>
      </c>
      <c r="S1693" s="46" t="s">
        <v>59</v>
      </c>
      <c r="T1693" s="46" t="s">
        <v>37</v>
      </c>
      <c r="U1693" s="46" t="s">
        <v>59</v>
      </c>
      <c r="V1693" s="46" t="s">
        <v>59</v>
      </c>
      <c r="W1693" s="46" t="s">
        <v>59</v>
      </c>
      <c r="X1693" s="46" t="s">
        <v>59</v>
      </c>
      <c r="Y1693" s="46" t="s">
        <v>59</v>
      </c>
      <c r="Z1693" s="46" t="s">
        <v>59</v>
      </c>
      <c r="AA1693" s="46" t="s">
        <v>37</v>
      </c>
      <c r="AB1693" s="46" t="s">
        <v>30</v>
      </c>
      <c r="AC1693" s="46" t="s">
        <v>30</v>
      </c>
      <c r="AD1693" s="46" t="s">
        <v>30</v>
      </c>
      <c r="AE1693" s="46" t="s">
        <v>30</v>
      </c>
      <c r="AF1693" s="46" t="s">
        <v>30</v>
      </c>
      <c r="AG1693" s="46" t="s">
        <v>30</v>
      </c>
      <c r="AH1693" s="46" t="s">
        <v>37</v>
      </c>
      <c r="AI1693" s="46" t="s">
        <v>30</v>
      </c>
      <c r="AJ1693" s="46">
        <f>=SUM(E1694:AI1694)</f>
      </c>
      <c r="AK1693" s="46">
        <f>=+AY1693</f>
      </c>
      <c r="AL1693" s="46"/>
      <c r="AM1693" s="1"/>
      <c r="AN1693" s="1">
        <f>=COUNTIF(E1693:AI1693,"A")+COUNTIF(E1693:AI1693,"B")+COUNTIF(E1693:AI1693,"C")+COUNTIF(E1693:AI1693,"D")+COUNTIF(E1693:AI1693,"E")+COUNTIF(E1693:AI1693,"F")+COUNTIF(E1693:AI1693,"M")+COUNTIF(E1693:AI1693,"AB")+COUNTIF(E1693:AI1693,"UZ")+COUNTIF(E1693:AI1693,"G")+(COUNTIF(E1693:AI1693,"RT.")/2)+(COUNTIF(E1693:AI1693,"ÇRT.")/2)</f>
      </c>
      <c r="AO1693" s="1">
        <f>=COUNTIF(E1693:AI1693,"O")</f>
      </c>
      <c r="AP1693" s="1">
        <f>=COUNTIF(E1693:AI1693,"RT")+(COUNTIF(E1693:AI1693,"RT.")/2)</f>
      </c>
      <c r="AQ1693" s="1">
        <f>=COUNTIF(E1693:AI1693,"ÇRT")+(COUNTIF(E1693:AI1693,"ÇRT.")/2)</f>
      </c>
      <c r="AR1693" s="1">
        <f>=COUNTIF(E1693:AI1693,"ÇHT")</f>
      </c>
      <c r="AS1693" s="1">
        <f>=COUNTIF(E1693:AI1693,"Ö")+COUNTIF(E1693:AI1693,"T")</f>
      </c>
      <c r="AT1693" s="1">
        <f>=COUNTIF(E1693:AI1693,"Y")</f>
      </c>
      <c r="AU1693" s="1">
        <f>=COUNTIF(E1693:AI1693,"R.")</f>
      </c>
      <c r="AV1693" s="1">
        <f>=COUNTIF(E1693:AI1693,"Ü")</f>
      </c>
      <c r="AW1693" s="1">
        <f>=COUNTIF(E1693:AI1693,"R")</f>
      </c>
      <c r="AX1693" s="1">
        <f>=COUNTIF(E1693:AI1693,"DV")</f>
      </c>
      <c r="AY1693" s="1">
        <f>=+AN1693+AO1693+AP1693+AQ1693+AR1693+AS1693+AT1693+AU1693</f>
      </c>
    </row>
    <row r="1694" ht="16" customHeight="1" spans="1:51" x14ac:dyDescent="0.25">
      <c r="A1694" s="45"/>
      <c r="B1694" s="46"/>
      <c r="C1694" s="46"/>
      <c r="D1694" s="46" t="s">
        <v>33</v>
      </c>
      <c r="E1694" s="46"/>
      <c r="F1694" s="46"/>
      <c r="G1694" s="46"/>
      <c r="H1694" s="46"/>
      <c r="I1694" s="46"/>
      <c r="J1694" s="46">
        <v>2</v>
      </c>
      <c r="K1694" s="46"/>
      <c r="L1694" s="46"/>
      <c r="M1694" s="46"/>
      <c r="N1694" s="46"/>
      <c r="O1694" s="46"/>
      <c r="P1694" s="46"/>
      <c r="Q1694" s="46"/>
      <c r="R1694" s="46"/>
      <c r="S1694" s="46"/>
      <c r="T1694" s="46"/>
      <c r="U1694" s="46"/>
      <c r="V1694" s="46"/>
      <c r="W1694" s="46"/>
      <c r="X1694" s="46"/>
      <c r="Y1694" s="46"/>
      <c r="Z1694" s="46"/>
      <c r="AA1694" s="46"/>
      <c r="AB1694" s="46"/>
      <c r="AC1694" s="46"/>
      <c r="AD1694" s="46"/>
      <c r="AE1694" s="46"/>
      <c r="AF1694" s="46"/>
      <c r="AG1694" s="46"/>
      <c r="AH1694" s="46"/>
      <c r="AI1694" s="46"/>
      <c r="AJ1694" s="46"/>
      <c r="AK1694" s="46"/>
      <c r="AL1694" s="46"/>
      <c r="AM1694" s="1"/>
      <c r="AN1694" s="1"/>
      <c r="AO1694" s="1"/>
      <c r="AP1694" s="1"/>
      <c r="AQ1694" s="1"/>
      <c r="AR1694" s="1"/>
      <c r="AS1694" s="1"/>
      <c r="AT1694" s="1"/>
      <c r="AU1694" s="1"/>
      <c r="AV1694" s="1"/>
      <c r="AW1694" s="1"/>
      <c r="AX1694" s="1"/>
      <c r="AY1694" s="1"/>
    </row>
    <row r="1695" ht="16" customHeight="1" spans="1:51" x14ac:dyDescent="0.25">
      <c r="A1695" s="45"/>
      <c r="B1695" s="46" t="s">
        <v>1746</v>
      </c>
      <c r="C1695" s="46" t="s">
        <v>1747</v>
      </c>
      <c r="D1695" s="46" t="s">
        <v>29</v>
      </c>
      <c r="E1695" s="46"/>
      <c r="F1695" s="46"/>
      <c r="G1695" s="46"/>
      <c r="H1695" s="46"/>
      <c r="I1695" s="46"/>
      <c r="J1695" s="46" t="s">
        <v>36</v>
      </c>
      <c r="K1695" s="46" t="s">
        <v>59</v>
      </c>
      <c r="L1695" s="46" t="s">
        <v>59</v>
      </c>
      <c r="M1695" s="46" t="s">
        <v>59</v>
      </c>
      <c r="N1695" s="46" t="s">
        <v>59</v>
      </c>
      <c r="O1695" s="46" t="s">
        <v>59</v>
      </c>
      <c r="P1695" s="46" t="s">
        <v>37</v>
      </c>
      <c r="Q1695" s="46" t="s">
        <v>59</v>
      </c>
      <c r="R1695" s="46" t="s">
        <v>59</v>
      </c>
      <c r="S1695" s="46" t="s">
        <v>59</v>
      </c>
      <c r="T1695" s="46" t="s">
        <v>59</v>
      </c>
      <c r="U1695" s="46" t="s">
        <v>59</v>
      </c>
      <c r="V1695" s="46" t="s">
        <v>59</v>
      </c>
      <c r="W1695" s="46" t="s">
        <v>37</v>
      </c>
      <c r="X1695" s="46" t="s">
        <v>59</v>
      </c>
      <c r="Y1695" s="46" t="s">
        <v>59</v>
      </c>
      <c r="Z1695" s="46" t="s">
        <v>59</v>
      </c>
      <c r="AA1695" s="46" t="s">
        <v>59</v>
      </c>
      <c r="AB1695" s="46" t="s">
        <v>59</v>
      </c>
      <c r="AC1695" s="46" t="s">
        <v>59</v>
      </c>
      <c r="AD1695" s="46" t="s">
        <v>37</v>
      </c>
      <c r="AE1695" s="46" t="s">
        <v>59</v>
      </c>
      <c r="AF1695" s="46" t="s">
        <v>59</v>
      </c>
      <c r="AG1695" s="46" t="s">
        <v>59</v>
      </c>
      <c r="AH1695" s="46" t="s">
        <v>43</v>
      </c>
      <c r="AI1695" s="46" t="s">
        <v>59</v>
      </c>
      <c r="AJ1695" s="46">
        <f>=SUM(E1696:AI1696)</f>
      </c>
      <c r="AK1695" s="46">
        <f>=+AY1695</f>
      </c>
      <c r="AL1695" s="46"/>
      <c r="AM1695" s="1"/>
      <c r="AN1695" s="1">
        <f>=COUNTIF(E1695:AI1695,"A")+COUNTIF(E1695:AI1695,"B")+COUNTIF(E1695:AI1695,"C")+COUNTIF(E1695:AI1695,"D")+COUNTIF(E1695:AI1695,"E")+COUNTIF(E1695:AI1695,"F")+COUNTIF(E1695:AI1695,"M")+COUNTIF(E1695:AI1695,"AB")+COUNTIF(E1695:AI1695,"UZ")+COUNTIF(E1695:AI1695,"G")+(COUNTIF(E1695:AI1695,"RT.")/2)+(COUNTIF(E1695:AI1695,"ÇRT.")/2)</f>
      </c>
      <c r="AO1695" s="1">
        <f>=COUNTIF(E1695:AI1695,"O")</f>
      </c>
      <c r="AP1695" s="1">
        <f>=COUNTIF(E1695:AI1695,"RT")+(COUNTIF(E1695:AI1695,"RT.")/2)</f>
      </c>
      <c r="AQ1695" s="1">
        <f>=COUNTIF(E1695:AI1695,"ÇRT")+(COUNTIF(E1695:AI1695,"ÇRT.")/2)</f>
      </c>
      <c r="AR1695" s="1">
        <f>=COUNTIF(E1695:AI1695,"ÇHT")</f>
      </c>
      <c r="AS1695" s="1">
        <f>=COUNTIF(E1695:AI1695,"Ö")+COUNTIF(E1695:AI1695,"T")</f>
      </c>
      <c r="AT1695" s="1">
        <f>=COUNTIF(E1695:AI1695,"Y")</f>
      </c>
      <c r="AU1695" s="1">
        <f>=COUNTIF(E1695:AI1695,"R.")</f>
      </c>
      <c r="AV1695" s="1">
        <f>=COUNTIF(E1695:AI1695,"Ü")</f>
      </c>
      <c r="AW1695" s="1">
        <f>=COUNTIF(E1695:AI1695,"R")</f>
      </c>
      <c r="AX1695" s="1">
        <f>=COUNTIF(E1695:AI1695,"DV")</f>
      </c>
      <c r="AY1695" s="1">
        <f>=+AN1695+AO1695+AP1695+AQ1695+AR1695+AS1695+AT1695+AU1695</f>
      </c>
    </row>
    <row r="1696" ht="16" customHeight="1" spans="1:51" x14ac:dyDescent="0.25">
      <c r="A1696" s="45"/>
      <c r="B1696" s="46"/>
      <c r="C1696" s="46"/>
      <c r="D1696" s="46" t="s">
        <v>33</v>
      </c>
      <c r="E1696" s="46"/>
      <c r="F1696" s="46"/>
      <c r="G1696" s="46"/>
      <c r="H1696" s="46"/>
      <c r="I1696" s="46"/>
      <c r="J1696" s="46"/>
      <c r="K1696" s="46"/>
      <c r="L1696" s="46"/>
      <c r="M1696" s="46"/>
      <c r="N1696" s="46"/>
      <c r="O1696" s="46"/>
      <c r="P1696" s="46"/>
      <c r="Q1696" s="46"/>
      <c r="R1696" s="46"/>
      <c r="S1696" s="46"/>
      <c r="T1696" s="46"/>
      <c r="U1696" s="46"/>
      <c r="V1696" s="46"/>
      <c r="W1696" s="46"/>
      <c r="X1696" s="46"/>
      <c r="Y1696" s="46"/>
      <c r="Z1696" s="46"/>
      <c r="AA1696" s="46"/>
      <c r="AB1696" s="46"/>
      <c r="AC1696" s="46"/>
      <c r="AD1696" s="46"/>
      <c r="AE1696" s="46"/>
      <c r="AF1696" s="46"/>
      <c r="AG1696" s="46"/>
      <c r="AH1696" s="46"/>
      <c r="AI1696" s="46"/>
      <c r="AJ1696" s="46"/>
      <c r="AK1696" s="46"/>
      <c r="AL1696" s="46"/>
      <c r="AM1696" s="1"/>
      <c r="AN1696" s="1"/>
      <c r="AO1696" s="1"/>
      <c r="AP1696" s="1"/>
      <c r="AQ1696" s="1"/>
      <c r="AR1696" s="1"/>
      <c r="AS1696" s="1"/>
      <c r="AT1696" s="1"/>
      <c r="AU1696" s="1"/>
      <c r="AV1696" s="1"/>
      <c r="AW1696" s="1"/>
      <c r="AX1696" s="1"/>
      <c r="AY1696" s="1"/>
    </row>
    <row r="1697" ht="16" customHeight="1" spans="1:51" x14ac:dyDescent="0.25">
      <c r="A1697" s="45"/>
      <c r="B1697" s="46" t="s">
        <v>1748</v>
      </c>
      <c r="C1697" s="46" t="s">
        <v>1749</v>
      </c>
      <c r="D1697" s="46" t="s">
        <v>29</v>
      </c>
      <c r="E1697" s="46"/>
      <c r="F1697" s="46"/>
      <c r="G1697" s="46"/>
      <c r="H1697" s="46" t="s">
        <v>36</v>
      </c>
      <c r="I1697" s="46"/>
      <c r="J1697" s="46"/>
      <c r="K1697" s="46"/>
      <c r="L1697" s="46"/>
      <c r="M1697" s="46"/>
      <c r="N1697" s="46"/>
      <c r="O1697" s="46"/>
      <c r="P1697" s="46"/>
      <c r="Q1697" s="46"/>
      <c r="R1697" s="46"/>
      <c r="S1697" s="46"/>
      <c r="T1697" s="46"/>
      <c r="U1697" s="46"/>
      <c r="V1697" s="46"/>
      <c r="W1697" s="46"/>
      <c r="X1697" s="46"/>
      <c r="Y1697" s="46"/>
      <c r="Z1697" s="46"/>
      <c r="AA1697" s="46"/>
      <c r="AB1697" s="46"/>
      <c r="AC1697" s="46"/>
      <c r="AD1697" s="46"/>
      <c r="AE1697" s="46"/>
      <c r="AF1697" s="46"/>
      <c r="AG1697" s="46"/>
      <c r="AH1697" s="46"/>
      <c r="AI1697" s="46"/>
      <c r="AJ1697" s="46">
        <f>=SUM(E1698:AI1698)</f>
      </c>
      <c r="AK1697" s="46">
        <f>=+AY1697</f>
      </c>
      <c r="AL1697" s="46"/>
      <c r="AM1697" s="1"/>
      <c r="AN1697" s="1">
        <f>=COUNTIF(E1697:AI1697,"A")+COUNTIF(E1697:AI1697,"B")+COUNTIF(E1697:AI1697,"C")+COUNTIF(E1697:AI1697,"D")+COUNTIF(E1697:AI1697,"E")+COUNTIF(E1697:AI1697,"F")+COUNTIF(E1697:AI1697,"M")+COUNTIF(E1697:AI1697,"AB")+COUNTIF(E1697:AI1697,"UZ")+COUNTIF(E1697:AI1697,"G")+(COUNTIF(E1697:AI1697,"RT.")/2)+(COUNTIF(E1697:AI1697,"ÇRT.")/2)</f>
      </c>
      <c r="AO1697" s="1">
        <f>=COUNTIF(E1697:AI1697,"O")</f>
      </c>
      <c r="AP1697" s="1">
        <f>=COUNTIF(E1697:AI1697,"RT")+(COUNTIF(E1697:AI1697,"RT.")/2)</f>
      </c>
      <c r="AQ1697" s="1">
        <f>=COUNTIF(E1697:AI1697,"ÇRT")+(COUNTIF(E1697:AI1697,"ÇRT.")/2)</f>
      </c>
      <c r="AR1697" s="1">
        <f>=COUNTIF(E1697:AI1697,"ÇHT")</f>
      </c>
      <c r="AS1697" s="1">
        <f>=COUNTIF(E1697:AI1697,"Ö")+COUNTIF(E1697:AI1697,"T")</f>
      </c>
      <c r="AT1697" s="1">
        <f>=COUNTIF(E1697:AI1697,"Y")</f>
      </c>
      <c r="AU1697" s="1">
        <f>=COUNTIF(E1697:AI1697,"R.")</f>
      </c>
      <c r="AV1697" s="1">
        <f>=COUNTIF(E1697:AI1697,"Ü")</f>
      </c>
      <c r="AW1697" s="1">
        <f>=COUNTIF(E1697:AI1697,"R")</f>
      </c>
      <c r="AX1697" s="1">
        <f>=COUNTIF(E1697:AI1697,"DV")</f>
      </c>
      <c r="AY1697" s="1">
        <f>=+AN1697+AO1697+AP1697+AQ1697+AR1697+AS1697+AT1697+AU1697</f>
      </c>
    </row>
    <row r="1698" ht="16" customHeight="1" spans="1:51" x14ac:dyDescent="0.25">
      <c r="A1698" s="45"/>
      <c r="B1698" s="46"/>
      <c r="C1698" s="46"/>
      <c r="D1698" s="46" t="s">
        <v>33</v>
      </c>
      <c r="E1698" s="46"/>
      <c r="F1698" s="46"/>
      <c r="G1698" s="46"/>
      <c r="H1698" s="46"/>
      <c r="I1698" s="46"/>
      <c r="J1698" s="46"/>
      <c r="K1698" s="46"/>
      <c r="L1698" s="46"/>
      <c r="M1698" s="46"/>
      <c r="N1698" s="46"/>
      <c r="O1698" s="46"/>
      <c r="P1698" s="46"/>
      <c r="Q1698" s="46"/>
      <c r="R1698" s="46"/>
      <c r="S1698" s="46"/>
      <c r="T1698" s="46"/>
      <c r="U1698" s="46"/>
      <c r="V1698" s="46"/>
      <c r="W1698" s="46"/>
      <c r="X1698" s="46"/>
      <c r="Y1698" s="46"/>
      <c r="Z1698" s="46"/>
      <c r="AA1698" s="46"/>
      <c r="AB1698" s="46"/>
      <c r="AC1698" s="46"/>
      <c r="AD1698" s="46"/>
      <c r="AE1698" s="46"/>
      <c r="AF1698" s="46"/>
      <c r="AG1698" s="46"/>
      <c r="AH1698" s="46"/>
      <c r="AI1698" s="46"/>
      <c r="AJ1698" s="46"/>
      <c r="AK1698" s="46"/>
      <c r="AL1698" s="46"/>
      <c r="AM1698" s="1"/>
      <c r="AN1698" s="1"/>
      <c r="AO1698" s="1"/>
      <c r="AP1698" s="1"/>
      <c r="AQ1698" s="1"/>
      <c r="AR1698" s="1"/>
      <c r="AS1698" s="1"/>
      <c r="AT1698" s="1"/>
      <c r="AU1698" s="1"/>
      <c r="AV1698" s="1"/>
      <c r="AW1698" s="1"/>
      <c r="AX1698" s="1"/>
      <c r="AY1698" s="1"/>
    </row>
    <row r="1699" ht="16" customHeight="1" spans="1:51" x14ac:dyDescent="0.25">
      <c r="A1699" s="45"/>
      <c r="B1699" s="46" t="s">
        <v>1750</v>
      </c>
      <c r="C1699" s="46" t="s">
        <v>1751</v>
      </c>
      <c r="D1699" s="46" t="s">
        <v>29</v>
      </c>
      <c r="E1699" s="46" t="s">
        <v>37</v>
      </c>
      <c r="F1699" s="46" t="s">
        <v>1348</v>
      </c>
      <c r="G1699" s="46" t="s">
        <v>1348</v>
      </c>
      <c r="H1699" s="46" t="s">
        <v>1348</v>
      </c>
      <c r="I1699" s="46" t="s">
        <v>59</v>
      </c>
      <c r="J1699" s="46" t="s">
        <v>1348</v>
      </c>
      <c r="K1699" s="46" t="s">
        <v>1348</v>
      </c>
      <c r="L1699" s="46" t="s">
        <v>37</v>
      </c>
      <c r="M1699" s="46" t="s">
        <v>36</v>
      </c>
      <c r="N1699" s="46" t="s">
        <v>36</v>
      </c>
      <c r="O1699" s="46" t="s">
        <v>36</v>
      </c>
      <c r="P1699" s="46" t="s">
        <v>36</v>
      </c>
      <c r="Q1699" s="46" t="s">
        <v>36</v>
      </c>
      <c r="R1699" s="46" t="s">
        <v>36</v>
      </c>
      <c r="S1699" s="46" t="s">
        <v>36</v>
      </c>
      <c r="T1699" s="46" t="s">
        <v>37</v>
      </c>
      <c r="U1699" s="46" t="s">
        <v>36</v>
      </c>
      <c r="V1699" s="46" t="s">
        <v>36</v>
      </c>
      <c r="W1699" s="46" t="s">
        <v>36</v>
      </c>
      <c r="X1699" s="46" t="s">
        <v>36</v>
      </c>
      <c r="Y1699" s="46" t="s">
        <v>37</v>
      </c>
      <c r="Z1699" s="46" t="s">
        <v>36</v>
      </c>
      <c r="AA1699" s="46" t="s">
        <v>36</v>
      </c>
      <c r="AB1699" s="46" t="s">
        <v>36</v>
      </c>
      <c r="AC1699" s="46" t="s">
        <v>36</v>
      </c>
      <c r="AD1699" s="46" t="s">
        <v>36</v>
      </c>
      <c r="AE1699" s="46" t="s">
        <v>36</v>
      </c>
      <c r="AF1699" s="46" t="s">
        <v>37</v>
      </c>
      <c r="AG1699" s="46" t="s">
        <v>36</v>
      </c>
      <c r="AH1699" s="46" t="s">
        <v>43</v>
      </c>
      <c r="AI1699" s="46" t="s">
        <v>41</v>
      </c>
      <c r="AJ1699" s="46">
        <f>=SUM(E1700:AI1700)</f>
      </c>
      <c r="AK1699" s="46">
        <f>=+AY1699</f>
      </c>
      <c r="AL1699" s="46"/>
      <c r="AM1699" s="1"/>
      <c r="AN1699" s="1">
        <f>=COUNTIF(E1699:AI1699,"A")+COUNTIF(E1699:AI1699,"B")+COUNTIF(E1699:AI1699,"C")+COUNTIF(E1699:AI1699,"D")+COUNTIF(E1699:AI1699,"E")+COUNTIF(E1699:AI1699,"F")+COUNTIF(E1699:AI1699,"M")+COUNTIF(E1699:AI1699,"AB")+COUNTIF(E1699:AI1699,"UZ")+COUNTIF(E1699:AI1699,"G")+(COUNTIF(E1699:AI1699,"RT.")/2)+(COUNTIF(E1699:AI1699,"ÇRT.")/2)</f>
      </c>
      <c r="AO1699" s="1">
        <f>=COUNTIF(E1699:AI1699,"O")</f>
      </c>
      <c r="AP1699" s="1">
        <f>=COUNTIF(E1699:AI1699,"RT")+(COUNTIF(E1699:AI1699,"RT.")/2)</f>
      </c>
      <c r="AQ1699" s="1">
        <f>=COUNTIF(E1699:AI1699,"ÇRT")+(COUNTIF(E1699:AI1699,"ÇRT.")/2)</f>
      </c>
      <c r="AR1699" s="1">
        <f>=COUNTIF(E1699:AI1699,"ÇHT")</f>
      </c>
      <c r="AS1699" s="1">
        <f>=COUNTIF(E1699:AI1699,"Ö")+COUNTIF(E1699:AI1699,"T")</f>
      </c>
      <c r="AT1699" s="1">
        <f>=COUNTIF(E1699:AI1699,"Y")</f>
      </c>
      <c r="AU1699" s="1">
        <f>=COUNTIF(E1699:AI1699,"R.")</f>
      </c>
      <c r="AV1699" s="1">
        <f>=COUNTIF(E1699:AI1699,"Ü")</f>
      </c>
      <c r="AW1699" s="1">
        <f>=COUNTIF(E1699:AI1699,"R")</f>
      </c>
      <c r="AX1699" s="1">
        <f>=COUNTIF(E1699:AI1699,"DV")</f>
      </c>
      <c r="AY1699" s="1">
        <f>=+AN1699+AO1699+AP1699+AQ1699+AR1699+AS1699+AT1699+AU1699</f>
      </c>
    </row>
    <row r="1700" ht="16" customHeight="1" spans="1:51" x14ac:dyDescent="0.25">
      <c r="A1700" s="45"/>
      <c r="B1700" s="46"/>
      <c r="C1700" s="46"/>
      <c r="D1700" s="46" t="s">
        <v>33</v>
      </c>
      <c r="E1700" s="46"/>
      <c r="F1700" s="46"/>
      <c r="G1700" s="46"/>
      <c r="H1700" s="46"/>
      <c r="I1700" s="46"/>
      <c r="J1700" s="46"/>
      <c r="K1700" s="46"/>
      <c r="L1700" s="46"/>
      <c r="M1700" s="46"/>
      <c r="N1700" s="46"/>
      <c r="O1700" s="46"/>
      <c r="P1700" s="46"/>
      <c r="Q1700" s="46"/>
      <c r="R1700" s="46"/>
      <c r="S1700" s="46"/>
      <c r="T1700" s="46"/>
      <c r="U1700" s="46"/>
      <c r="V1700" s="46"/>
      <c r="W1700" s="46"/>
      <c r="X1700" s="46"/>
      <c r="Y1700" s="46"/>
      <c r="Z1700" s="46"/>
      <c r="AA1700" s="46"/>
      <c r="AB1700" s="46"/>
      <c r="AC1700" s="46"/>
      <c r="AD1700" s="46"/>
      <c r="AE1700" s="46">
        <v>2</v>
      </c>
      <c r="AF1700" s="46"/>
      <c r="AG1700" s="46"/>
      <c r="AH1700" s="46"/>
      <c r="AI1700" s="46"/>
      <c r="AJ1700" s="46"/>
      <c r="AK1700" s="46"/>
      <c r="AL1700" s="46"/>
      <c r="AM1700" s="1"/>
      <c r="AN1700" s="1"/>
      <c r="AO1700" s="1"/>
      <c r="AP1700" s="1"/>
      <c r="AQ1700" s="1"/>
      <c r="AR1700" s="1"/>
      <c r="AS1700" s="1"/>
      <c r="AT1700" s="1"/>
      <c r="AU1700" s="1"/>
      <c r="AV1700" s="1"/>
      <c r="AW1700" s="1"/>
      <c r="AX1700" s="1"/>
      <c r="AY1700" s="1"/>
    </row>
    <row r="1701" ht="16" customHeight="1" spans="1:51" x14ac:dyDescent="0.25">
      <c r="A1701" s="45"/>
      <c r="B1701" s="46" t="s">
        <v>1752</v>
      </c>
      <c r="C1701" s="46" t="s">
        <v>1753</v>
      </c>
      <c r="D1701" s="46" t="s">
        <v>29</v>
      </c>
      <c r="E1701" s="46" t="s">
        <v>59</v>
      </c>
      <c r="F1701" s="46" t="s">
        <v>59</v>
      </c>
      <c r="G1701" s="46" t="s">
        <v>37</v>
      </c>
      <c r="H1701" s="46" t="s">
        <v>59</v>
      </c>
      <c r="I1701" s="46" t="s">
        <v>59</v>
      </c>
      <c r="J1701" s="46" t="s">
        <v>59</v>
      </c>
      <c r="K1701" s="46" t="s">
        <v>59</v>
      </c>
      <c r="L1701" s="46" t="s">
        <v>59</v>
      </c>
      <c r="M1701" s="46" t="s">
        <v>59</v>
      </c>
      <c r="N1701" s="46" t="s">
        <v>37</v>
      </c>
      <c r="O1701" s="46" t="s">
        <v>59</v>
      </c>
      <c r="P1701" s="46" t="s">
        <v>59</v>
      </c>
      <c r="Q1701" s="46" t="s">
        <v>59</v>
      </c>
      <c r="R1701" s="46" t="s">
        <v>59</v>
      </c>
      <c r="S1701" s="46" t="s">
        <v>59</v>
      </c>
      <c r="T1701" s="46" t="s">
        <v>59</v>
      </c>
      <c r="U1701" s="46" t="s">
        <v>37</v>
      </c>
      <c r="V1701" s="46" t="s">
        <v>59</v>
      </c>
      <c r="W1701" s="46" t="s">
        <v>59</v>
      </c>
      <c r="X1701" s="46" t="s">
        <v>59</v>
      </c>
      <c r="Y1701" s="46" t="s">
        <v>59</v>
      </c>
      <c r="Z1701" s="46" t="s">
        <v>59</v>
      </c>
      <c r="AA1701" s="46" t="s">
        <v>59</v>
      </c>
      <c r="AB1701" s="46" t="s">
        <v>31</v>
      </c>
      <c r="AC1701" s="46" t="s">
        <v>59</v>
      </c>
      <c r="AD1701" s="46" t="s">
        <v>59</v>
      </c>
      <c r="AE1701" s="46" t="s">
        <v>37</v>
      </c>
      <c r="AF1701" s="46" t="s">
        <v>59</v>
      </c>
      <c r="AG1701" s="46" t="s">
        <v>59</v>
      </c>
      <c r="AH1701" s="46" t="s">
        <v>43</v>
      </c>
      <c r="AI1701" s="46" t="s">
        <v>42</v>
      </c>
      <c r="AJ1701" s="46">
        <f>=SUM(E1702:AI1702)</f>
      </c>
      <c r="AK1701" s="46">
        <f>=+AY1701</f>
      </c>
      <c r="AL1701" s="46"/>
      <c r="AM1701" s="1"/>
      <c r="AN1701" s="1">
        <f>=COUNTIF(E1701:AI1701,"A")+COUNTIF(E1701:AI1701,"B")+COUNTIF(E1701:AI1701,"C")+COUNTIF(E1701:AI1701,"D")+COUNTIF(E1701:AI1701,"E")+COUNTIF(E1701:AI1701,"F")+COUNTIF(E1701:AI1701,"M")+COUNTIF(E1701:AI1701,"AB")+COUNTIF(E1701:AI1701,"UZ")+COUNTIF(E1701:AI1701,"G")+(COUNTIF(E1701:AI1701,"RT.")/2)+(COUNTIF(E1701:AI1701,"ÇRT.")/2)</f>
      </c>
      <c r="AO1701" s="1">
        <f>=COUNTIF(E1701:AI1701,"O")</f>
      </c>
      <c r="AP1701" s="1">
        <f>=COUNTIF(E1701:AI1701,"RT")+(COUNTIF(E1701:AI1701,"RT.")/2)</f>
      </c>
      <c r="AQ1701" s="1">
        <f>=COUNTIF(E1701:AI1701,"ÇRT")+(COUNTIF(E1701:AI1701,"ÇRT.")/2)</f>
      </c>
      <c r="AR1701" s="1">
        <f>=COUNTIF(E1701:AI1701,"ÇHT")</f>
      </c>
      <c r="AS1701" s="1">
        <f>=COUNTIF(E1701:AI1701,"Ö")+COUNTIF(E1701:AI1701,"T")</f>
      </c>
      <c r="AT1701" s="1">
        <f>=COUNTIF(E1701:AI1701,"Y")</f>
      </c>
      <c r="AU1701" s="1">
        <f>=COUNTIF(E1701:AI1701,"R.")</f>
      </c>
      <c r="AV1701" s="1">
        <f>=COUNTIF(E1701:AI1701,"Ü")</f>
      </c>
      <c r="AW1701" s="1">
        <f>=COUNTIF(E1701:AI1701,"R")</f>
      </c>
      <c r="AX1701" s="1">
        <f>=COUNTIF(E1701:AI1701,"DV")</f>
      </c>
      <c r="AY1701" s="1">
        <f>=+AN1701+AO1701+AP1701+AQ1701+AR1701+AS1701+AT1701+AU1701</f>
      </c>
    </row>
    <row r="1702" ht="16" customHeight="1" spans="1:51" x14ac:dyDescent="0.25">
      <c r="A1702" s="45"/>
      <c r="B1702" s="46"/>
      <c r="C1702" s="46"/>
      <c r="D1702" s="46" t="s">
        <v>33</v>
      </c>
      <c r="E1702" s="46"/>
      <c r="F1702" s="46"/>
      <c r="G1702" s="46"/>
      <c r="H1702" s="46"/>
      <c r="I1702" s="46"/>
      <c r="J1702" s="46"/>
      <c r="K1702" s="46"/>
      <c r="L1702" s="46"/>
      <c r="M1702" s="46"/>
      <c r="N1702" s="46"/>
      <c r="O1702" s="46"/>
      <c r="P1702" s="46"/>
      <c r="Q1702" s="46"/>
      <c r="R1702" s="46"/>
      <c r="S1702" s="46"/>
      <c r="T1702" s="46"/>
      <c r="U1702" s="46"/>
      <c r="V1702" s="46"/>
      <c r="W1702" s="46"/>
      <c r="X1702" s="46"/>
      <c r="Y1702" s="46"/>
      <c r="Z1702" s="46"/>
      <c r="AA1702" s="46"/>
      <c r="AB1702" s="46"/>
      <c r="AC1702" s="46"/>
      <c r="AD1702" s="46"/>
      <c r="AE1702" s="46"/>
      <c r="AF1702" s="46"/>
      <c r="AG1702" s="46"/>
      <c r="AH1702" s="46"/>
      <c r="AI1702" s="46"/>
      <c r="AJ1702" s="46"/>
      <c r="AK1702" s="46"/>
      <c r="AL1702" s="46"/>
      <c r="AM1702" s="1"/>
      <c r="AN1702" s="1"/>
      <c r="AO1702" s="1"/>
      <c r="AP1702" s="1"/>
      <c r="AQ1702" s="1"/>
      <c r="AR1702" s="1"/>
      <c r="AS1702" s="1"/>
      <c r="AT1702" s="1"/>
      <c r="AU1702" s="1"/>
      <c r="AV1702" s="1"/>
      <c r="AW1702" s="1"/>
      <c r="AX1702" s="1"/>
      <c r="AY1702" s="1"/>
    </row>
    <row r="1703" ht="16" customHeight="1" spans="1:51" x14ac:dyDescent="0.25">
      <c r="A1703" s="45"/>
      <c r="B1703" s="46" t="s">
        <v>1754</v>
      </c>
      <c r="C1703" s="46" t="s">
        <v>1755</v>
      </c>
      <c r="D1703" s="46" t="s">
        <v>29</v>
      </c>
      <c r="E1703" s="46" t="s">
        <v>36</v>
      </c>
      <c r="F1703" s="46" t="s">
        <v>36</v>
      </c>
      <c r="G1703" s="46" t="s">
        <v>36</v>
      </c>
      <c r="H1703" s="46" t="s">
        <v>37</v>
      </c>
      <c r="I1703" s="46" t="s">
        <v>36</v>
      </c>
      <c r="J1703" s="46" t="s">
        <v>36</v>
      </c>
      <c r="K1703" s="46" t="s">
        <v>36</v>
      </c>
      <c r="L1703" s="46" t="s">
        <v>36</v>
      </c>
      <c r="M1703" s="46" t="s">
        <v>36</v>
      </c>
      <c r="N1703" s="46" t="s">
        <v>36</v>
      </c>
      <c r="O1703" s="46" t="s">
        <v>37</v>
      </c>
      <c r="P1703" s="46" t="s">
        <v>36</v>
      </c>
      <c r="Q1703" s="46" t="s">
        <v>36</v>
      </c>
      <c r="R1703" s="46" t="s">
        <v>36</v>
      </c>
      <c r="S1703" s="46" t="s">
        <v>36</v>
      </c>
      <c r="T1703" s="46" t="s">
        <v>36</v>
      </c>
      <c r="U1703" s="46" t="s">
        <v>36</v>
      </c>
      <c r="V1703" s="46" t="s">
        <v>37</v>
      </c>
      <c r="W1703" s="46" t="s">
        <v>36</v>
      </c>
      <c r="X1703" s="46" t="s">
        <v>36</v>
      </c>
      <c r="Y1703" s="46" t="s">
        <v>36</v>
      </c>
      <c r="Z1703" s="46" t="s">
        <v>36</v>
      </c>
      <c r="AA1703" s="46" t="s">
        <v>36</v>
      </c>
      <c r="AB1703" s="46" t="s">
        <v>36</v>
      </c>
      <c r="AC1703" s="46" t="s">
        <v>37</v>
      </c>
      <c r="AD1703" s="46" t="s">
        <v>36</v>
      </c>
      <c r="AE1703" s="46" t="s">
        <v>36</v>
      </c>
      <c r="AF1703" s="46" t="s">
        <v>36</v>
      </c>
      <c r="AG1703" s="46" t="s">
        <v>36</v>
      </c>
      <c r="AH1703" s="46" t="s">
        <v>43</v>
      </c>
      <c r="AI1703" s="46" t="s">
        <v>36</v>
      </c>
      <c r="AJ1703" s="46">
        <f>=SUM(E1704:AI1704)</f>
      </c>
      <c r="AK1703" s="46">
        <f>=+AY1703</f>
      </c>
      <c r="AL1703" s="46"/>
      <c r="AM1703" s="1"/>
      <c r="AN1703" s="1">
        <f>=COUNTIF(E1703:AI1703,"A")+COUNTIF(E1703:AI1703,"B")+COUNTIF(E1703:AI1703,"C")+COUNTIF(E1703:AI1703,"D")+COUNTIF(E1703:AI1703,"E")+COUNTIF(E1703:AI1703,"F")+COUNTIF(E1703:AI1703,"M")+COUNTIF(E1703:AI1703,"AB")+COUNTIF(E1703:AI1703,"UZ")+COUNTIF(E1703:AI1703,"G")+(COUNTIF(E1703:AI1703,"RT.")/2)+(COUNTIF(E1703:AI1703,"ÇRT.")/2)</f>
      </c>
      <c r="AO1703" s="1">
        <f>=COUNTIF(E1703:AI1703,"O")</f>
      </c>
      <c r="AP1703" s="1">
        <f>=COUNTIF(E1703:AI1703,"RT")+(COUNTIF(E1703:AI1703,"RT.")/2)</f>
      </c>
      <c r="AQ1703" s="1">
        <f>=COUNTIF(E1703:AI1703,"ÇRT")+(COUNTIF(E1703:AI1703,"ÇRT.")/2)</f>
      </c>
      <c r="AR1703" s="1">
        <f>=COUNTIF(E1703:AI1703,"ÇHT")</f>
      </c>
      <c r="AS1703" s="1">
        <f>=COUNTIF(E1703:AI1703,"Ö")+COUNTIF(E1703:AI1703,"T")</f>
      </c>
      <c r="AT1703" s="1">
        <f>=COUNTIF(E1703:AI1703,"Y")</f>
      </c>
      <c r="AU1703" s="1">
        <f>=COUNTIF(E1703:AI1703,"R.")</f>
      </c>
      <c r="AV1703" s="1">
        <f>=COUNTIF(E1703:AI1703,"Ü")</f>
      </c>
      <c r="AW1703" s="1">
        <f>=COUNTIF(E1703:AI1703,"R")</f>
      </c>
      <c r="AX1703" s="1">
        <f>=COUNTIF(E1703:AI1703,"DV")</f>
      </c>
      <c r="AY1703" s="1">
        <f>=+AN1703+AO1703+AP1703+AQ1703+AR1703+AS1703+AT1703+AU1703</f>
      </c>
    </row>
    <row r="1704" ht="16" customHeight="1" spans="1:51" x14ac:dyDescent="0.25">
      <c r="A1704" s="45"/>
      <c r="B1704" s="46"/>
      <c r="C1704" s="46"/>
      <c r="D1704" s="46" t="s">
        <v>33</v>
      </c>
      <c r="E1704" s="46"/>
      <c r="F1704" s="46"/>
      <c r="G1704" s="46"/>
      <c r="H1704" s="46"/>
      <c r="I1704" s="46"/>
      <c r="J1704" s="46"/>
      <c r="K1704" s="46"/>
      <c r="L1704" s="46"/>
      <c r="M1704" s="46"/>
      <c r="N1704" s="46"/>
      <c r="O1704" s="46"/>
      <c r="P1704" s="46"/>
      <c r="Q1704" s="46"/>
      <c r="R1704" s="46"/>
      <c r="S1704" s="46"/>
      <c r="T1704" s="46"/>
      <c r="U1704" s="46"/>
      <c r="V1704" s="46"/>
      <c r="W1704" s="46"/>
      <c r="X1704" s="46"/>
      <c r="Y1704" s="46"/>
      <c r="Z1704" s="46"/>
      <c r="AA1704" s="46"/>
      <c r="AB1704" s="46"/>
      <c r="AC1704" s="46"/>
      <c r="AD1704" s="46"/>
      <c r="AE1704" s="46"/>
      <c r="AF1704" s="46"/>
      <c r="AG1704" s="46"/>
      <c r="AH1704" s="46"/>
      <c r="AI1704" s="46"/>
      <c r="AJ1704" s="46"/>
      <c r="AK1704" s="46"/>
      <c r="AL1704" s="46"/>
      <c r="AM1704" s="1"/>
      <c r="AN1704" s="1"/>
      <c r="AO1704" s="1"/>
      <c r="AP1704" s="1"/>
      <c r="AQ1704" s="1"/>
      <c r="AR1704" s="1"/>
      <c r="AS1704" s="1"/>
      <c r="AT1704" s="1"/>
      <c r="AU1704" s="1"/>
      <c r="AV1704" s="1"/>
      <c r="AW1704" s="1"/>
      <c r="AX1704" s="1"/>
      <c r="AY1704" s="1"/>
    </row>
    <row r="1705" ht="16" customHeight="1" spans="1:51" x14ac:dyDescent="0.25">
      <c r="A1705" s="45"/>
      <c r="B1705" s="46" t="s">
        <v>1756</v>
      </c>
      <c r="C1705" s="46" t="s">
        <v>1757</v>
      </c>
      <c r="D1705" s="46" t="s">
        <v>29</v>
      </c>
      <c r="E1705" s="46" t="s">
        <v>36</v>
      </c>
      <c r="F1705" s="46" t="s">
        <v>36</v>
      </c>
      <c r="G1705" s="46" t="s">
        <v>36</v>
      </c>
      <c r="H1705" s="46" t="s">
        <v>36</v>
      </c>
      <c r="I1705" s="46" t="s">
        <v>37</v>
      </c>
      <c r="J1705" s="46" t="s">
        <v>36</v>
      </c>
      <c r="K1705" s="46" t="s">
        <v>36</v>
      </c>
      <c r="L1705" s="46" t="s">
        <v>36</v>
      </c>
      <c r="M1705" s="46" t="s">
        <v>36</v>
      </c>
      <c r="N1705" s="46" t="s">
        <v>36</v>
      </c>
      <c r="O1705" s="46" t="s">
        <v>36</v>
      </c>
      <c r="P1705" s="46" t="s">
        <v>37</v>
      </c>
      <c r="Q1705" s="46" t="s">
        <v>36</v>
      </c>
      <c r="R1705" s="46" t="s">
        <v>36</v>
      </c>
      <c r="S1705" s="46" t="s">
        <v>36</v>
      </c>
      <c r="T1705" s="46" t="s">
        <v>36</v>
      </c>
      <c r="U1705" s="46" t="s">
        <v>36</v>
      </c>
      <c r="V1705" s="46" t="s">
        <v>36</v>
      </c>
      <c r="W1705" s="46" t="s">
        <v>37</v>
      </c>
      <c r="X1705" s="46" t="s">
        <v>31</v>
      </c>
      <c r="Y1705" s="46" t="s">
        <v>31</v>
      </c>
      <c r="Z1705" s="46" t="s">
        <v>32</v>
      </c>
      <c r="AA1705" s="46" t="s">
        <v>32</v>
      </c>
      <c r="AB1705" s="46" t="s">
        <v>36</v>
      </c>
      <c r="AC1705" s="46" t="s">
        <v>36</v>
      </c>
      <c r="AD1705" s="46" t="s">
        <v>37</v>
      </c>
      <c r="AE1705" s="46" t="s">
        <v>36</v>
      </c>
      <c r="AF1705" s="46" t="s">
        <v>36</v>
      </c>
      <c r="AG1705" s="46" t="s">
        <v>36</v>
      </c>
      <c r="AH1705" s="46" t="s">
        <v>43</v>
      </c>
      <c r="AI1705" s="46" t="s">
        <v>36</v>
      </c>
      <c r="AJ1705" s="46">
        <f>=SUM(E1706:AI1706)</f>
      </c>
      <c r="AK1705" s="46">
        <f>=+AY1705</f>
      </c>
      <c r="AL1705" s="46"/>
      <c r="AM1705" s="1"/>
      <c r="AN1705" s="1">
        <f>=COUNTIF(E1705:AI1705,"A")+COUNTIF(E1705:AI1705,"B")+COUNTIF(E1705:AI1705,"C")+COUNTIF(E1705:AI1705,"D")+COUNTIF(E1705:AI1705,"E")+COUNTIF(E1705:AI1705,"F")+COUNTIF(E1705:AI1705,"M")+COUNTIF(E1705:AI1705,"AB")+COUNTIF(E1705:AI1705,"UZ")+COUNTIF(E1705:AI1705,"G")+(COUNTIF(E1705:AI1705,"RT.")/2)+(COUNTIF(E1705:AI1705,"ÇRT.")/2)</f>
      </c>
      <c r="AO1705" s="1">
        <f>=COUNTIF(E1705:AI1705,"O")</f>
      </c>
      <c r="AP1705" s="1">
        <f>=COUNTIF(E1705:AI1705,"RT")+(COUNTIF(E1705:AI1705,"RT.")/2)</f>
      </c>
      <c r="AQ1705" s="1">
        <f>=COUNTIF(E1705:AI1705,"ÇRT")+(COUNTIF(E1705:AI1705,"ÇRT.")/2)</f>
      </c>
      <c r="AR1705" s="1">
        <f>=COUNTIF(E1705:AI1705,"ÇHT")</f>
      </c>
      <c r="AS1705" s="1">
        <f>=COUNTIF(E1705:AI1705,"Ö")+COUNTIF(E1705:AI1705,"T")</f>
      </c>
      <c r="AT1705" s="1">
        <f>=COUNTIF(E1705:AI1705,"Y")</f>
      </c>
      <c r="AU1705" s="1">
        <f>=COUNTIF(E1705:AI1705,"R.")</f>
      </c>
      <c r="AV1705" s="1">
        <f>=COUNTIF(E1705:AI1705,"Ü")</f>
      </c>
      <c r="AW1705" s="1">
        <f>=COUNTIF(E1705:AI1705,"R")</f>
      </c>
      <c r="AX1705" s="1">
        <f>=COUNTIF(E1705:AI1705,"DV")</f>
      </c>
      <c r="AY1705" s="1">
        <f>=+AN1705+AO1705+AP1705+AQ1705+AR1705+AS1705+AT1705+AU1705</f>
      </c>
    </row>
    <row r="1706" ht="16" customHeight="1" spans="1:51" x14ac:dyDescent="0.25">
      <c r="A1706" s="45"/>
      <c r="B1706" s="46"/>
      <c r="C1706" s="46"/>
      <c r="D1706" s="46" t="s">
        <v>33</v>
      </c>
      <c r="E1706" s="46"/>
      <c r="F1706" s="46"/>
      <c r="G1706" s="46"/>
      <c r="H1706" s="46"/>
      <c r="I1706" s="46"/>
      <c r="J1706" s="46"/>
      <c r="K1706" s="46"/>
      <c r="L1706" s="46"/>
      <c r="M1706" s="46"/>
      <c r="N1706" s="46"/>
      <c r="O1706" s="46"/>
      <c r="P1706" s="46"/>
      <c r="Q1706" s="46"/>
      <c r="R1706" s="46"/>
      <c r="S1706" s="46"/>
      <c r="T1706" s="46"/>
      <c r="U1706" s="46"/>
      <c r="V1706" s="46"/>
      <c r="W1706" s="46"/>
      <c r="X1706" s="46"/>
      <c r="Y1706" s="46"/>
      <c r="Z1706" s="46"/>
      <c r="AA1706" s="46"/>
      <c r="AB1706" s="46"/>
      <c r="AC1706" s="46"/>
      <c r="AD1706" s="46"/>
      <c r="AE1706" s="46"/>
      <c r="AF1706" s="46"/>
      <c r="AG1706" s="46"/>
      <c r="AH1706" s="46"/>
      <c r="AI1706" s="46"/>
      <c r="AJ1706" s="46"/>
      <c r="AK1706" s="46"/>
      <c r="AL1706" s="46"/>
      <c r="AM1706" s="1"/>
      <c r="AN1706" s="1"/>
      <c r="AO1706" s="1"/>
      <c r="AP1706" s="1"/>
      <c r="AQ1706" s="1"/>
      <c r="AR1706" s="1"/>
      <c r="AS1706" s="1"/>
      <c r="AT1706" s="1"/>
      <c r="AU1706" s="1"/>
      <c r="AV1706" s="1"/>
      <c r="AW1706" s="1"/>
      <c r="AX1706" s="1"/>
      <c r="AY1706" s="1"/>
    </row>
    <row r="1707" ht="16" customHeight="1" spans="1:51" x14ac:dyDescent="0.25">
      <c r="A1707" s="45"/>
      <c r="B1707" s="46" t="s">
        <v>1758</v>
      </c>
      <c r="C1707" s="46" t="s">
        <v>1759</v>
      </c>
      <c r="D1707" s="46" t="s">
        <v>29</v>
      </c>
      <c r="E1707" s="46" t="s">
        <v>36</v>
      </c>
      <c r="F1707" s="46" t="s">
        <v>37</v>
      </c>
      <c r="G1707" s="46" t="s">
        <v>36</v>
      </c>
      <c r="H1707" s="46" t="s">
        <v>36</v>
      </c>
      <c r="I1707" s="46" t="s">
        <v>36</v>
      </c>
      <c r="J1707" s="46" t="s">
        <v>36</v>
      </c>
      <c r="K1707" s="46" t="s">
        <v>36</v>
      </c>
      <c r="L1707" s="46" t="s">
        <v>36</v>
      </c>
      <c r="M1707" s="46" t="s">
        <v>37</v>
      </c>
      <c r="N1707" s="46" t="s">
        <v>36</v>
      </c>
      <c r="O1707" s="46" t="s">
        <v>36</v>
      </c>
      <c r="P1707" s="46" t="s">
        <v>36</v>
      </c>
      <c r="Q1707" s="46" t="s">
        <v>36</v>
      </c>
      <c r="R1707" s="46" t="s">
        <v>36</v>
      </c>
      <c r="S1707" s="46" t="s">
        <v>36</v>
      </c>
      <c r="T1707" s="46" t="s">
        <v>37</v>
      </c>
      <c r="U1707" s="46" t="s">
        <v>36</v>
      </c>
      <c r="V1707" s="46" t="s">
        <v>36</v>
      </c>
      <c r="W1707" s="46" t="s">
        <v>36</v>
      </c>
      <c r="X1707" s="46" t="s">
        <v>36</v>
      </c>
      <c r="Y1707" s="46" t="s">
        <v>36</v>
      </c>
      <c r="Z1707" s="46" t="s">
        <v>36</v>
      </c>
      <c r="AA1707" s="46" t="s">
        <v>37</v>
      </c>
      <c r="AB1707" s="46" t="s">
        <v>36</v>
      </c>
      <c r="AC1707" s="46" t="s">
        <v>36</v>
      </c>
      <c r="AD1707" s="46" t="s">
        <v>36</v>
      </c>
      <c r="AE1707" s="46" t="s">
        <v>36</v>
      </c>
      <c r="AF1707" s="46" t="s">
        <v>36</v>
      </c>
      <c r="AG1707" s="46" t="s">
        <v>36</v>
      </c>
      <c r="AH1707" s="46" t="s">
        <v>37</v>
      </c>
      <c r="AI1707" s="46" t="s">
        <v>36</v>
      </c>
      <c r="AJ1707" s="46">
        <f>=SUM(E1708:AI1708)</f>
      </c>
      <c r="AK1707" s="46">
        <f>=+AY1707</f>
      </c>
      <c r="AL1707" s="46"/>
      <c r="AM1707" s="1"/>
      <c r="AN1707" s="1">
        <f>=COUNTIF(E1707:AI1707,"A")+COUNTIF(E1707:AI1707,"B")+COUNTIF(E1707:AI1707,"C")+COUNTIF(E1707:AI1707,"D")+COUNTIF(E1707:AI1707,"E")+COUNTIF(E1707:AI1707,"F")+COUNTIF(E1707:AI1707,"M")+COUNTIF(E1707:AI1707,"AB")+COUNTIF(E1707:AI1707,"UZ")+COUNTIF(E1707:AI1707,"G")+(COUNTIF(E1707:AI1707,"RT.")/2)+(COUNTIF(E1707:AI1707,"ÇRT.")/2)</f>
      </c>
      <c r="AO1707" s="1">
        <f>=COUNTIF(E1707:AI1707,"O")</f>
      </c>
      <c r="AP1707" s="1">
        <f>=COUNTIF(E1707:AI1707,"RT")+(COUNTIF(E1707:AI1707,"RT.")/2)</f>
      </c>
      <c r="AQ1707" s="1">
        <f>=COUNTIF(E1707:AI1707,"ÇRT")+(COUNTIF(E1707:AI1707,"ÇRT.")/2)</f>
      </c>
      <c r="AR1707" s="1">
        <f>=COUNTIF(E1707:AI1707,"ÇHT")</f>
      </c>
      <c r="AS1707" s="1">
        <f>=COUNTIF(E1707:AI1707,"Ö")+COUNTIF(E1707:AI1707,"T")</f>
      </c>
      <c r="AT1707" s="1">
        <f>=COUNTIF(E1707:AI1707,"Y")</f>
      </c>
      <c r="AU1707" s="1">
        <f>=COUNTIF(E1707:AI1707,"R.")</f>
      </c>
      <c r="AV1707" s="1">
        <f>=COUNTIF(E1707:AI1707,"Ü")</f>
      </c>
      <c r="AW1707" s="1">
        <f>=COUNTIF(E1707:AI1707,"R")</f>
      </c>
      <c r="AX1707" s="1">
        <f>=COUNTIF(E1707:AI1707,"DV")</f>
      </c>
      <c r="AY1707" s="1">
        <f>=+AN1707+AO1707+AP1707+AQ1707+AR1707+AS1707+AT1707+AU1707</f>
      </c>
    </row>
    <row r="1708" ht="16" customHeight="1" spans="1:51" x14ac:dyDescent="0.25">
      <c r="A1708" s="45"/>
      <c r="B1708" s="46"/>
      <c r="C1708" s="46"/>
      <c r="D1708" s="46" t="s">
        <v>33</v>
      </c>
      <c r="E1708" s="46"/>
      <c r="F1708" s="46"/>
      <c r="G1708" s="46"/>
      <c r="H1708" s="46"/>
      <c r="I1708" s="46"/>
      <c r="J1708" s="46"/>
      <c r="K1708" s="46"/>
      <c r="L1708" s="46"/>
      <c r="M1708" s="46"/>
      <c r="N1708" s="46"/>
      <c r="O1708" s="46"/>
      <c r="P1708" s="46"/>
      <c r="Q1708" s="46"/>
      <c r="R1708" s="46"/>
      <c r="S1708" s="46"/>
      <c r="T1708" s="46"/>
      <c r="U1708" s="46"/>
      <c r="V1708" s="46"/>
      <c r="W1708" s="46"/>
      <c r="X1708" s="46"/>
      <c r="Y1708" s="46"/>
      <c r="Z1708" s="46"/>
      <c r="AA1708" s="46"/>
      <c r="AB1708" s="46"/>
      <c r="AC1708" s="46"/>
      <c r="AD1708" s="46"/>
      <c r="AE1708" s="46"/>
      <c r="AF1708" s="46"/>
      <c r="AG1708" s="46"/>
      <c r="AH1708" s="46"/>
      <c r="AI1708" s="46"/>
      <c r="AJ1708" s="46"/>
      <c r="AK1708" s="46"/>
      <c r="AL1708" s="46"/>
      <c r="AM1708" s="1"/>
      <c r="AN1708" s="1"/>
      <c r="AO1708" s="1"/>
      <c r="AP1708" s="1"/>
      <c r="AQ1708" s="1"/>
      <c r="AR1708" s="1"/>
      <c r="AS1708" s="1"/>
      <c r="AT1708" s="1"/>
      <c r="AU1708" s="1"/>
      <c r="AV1708" s="1"/>
      <c r="AW1708" s="1"/>
      <c r="AX1708" s="1"/>
      <c r="AY1708" s="1"/>
    </row>
    <row r="1709" ht="16" customHeight="1" spans="1:51" x14ac:dyDescent="0.25">
      <c r="A1709" s="45"/>
      <c r="B1709" s="46" t="s">
        <v>1760</v>
      </c>
      <c r="C1709" s="46" t="s">
        <v>1761</v>
      </c>
      <c r="D1709" s="46" t="s">
        <v>29</v>
      </c>
      <c r="E1709" s="46" t="s">
        <v>42</v>
      </c>
      <c r="F1709" s="46" t="s">
        <v>42</v>
      </c>
      <c r="G1709" s="46" t="s">
        <v>42</v>
      </c>
      <c r="H1709" s="46" t="s">
        <v>42</v>
      </c>
      <c r="I1709" s="46" t="s">
        <v>46</v>
      </c>
      <c r="J1709" s="46" t="s">
        <v>37</v>
      </c>
      <c r="K1709" s="46" t="s">
        <v>42</v>
      </c>
      <c r="L1709" s="46" t="s">
        <v>31</v>
      </c>
      <c r="M1709" s="46" t="s">
        <v>42</v>
      </c>
      <c r="N1709" s="46" t="s">
        <v>42</v>
      </c>
      <c r="O1709" s="46" t="s">
        <v>42</v>
      </c>
      <c r="P1709" s="46" t="s">
        <v>42</v>
      </c>
      <c r="Q1709" s="46" t="s">
        <v>37</v>
      </c>
      <c r="R1709" s="46" t="s">
        <v>42</v>
      </c>
      <c r="S1709" s="46" t="s">
        <v>42</v>
      </c>
      <c r="T1709" s="46" t="s">
        <v>42</v>
      </c>
      <c r="U1709" s="46" t="s">
        <v>42</v>
      </c>
      <c r="V1709" s="46" t="s">
        <v>42</v>
      </c>
      <c r="W1709" s="46" t="s">
        <v>42</v>
      </c>
      <c r="X1709" s="46" t="s">
        <v>37</v>
      </c>
      <c r="Y1709" s="46" t="s">
        <v>42</v>
      </c>
      <c r="Z1709" s="46" t="s">
        <v>42</v>
      </c>
      <c r="AA1709" s="46" t="s">
        <v>42</v>
      </c>
      <c r="AB1709" s="46" t="s">
        <v>42</v>
      </c>
      <c r="AC1709" s="46" t="s">
        <v>42</v>
      </c>
      <c r="AD1709" s="46" t="s">
        <v>42</v>
      </c>
      <c r="AE1709" s="46" t="s">
        <v>42</v>
      </c>
      <c r="AF1709" s="46" t="s">
        <v>42</v>
      </c>
      <c r="AG1709" s="46" t="s">
        <v>37</v>
      </c>
      <c r="AH1709" s="46" t="s">
        <v>43</v>
      </c>
      <c r="AI1709" s="46" t="s">
        <v>42</v>
      </c>
      <c r="AJ1709" s="46">
        <f>=SUM(E1710:AI1710)</f>
      </c>
      <c r="AK1709" s="46">
        <f>=+AY1709</f>
      </c>
      <c r="AL1709" s="46"/>
      <c r="AM1709" s="1"/>
      <c r="AN1709" s="1">
        <f>=COUNTIF(E1709:AI1709,"A")+COUNTIF(E1709:AI1709,"B")+COUNTIF(E1709:AI1709,"C")+COUNTIF(E1709:AI1709,"D")+COUNTIF(E1709:AI1709,"E")+COUNTIF(E1709:AI1709,"F")+COUNTIF(E1709:AI1709,"M")+COUNTIF(E1709:AI1709,"AB")+COUNTIF(E1709:AI1709,"UZ")+COUNTIF(E1709:AI1709,"G")+(COUNTIF(E1709:AI1709,"RT.")/2)+(COUNTIF(E1709:AI1709,"ÇRT.")/2)</f>
      </c>
      <c r="AO1709" s="1">
        <f>=COUNTIF(E1709:AI1709,"O")</f>
      </c>
      <c r="AP1709" s="1">
        <f>=COUNTIF(E1709:AI1709,"RT")+(COUNTIF(E1709:AI1709,"RT.")/2)</f>
      </c>
      <c r="AQ1709" s="1">
        <f>=COUNTIF(E1709:AI1709,"ÇRT")+(COUNTIF(E1709:AI1709,"ÇRT.")/2)</f>
      </c>
      <c r="AR1709" s="1">
        <f>=COUNTIF(E1709:AI1709,"ÇHT")</f>
      </c>
      <c r="AS1709" s="1">
        <f>=COUNTIF(E1709:AI1709,"Ö")+COUNTIF(E1709:AI1709,"T")</f>
      </c>
      <c r="AT1709" s="1">
        <f>=COUNTIF(E1709:AI1709,"Y")</f>
      </c>
      <c r="AU1709" s="1">
        <f>=COUNTIF(E1709:AI1709,"R.")</f>
      </c>
      <c r="AV1709" s="1">
        <f>=COUNTIF(E1709:AI1709,"Ü")</f>
      </c>
      <c r="AW1709" s="1">
        <f>=COUNTIF(E1709:AI1709,"R")</f>
      </c>
      <c r="AX1709" s="1">
        <f>=COUNTIF(E1709:AI1709,"DV")</f>
      </c>
      <c r="AY1709" s="1">
        <f>=+AN1709+AO1709+AP1709+AQ1709+AR1709+AS1709+AT1709+AU1709</f>
      </c>
    </row>
    <row r="1710" ht="16" customHeight="1" spans="1:51" x14ac:dyDescent="0.25">
      <c r="A1710" s="45"/>
      <c r="B1710" s="46"/>
      <c r="C1710" s="46"/>
      <c r="D1710" s="46" t="s">
        <v>33</v>
      </c>
      <c r="E1710" s="46"/>
      <c r="F1710" s="46"/>
      <c r="G1710" s="46"/>
      <c r="H1710" s="46"/>
      <c r="I1710" s="46"/>
      <c r="J1710" s="46"/>
      <c r="K1710" s="46"/>
      <c r="L1710" s="46"/>
      <c r="M1710" s="46"/>
      <c r="N1710" s="46"/>
      <c r="O1710" s="46"/>
      <c r="P1710" s="46"/>
      <c r="Q1710" s="46"/>
      <c r="R1710" s="46"/>
      <c r="S1710" s="46"/>
      <c r="T1710" s="46"/>
      <c r="U1710" s="46"/>
      <c r="V1710" s="46"/>
      <c r="W1710" s="46"/>
      <c r="X1710" s="46"/>
      <c r="Y1710" s="46"/>
      <c r="Z1710" s="46"/>
      <c r="AA1710" s="46"/>
      <c r="AB1710" s="46"/>
      <c r="AC1710" s="46"/>
      <c r="AD1710" s="46"/>
      <c r="AE1710" s="46"/>
      <c r="AF1710" s="46"/>
      <c r="AG1710" s="46"/>
      <c r="AH1710" s="46"/>
      <c r="AI1710" s="46"/>
      <c r="AJ1710" s="46"/>
      <c r="AK1710" s="46"/>
      <c r="AL1710" s="46"/>
      <c r="AM1710" s="1"/>
      <c r="AN1710" s="1"/>
      <c r="AO1710" s="1"/>
      <c r="AP1710" s="1"/>
      <c r="AQ1710" s="1"/>
      <c r="AR1710" s="1"/>
      <c r="AS1710" s="1"/>
      <c r="AT1710" s="1"/>
      <c r="AU1710" s="1"/>
      <c r="AV1710" s="1"/>
      <c r="AW1710" s="1"/>
      <c r="AX1710" s="1"/>
      <c r="AY1710" s="1"/>
    </row>
    <row r="1711" ht="16" customHeight="1" spans="1:51" x14ac:dyDescent="0.25">
      <c r="A1711" s="45"/>
      <c r="B1711" s="46" t="s">
        <v>1762</v>
      </c>
      <c r="C1711" s="46" t="s">
        <v>1763</v>
      </c>
      <c r="D1711" s="46" t="s">
        <v>29</v>
      </c>
      <c r="E1711" s="46" t="s">
        <v>42</v>
      </c>
      <c r="F1711" s="46" t="s">
        <v>42</v>
      </c>
      <c r="G1711" s="46" t="s">
        <v>42</v>
      </c>
      <c r="H1711" s="46" t="s">
        <v>42</v>
      </c>
      <c r="I1711" s="46" t="s">
        <v>42</v>
      </c>
      <c r="J1711" s="46" t="s">
        <v>42</v>
      </c>
      <c r="K1711" s="46" t="s">
        <v>37</v>
      </c>
      <c r="L1711" s="46" t="s">
        <v>42</v>
      </c>
      <c r="M1711" s="46" t="s">
        <v>42</v>
      </c>
      <c r="N1711" s="46" t="s">
        <v>42</v>
      </c>
      <c r="O1711" s="46" t="s">
        <v>42</v>
      </c>
      <c r="P1711" s="46" t="s">
        <v>42</v>
      </c>
      <c r="Q1711" s="46" t="s">
        <v>42</v>
      </c>
      <c r="R1711" s="46" t="s">
        <v>37</v>
      </c>
      <c r="S1711" s="46" t="s">
        <v>42</v>
      </c>
      <c r="T1711" s="46" t="s">
        <v>42</v>
      </c>
      <c r="U1711" s="46" t="s">
        <v>42</v>
      </c>
      <c r="V1711" s="46" t="s">
        <v>42</v>
      </c>
      <c r="W1711" s="46" t="s">
        <v>42</v>
      </c>
      <c r="X1711" s="46" t="s">
        <v>42</v>
      </c>
      <c r="Y1711" s="46" t="s">
        <v>37</v>
      </c>
      <c r="Z1711" s="46" t="s">
        <v>42</v>
      </c>
      <c r="AA1711" s="46" t="s">
        <v>42</v>
      </c>
      <c r="AB1711" s="46" t="s">
        <v>42</v>
      </c>
      <c r="AC1711" s="46" t="s">
        <v>42</v>
      </c>
      <c r="AD1711" s="46" t="s">
        <v>42</v>
      </c>
      <c r="AE1711" s="46" t="s">
        <v>42</v>
      </c>
      <c r="AF1711" s="46" t="s">
        <v>37</v>
      </c>
      <c r="AG1711" s="46" t="s">
        <v>42</v>
      </c>
      <c r="AH1711" s="46" t="s">
        <v>43</v>
      </c>
      <c r="AI1711" s="46" t="s">
        <v>173</v>
      </c>
      <c r="AJ1711" s="46">
        <f>=SUM(E1712:AI1712)</f>
      </c>
      <c r="AK1711" s="46">
        <f>=+AY1711</f>
      </c>
      <c r="AL1711" s="46"/>
      <c r="AM1711" s="1"/>
      <c r="AN1711" s="1">
        <f>=COUNTIF(E1711:AI1711,"A")+COUNTIF(E1711:AI1711,"B")+COUNTIF(E1711:AI1711,"C")+COUNTIF(E1711:AI1711,"D")+COUNTIF(E1711:AI1711,"E")+COUNTIF(E1711:AI1711,"F")+COUNTIF(E1711:AI1711,"M")+COUNTIF(E1711:AI1711,"AB")+COUNTIF(E1711:AI1711,"UZ")+COUNTIF(E1711:AI1711,"G")+(COUNTIF(E1711:AI1711,"RT.")/2)+(COUNTIF(E1711:AI1711,"ÇRT.")/2)</f>
      </c>
      <c r="AO1711" s="1">
        <f>=COUNTIF(E1711:AI1711,"O")</f>
      </c>
      <c r="AP1711" s="1">
        <f>=COUNTIF(E1711:AI1711,"RT")+(COUNTIF(E1711:AI1711,"RT.")/2)</f>
      </c>
      <c r="AQ1711" s="1">
        <f>=COUNTIF(E1711:AI1711,"ÇRT")+(COUNTIF(E1711:AI1711,"ÇRT.")/2)</f>
      </c>
      <c r="AR1711" s="1">
        <f>=COUNTIF(E1711:AI1711,"ÇHT")</f>
      </c>
      <c r="AS1711" s="1">
        <f>=COUNTIF(E1711:AI1711,"Ö")+COUNTIF(E1711:AI1711,"T")</f>
      </c>
      <c r="AT1711" s="1">
        <f>=COUNTIF(E1711:AI1711,"Y")</f>
      </c>
      <c r="AU1711" s="1">
        <f>=COUNTIF(E1711:AI1711,"R.")</f>
      </c>
      <c r="AV1711" s="1">
        <f>=COUNTIF(E1711:AI1711,"Ü")</f>
      </c>
      <c r="AW1711" s="1">
        <f>=COUNTIF(E1711:AI1711,"R")</f>
      </c>
      <c r="AX1711" s="1">
        <f>=COUNTIF(E1711:AI1711,"DV")</f>
      </c>
      <c r="AY1711" s="1">
        <f>=+AN1711+AO1711+AP1711+AQ1711+AR1711+AS1711+AT1711+AU1711</f>
      </c>
    </row>
    <row r="1712" ht="16" customHeight="1" spans="1:51" x14ac:dyDescent="0.25">
      <c r="A1712" s="45"/>
      <c r="B1712" s="46"/>
      <c r="C1712" s="46"/>
      <c r="D1712" s="46" t="s">
        <v>33</v>
      </c>
      <c r="E1712" s="46">
        <v>2</v>
      </c>
      <c r="F1712" s="46"/>
      <c r="G1712" s="46"/>
      <c r="H1712" s="46">
        <v>2</v>
      </c>
      <c r="I1712" s="46">
        <v>3</v>
      </c>
      <c r="J1712" s="46">
        <v>2</v>
      </c>
      <c r="K1712" s="46"/>
      <c r="L1712" s="46">
        <v>2</v>
      </c>
      <c r="M1712" s="46">
        <v>2</v>
      </c>
      <c r="N1712" s="46">
        <v>2</v>
      </c>
      <c r="O1712" s="46">
        <v>2</v>
      </c>
      <c r="P1712" s="46"/>
      <c r="Q1712" s="46">
        <v>2</v>
      </c>
      <c r="R1712" s="46"/>
      <c r="S1712" s="46"/>
      <c r="T1712" s="46"/>
      <c r="U1712" s="46"/>
      <c r="V1712" s="46">
        <v>2</v>
      </c>
      <c r="W1712" s="46"/>
      <c r="X1712" s="46"/>
      <c r="Y1712" s="46"/>
      <c r="Z1712" s="46"/>
      <c r="AA1712" s="46"/>
      <c r="AB1712" s="46"/>
      <c r="AC1712" s="46"/>
      <c r="AD1712" s="46"/>
      <c r="AE1712" s="46"/>
      <c r="AF1712" s="46"/>
      <c r="AG1712" s="46"/>
      <c r="AH1712" s="46"/>
      <c r="AI1712" s="46"/>
      <c r="AJ1712" s="46"/>
      <c r="AK1712" s="46"/>
      <c r="AL1712" s="46"/>
      <c r="AM1712" s="1"/>
      <c r="AN1712" s="1"/>
      <c r="AO1712" s="1"/>
      <c r="AP1712" s="1"/>
      <c r="AQ1712" s="1"/>
      <c r="AR1712" s="1"/>
      <c r="AS1712" s="1"/>
      <c r="AT1712" s="1"/>
      <c r="AU1712" s="1"/>
      <c r="AV1712" s="1"/>
      <c r="AW1712" s="1"/>
      <c r="AX1712" s="1"/>
      <c r="AY1712" s="1"/>
    </row>
    <row r="1713" ht="16" customHeight="1" spans="1:51" x14ac:dyDescent="0.25">
      <c r="A1713" s="45"/>
      <c r="B1713" s="46" t="s">
        <v>1764</v>
      </c>
      <c r="C1713" s="46" t="s">
        <v>1765</v>
      </c>
      <c r="D1713" s="46" t="s">
        <v>29</v>
      </c>
      <c r="E1713" s="46" t="s">
        <v>59</v>
      </c>
      <c r="F1713" s="46" t="s">
        <v>1348</v>
      </c>
      <c r="G1713" s="46" t="s">
        <v>1348</v>
      </c>
      <c r="H1713" s="46" t="s">
        <v>59</v>
      </c>
      <c r="I1713" s="46" t="s">
        <v>37</v>
      </c>
      <c r="J1713" s="46" t="s">
        <v>38</v>
      </c>
      <c r="K1713" s="46" t="s">
        <v>38</v>
      </c>
      <c r="L1713" s="46" t="s">
        <v>38</v>
      </c>
      <c r="M1713" s="46"/>
      <c r="N1713" s="46"/>
      <c r="O1713" s="46"/>
      <c r="P1713" s="46"/>
      <c r="Q1713" s="46"/>
      <c r="R1713" s="46"/>
      <c r="S1713" s="46"/>
      <c r="T1713" s="46"/>
      <c r="U1713" s="46"/>
      <c r="V1713" s="46"/>
      <c r="W1713" s="46"/>
      <c r="X1713" s="46"/>
      <c r="Y1713" s="46"/>
      <c r="Z1713" s="46"/>
      <c r="AA1713" s="46"/>
      <c r="AB1713" s="46"/>
      <c r="AC1713" s="46"/>
      <c r="AD1713" s="46"/>
      <c r="AE1713" s="46"/>
      <c r="AF1713" s="46"/>
      <c r="AG1713" s="46"/>
      <c r="AH1713" s="46"/>
      <c r="AI1713" s="46"/>
      <c r="AJ1713" s="46">
        <f>=SUM(E1714:AI1714)</f>
      </c>
      <c r="AK1713" s="46">
        <f>=+AY1713</f>
      </c>
      <c r="AL1713" s="46"/>
      <c r="AM1713" s="1"/>
      <c r="AN1713" s="1">
        <f>=COUNTIF(E1713:AI1713,"A")+COUNTIF(E1713:AI1713,"B")+COUNTIF(E1713:AI1713,"C")+COUNTIF(E1713:AI1713,"D")+COUNTIF(E1713:AI1713,"E")+COUNTIF(E1713:AI1713,"F")+COUNTIF(E1713:AI1713,"M")+COUNTIF(E1713:AI1713,"AB")+COUNTIF(E1713:AI1713,"UZ")+COUNTIF(E1713:AI1713,"G")+(COUNTIF(E1713:AI1713,"RT.")/2)+(COUNTIF(E1713:AI1713,"ÇRT.")/2)</f>
      </c>
      <c r="AO1713" s="1">
        <f>=COUNTIF(E1713:AI1713,"O")</f>
      </c>
      <c r="AP1713" s="1">
        <f>=COUNTIF(E1713:AI1713,"RT")+(COUNTIF(E1713:AI1713,"RT.")/2)</f>
      </c>
      <c r="AQ1713" s="1">
        <f>=COUNTIF(E1713:AI1713,"ÇRT")+(COUNTIF(E1713:AI1713,"ÇRT.")/2)</f>
      </c>
      <c r="AR1713" s="1">
        <f>=COUNTIF(E1713:AI1713,"ÇHT")</f>
      </c>
      <c r="AS1713" s="1">
        <f>=COUNTIF(E1713:AI1713,"Ö")+COUNTIF(E1713:AI1713,"T")</f>
      </c>
      <c r="AT1713" s="1">
        <f>=COUNTIF(E1713:AI1713,"Y")</f>
      </c>
      <c r="AU1713" s="1">
        <f>=COUNTIF(E1713:AI1713,"R.")</f>
      </c>
      <c r="AV1713" s="1">
        <f>=COUNTIF(E1713:AI1713,"Ü")</f>
      </c>
      <c r="AW1713" s="1">
        <f>=COUNTIF(E1713:AI1713,"R")</f>
      </c>
      <c r="AX1713" s="1">
        <f>=COUNTIF(E1713:AI1713,"DV")</f>
      </c>
      <c r="AY1713" s="1">
        <f>=+AN1713+AO1713+AP1713+AQ1713+AR1713+AS1713+AT1713+AU1713</f>
      </c>
    </row>
    <row r="1714" ht="16" customHeight="1" spans="1:51" x14ac:dyDescent="0.25">
      <c r="A1714" s="45"/>
      <c r="B1714" s="46"/>
      <c r="C1714" s="46"/>
      <c r="D1714" s="46" t="s">
        <v>33</v>
      </c>
      <c r="E1714" s="46"/>
      <c r="F1714" s="46"/>
      <c r="G1714" s="46"/>
      <c r="H1714" s="46"/>
      <c r="I1714" s="46"/>
      <c r="J1714" s="46"/>
      <c r="K1714" s="46"/>
      <c r="L1714" s="46"/>
      <c r="M1714" s="46"/>
      <c r="N1714" s="46"/>
      <c r="O1714" s="46"/>
      <c r="P1714" s="46"/>
      <c r="Q1714" s="46"/>
      <c r="R1714" s="46"/>
      <c r="S1714" s="46"/>
      <c r="T1714" s="46"/>
      <c r="U1714" s="46"/>
      <c r="V1714" s="46"/>
      <c r="W1714" s="46"/>
      <c r="X1714" s="46"/>
      <c r="Y1714" s="46"/>
      <c r="Z1714" s="46"/>
      <c r="AA1714" s="46"/>
      <c r="AB1714" s="46"/>
      <c r="AC1714" s="46"/>
      <c r="AD1714" s="46"/>
      <c r="AE1714" s="46"/>
      <c r="AF1714" s="46"/>
      <c r="AG1714" s="46"/>
      <c r="AH1714" s="46"/>
      <c r="AI1714" s="46"/>
      <c r="AJ1714" s="46"/>
      <c r="AK1714" s="46"/>
      <c r="AL1714" s="46"/>
      <c r="AM1714" s="1"/>
      <c r="AN1714" s="1"/>
      <c r="AO1714" s="1"/>
      <c r="AP1714" s="1"/>
      <c r="AQ1714" s="1"/>
      <c r="AR1714" s="1"/>
      <c r="AS1714" s="1"/>
      <c r="AT1714" s="1"/>
      <c r="AU1714" s="1"/>
      <c r="AV1714" s="1"/>
      <c r="AW1714" s="1"/>
      <c r="AX1714" s="1"/>
      <c r="AY1714" s="1"/>
    </row>
    <row r="1715" ht="16" customHeight="1" spans="1:51" x14ac:dyDescent="0.25">
      <c r="A1715" s="45"/>
      <c r="B1715" s="46" t="s">
        <v>1766</v>
      </c>
      <c r="C1715" s="46" t="s">
        <v>1767</v>
      </c>
      <c r="D1715" s="46" t="s">
        <v>29</v>
      </c>
      <c r="E1715" s="46" t="s">
        <v>1348</v>
      </c>
      <c r="F1715" s="46" t="s">
        <v>1348</v>
      </c>
      <c r="G1715" s="46" t="s">
        <v>37</v>
      </c>
      <c r="H1715" s="46" t="s">
        <v>59</v>
      </c>
      <c r="I1715" s="46" t="s">
        <v>59</v>
      </c>
      <c r="J1715" s="46" t="s">
        <v>59</v>
      </c>
      <c r="K1715" s="46" t="s">
        <v>31</v>
      </c>
      <c r="L1715" s="46" t="s">
        <v>59</v>
      </c>
      <c r="M1715" s="46" t="s">
        <v>59</v>
      </c>
      <c r="N1715" s="46" t="s">
        <v>37</v>
      </c>
      <c r="O1715" s="46" t="s">
        <v>59</v>
      </c>
      <c r="P1715" s="46" t="s">
        <v>59</v>
      </c>
      <c r="Q1715" s="46" t="s">
        <v>59</v>
      </c>
      <c r="R1715" s="46" t="s">
        <v>153</v>
      </c>
      <c r="S1715" s="46" t="s">
        <v>59</v>
      </c>
      <c r="T1715" s="46" t="s">
        <v>59</v>
      </c>
      <c r="U1715" s="46" t="s">
        <v>37</v>
      </c>
      <c r="V1715" s="46" t="s">
        <v>1348</v>
      </c>
      <c r="W1715" s="46" t="s">
        <v>1348</v>
      </c>
      <c r="X1715" s="46" t="s">
        <v>1348</v>
      </c>
      <c r="Y1715" s="46" t="s">
        <v>1348</v>
      </c>
      <c r="Z1715" s="46" t="s">
        <v>1348</v>
      </c>
      <c r="AA1715" s="46" t="s">
        <v>1348</v>
      </c>
      <c r="AB1715" s="46" t="s">
        <v>37</v>
      </c>
      <c r="AC1715" s="46" t="s">
        <v>59</v>
      </c>
      <c r="AD1715" s="46" t="s">
        <v>59</v>
      </c>
      <c r="AE1715" s="46" t="s">
        <v>59</v>
      </c>
      <c r="AF1715" s="46" t="s">
        <v>59</v>
      </c>
      <c r="AG1715" s="46" t="s">
        <v>59</v>
      </c>
      <c r="AH1715" s="46" t="s">
        <v>43</v>
      </c>
      <c r="AI1715" s="46" t="s">
        <v>1348</v>
      </c>
      <c r="AJ1715" s="46">
        <f>=SUM(E1716:AI1716)</f>
      </c>
      <c r="AK1715" s="46">
        <f>=+AY1715</f>
      </c>
      <c r="AL1715" s="46"/>
      <c r="AM1715" s="1"/>
      <c r="AN1715" s="1">
        <f>=COUNTIF(E1715:AI1715,"A")+COUNTIF(E1715:AI1715,"B")+COUNTIF(E1715:AI1715,"C")+COUNTIF(E1715:AI1715,"D")+COUNTIF(E1715:AI1715,"E")+COUNTIF(E1715:AI1715,"F")+COUNTIF(E1715:AI1715,"M")+COUNTIF(E1715:AI1715,"AB")+COUNTIF(E1715:AI1715,"UZ")+COUNTIF(E1715:AI1715,"G")+(COUNTIF(E1715:AI1715,"RT.")/2)+(COUNTIF(E1715:AI1715,"ÇRT.")/2)</f>
      </c>
      <c r="AO1715" s="1">
        <f>=COUNTIF(E1715:AI1715,"O")</f>
      </c>
      <c r="AP1715" s="1">
        <f>=COUNTIF(E1715:AI1715,"RT")+(COUNTIF(E1715:AI1715,"RT.")/2)</f>
      </c>
      <c r="AQ1715" s="1">
        <f>=COUNTIF(E1715:AI1715,"ÇRT")+(COUNTIF(E1715:AI1715,"ÇRT.")/2)</f>
      </c>
      <c r="AR1715" s="1">
        <f>=COUNTIF(E1715:AI1715,"ÇHT")</f>
      </c>
      <c r="AS1715" s="1">
        <f>=COUNTIF(E1715:AI1715,"Ö")+COUNTIF(E1715:AI1715,"T")</f>
      </c>
      <c r="AT1715" s="1">
        <f>=COUNTIF(E1715:AI1715,"Y")</f>
      </c>
      <c r="AU1715" s="1">
        <f>=COUNTIF(E1715:AI1715,"R.")</f>
      </c>
      <c r="AV1715" s="1">
        <f>=COUNTIF(E1715:AI1715,"Ü")</f>
      </c>
      <c r="AW1715" s="1">
        <f>=COUNTIF(E1715:AI1715,"R")</f>
      </c>
      <c r="AX1715" s="1">
        <f>=COUNTIF(E1715:AI1715,"DV")</f>
      </c>
      <c r="AY1715" s="1">
        <f>=+AN1715+AO1715+AP1715+AQ1715+AR1715+AS1715+AT1715+AU1715</f>
      </c>
    </row>
    <row r="1716" ht="16" customHeight="1" spans="1:51" x14ac:dyDescent="0.25">
      <c r="A1716" s="45"/>
      <c r="B1716" s="46"/>
      <c r="C1716" s="46"/>
      <c r="D1716" s="46" t="s">
        <v>33</v>
      </c>
      <c r="E1716" s="46"/>
      <c r="F1716" s="46"/>
      <c r="G1716" s="46"/>
      <c r="H1716" s="46"/>
      <c r="I1716" s="46"/>
      <c r="J1716" s="46"/>
      <c r="K1716" s="46"/>
      <c r="L1716" s="46"/>
      <c r="M1716" s="46"/>
      <c r="N1716" s="46"/>
      <c r="O1716" s="46"/>
      <c r="P1716" s="46"/>
      <c r="Q1716" s="46"/>
      <c r="R1716" s="46"/>
      <c r="S1716" s="46"/>
      <c r="T1716" s="46"/>
      <c r="U1716" s="46"/>
      <c r="V1716" s="46"/>
      <c r="W1716" s="46"/>
      <c r="X1716" s="46"/>
      <c r="Y1716" s="46"/>
      <c r="Z1716" s="46"/>
      <c r="AA1716" s="46"/>
      <c r="AB1716" s="46"/>
      <c r="AC1716" s="46"/>
      <c r="AD1716" s="46"/>
      <c r="AE1716" s="46"/>
      <c r="AF1716" s="46"/>
      <c r="AG1716" s="46"/>
      <c r="AH1716" s="46"/>
      <c r="AI1716" s="46"/>
      <c r="AJ1716" s="46"/>
      <c r="AK1716" s="46"/>
      <c r="AL1716" s="46"/>
      <c r="AM1716" s="1"/>
      <c r="AN1716" s="1"/>
      <c r="AO1716" s="1"/>
      <c r="AP1716" s="1"/>
      <c r="AQ1716" s="1"/>
      <c r="AR1716" s="1"/>
      <c r="AS1716" s="1"/>
      <c r="AT1716" s="1"/>
      <c r="AU1716" s="1"/>
      <c r="AV1716" s="1"/>
      <c r="AW1716" s="1"/>
      <c r="AX1716" s="1"/>
      <c r="AY1716" s="1"/>
    </row>
    <row r="1717" ht="16" customHeight="1" spans="1:51" x14ac:dyDescent="0.25">
      <c r="A1717" s="45"/>
      <c r="B1717" s="46" t="s">
        <v>1768</v>
      </c>
      <c r="C1717" s="46" t="s">
        <v>1769</v>
      </c>
      <c r="D1717" s="46" t="s">
        <v>29</v>
      </c>
      <c r="E1717" s="46" t="s">
        <v>59</v>
      </c>
      <c r="F1717" s="46" t="s">
        <v>59</v>
      </c>
      <c r="G1717" s="46" t="s">
        <v>59</v>
      </c>
      <c r="H1717" s="46" t="s">
        <v>59</v>
      </c>
      <c r="I1717" s="46" t="s">
        <v>59</v>
      </c>
      <c r="J1717" s="46" t="s">
        <v>37</v>
      </c>
      <c r="K1717" s="46" t="s">
        <v>59</v>
      </c>
      <c r="L1717" s="46" t="s">
        <v>59</v>
      </c>
      <c r="M1717" s="46" t="s">
        <v>59</v>
      </c>
      <c r="N1717" s="46" t="s">
        <v>59</v>
      </c>
      <c r="O1717" s="46" t="s">
        <v>59</v>
      </c>
      <c r="P1717" s="46" t="s">
        <v>1348</v>
      </c>
      <c r="Q1717" s="46" t="s">
        <v>37</v>
      </c>
      <c r="R1717" s="46" t="s">
        <v>59</v>
      </c>
      <c r="S1717" s="46" t="s">
        <v>59</v>
      </c>
      <c r="T1717" s="46" t="s">
        <v>59</v>
      </c>
      <c r="U1717" s="46" t="s">
        <v>59</v>
      </c>
      <c r="V1717" s="46" t="s">
        <v>59</v>
      </c>
      <c r="W1717" s="46" t="s">
        <v>59</v>
      </c>
      <c r="X1717" s="46" t="s">
        <v>59</v>
      </c>
      <c r="Y1717" s="46" t="s">
        <v>59</v>
      </c>
      <c r="Z1717" s="46" t="s">
        <v>37</v>
      </c>
      <c r="AA1717" s="46" t="s">
        <v>59</v>
      </c>
      <c r="AB1717" s="46" t="s">
        <v>59</v>
      </c>
      <c r="AC1717" s="46" t="s">
        <v>59</v>
      </c>
      <c r="AD1717" s="46" t="s">
        <v>37</v>
      </c>
      <c r="AE1717" s="46" t="s">
        <v>59</v>
      </c>
      <c r="AF1717" s="46" t="s">
        <v>59</v>
      </c>
      <c r="AG1717" s="46" t="s">
        <v>59</v>
      </c>
      <c r="AH1717" s="46" t="s">
        <v>43</v>
      </c>
      <c r="AI1717" s="46" t="s">
        <v>59</v>
      </c>
      <c r="AJ1717" s="46">
        <f>=SUM(E1718:AI1718)</f>
      </c>
      <c r="AK1717" s="46">
        <f>=+AY1717</f>
      </c>
      <c r="AL1717" s="46"/>
      <c r="AM1717" s="1"/>
      <c r="AN1717" s="1">
        <f>=COUNTIF(E1717:AI1717,"A")+COUNTIF(E1717:AI1717,"B")+COUNTIF(E1717:AI1717,"C")+COUNTIF(E1717:AI1717,"D")+COUNTIF(E1717:AI1717,"E")+COUNTIF(E1717:AI1717,"F")+COUNTIF(E1717:AI1717,"M")+COUNTIF(E1717:AI1717,"AB")+COUNTIF(E1717:AI1717,"UZ")+COUNTIF(E1717:AI1717,"G")+(COUNTIF(E1717:AI1717,"RT.")/2)+(COUNTIF(E1717:AI1717,"ÇRT.")/2)</f>
      </c>
      <c r="AO1717" s="1">
        <f>=COUNTIF(E1717:AI1717,"O")</f>
      </c>
      <c r="AP1717" s="1">
        <f>=COUNTIF(E1717:AI1717,"RT")+(COUNTIF(E1717:AI1717,"RT.")/2)</f>
      </c>
      <c r="AQ1717" s="1">
        <f>=COUNTIF(E1717:AI1717,"ÇRT")+(COUNTIF(E1717:AI1717,"ÇRT.")/2)</f>
      </c>
      <c r="AR1717" s="1">
        <f>=COUNTIF(E1717:AI1717,"ÇHT")</f>
      </c>
      <c r="AS1717" s="1">
        <f>=COUNTIF(E1717:AI1717,"Ö")+COUNTIF(E1717:AI1717,"T")</f>
      </c>
      <c r="AT1717" s="1">
        <f>=COUNTIF(E1717:AI1717,"Y")</f>
      </c>
      <c r="AU1717" s="1">
        <f>=COUNTIF(E1717:AI1717,"R.")</f>
      </c>
      <c r="AV1717" s="1">
        <f>=COUNTIF(E1717:AI1717,"Ü")</f>
      </c>
      <c r="AW1717" s="1">
        <f>=COUNTIF(E1717:AI1717,"R")</f>
      </c>
      <c r="AX1717" s="1">
        <f>=COUNTIF(E1717:AI1717,"DV")</f>
      </c>
      <c r="AY1717" s="1">
        <f>=+AN1717+AO1717+AP1717+AQ1717+AR1717+AS1717+AT1717+AU1717</f>
      </c>
    </row>
    <row r="1718" ht="16" customHeight="1" spans="1:51" x14ac:dyDescent="0.25">
      <c r="A1718" s="45"/>
      <c r="B1718" s="46"/>
      <c r="C1718" s="46"/>
      <c r="D1718" s="46" t="s">
        <v>33</v>
      </c>
      <c r="E1718" s="46"/>
      <c r="F1718" s="46"/>
      <c r="G1718" s="46"/>
      <c r="H1718" s="46"/>
      <c r="I1718" s="46"/>
      <c r="J1718" s="46"/>
      <c r="K1718" s="46">
        <v>2</v>
      </c>
      <c r="L1718" s="46"/>
      <c r="M1718" s="46"/>
      <c r="N1718" s="46"/>
      <c r="O1718" s="46"/>
      <c r="P1718" s="46"/>
      <c r="Q1718" s="46"/>
      <c r="R1718" s="46"/>
      <c r="S1718" s="46"/>
      <c r="T1718" s="46"/>
      <c r="U1718" s="46"/>
      <c r="V1718" s="46"/>
      <c r="W1718" s="46">
        <v>2</v>
      </c>
      <c r="X1718" s="46"/>
      <c r="Y1718" s="46"/>
      <c r="Z1718" s="46"/>
      <c r="AA1718" s="46"/>
      <c r="AB1718" s="46"/>
      <c r="AC1718" s="46"/>
      <c r="AD1718" s="46"/>
      <c r="AE1718" s="46"/>
      <c r="AF1718" s="46"/>
      <c r="AG1718" s="46"/>
      <c r="AH1718" s="46"/>
      <c r="AI1718" s="46"/>
      <c r="AJ1718" s="46"/>
      <c r="AK1718" s="46"/>
      <c r="AL1718" s="46"/>
      <c r="AM1718" s="1"/>
      <c r="AN1718" s="1"/>
      <c r="AO1718" s="1"/>
      <c r="AP1718" s="1"/>
      <c r="AQ1718" s="1"/>
      <c r="AR1718" s="1"/>
      <c r="AS1718" s="1"/>
      <c r="AT1718" s="1"/>
      <c r="AU1718" s="1"/>
      <c r="AV1718" s="1"/>
      <c r="AW1718" s="1"/>
      <c r="AX1718" s="1"/>
      <c r="AY1718" s="1"/>
    </row>
    <row r="1719" ht="16" customHeight="1" spans="1:51" x14ac:dyDescent="0.25">
      <c r="A1719" s="45"/>
      <c r="B1719" s="46" t="s">
        <v>1770</v>
      </c>
      <c r="C1719" s="46" t="s">
        <v>1771</v>
      </c>
      <c r="D1719" s="46" t="s">
        <v>29</v>
      </c>
      <c r="E1719" s="46" t="s">
        <v>59</v>
      </c>
      <c r="F1719" s="46" t="s">
        <v>59</v>
      </c>
      <c r="G1719" s="46" t="s">
        <v>59</v>
      </c>
      <c r="H1719" s="46" t="s">
        <v>59</v>
      </c>
      <c r="I1719" s="46" t="s">
        <v>59</v>
      </c>
      <c r="J1719" s="46" t="s">
        <v>37</v>
      </c>
      <c r="K1719" s="46" t="s">
        <v>59</v>
      </c>
      <c r="L1719" s="46" t="s">
        <v>59</v>
      </c>
      <c r="M1719" s="46" t="s">
        <v>59</v>
      </c>
      <c r="N1719" s="46" t="s">
        <v>59</v>
      </c>
      <c r="O1719" s="46" t="s">
        <v>59</v>
      </c>
      <c r="P1719" s="46" t="s">
        <v>37</v>
      </c>
      <c r="Q1719" s="46" t="s">
        <v>59</v>
      </c>
      <c r="R1719" s="46" t="s">
        <v>59</v>
      </c>
      <c r="S1719" s="46" t="s">
        <v>59</v>
      </c>
      <c r="T1719" s="46" t="s">
        <v>59</v>
      </c>
      <c r="U1719" s="46" t="s">
        <v>59</v>
      </c>
      <c r="V1719" s="46" t="s">
        <v>59</v>
      </c>
      <c r="W1719" s="46" t="s">
        <v>37</v>
      </c>
      <c r="X1719" s="46" t="s">
        <v>59</v>
      </c>
      <c r="Y1719" s="46" t="s">
        <v>59</v>
      </c>
      <c r="Z1719" s="46" t="s">
        <v>59</v>
      </c>
      <c r="AA1719" s="46" t="s">
        <v>59</v>
      </c>
      <c r="AB1719" s="46" t="s">
        <v>59</v>
      </c>
      <c r="AC1719" s="46" t="s">
        <v>59</v>
      </c>
      <c r="AD1719" s="46" t="s">
        <v>37</v>
      </c>
      <c r="AE1719" s="46" t="s">
        <v>59</v>
      </c>
      <c r="AF1719" s="46" t="s">
        <v>59</v>
      </c>
      <c r="AG1719" s="46" t="s">
        <v>59</v>
      </c>
      <c r="AH1719" s="46" t="s">
        <v>43</v>
      </c>
      <c r="AI1719" s="46" t="s">
        <v>59</v>
      </c>
      <c r="AJ1719" s="46">
        <f>=SUM(E1720:AI1720)</f>
      </c>
      <c r="AK1719" s="46">
        <f>=+AY1719</f>
      </c>
      <c r="AL1719" s="46"/>
      <c r="AM1719" s="1"/>
      <c r="AN1719" s="1">
        <f>=COUNTIF(E1719:AI1719,"A")+COUNTIF(E1719:AI1719,"B")+COUNTIF(E1719:AI1719,"C")+COUNTIF(E1719:AI1719,"D")+COUNTIF(E1719:AI1719,"E")+COUNTIF(E1719:AI1719,"F")+COUNTIF(E1719:AI1719,"M")+COUNTIF(E1719:AI1719,"AB")+COUNTIF(E1719:AI1719,"UZ")+COUNTIF(E1719:AI1719,"G")+(COUNTIF(E1719:AI1719,"RT.")/2)+(COUNTIF(E1719:AI1719,"ÇRT.")/2)</f>
      </c>
      <c r="AO1719" s="1">
        <f>=COUNTIF(E1719:AI1719,"O")</f>
      </c>
      <c r="AP1719" s="1">
        <f>=COUNTIF(E1719:AI1719,"RT")+(COUNTIF(E1719:AI1719,"RT.")/2)</f>
      </c>
      <c r="AQ1719" s="1">
        <f>=COUNTIF(E1719:AI1719,"ÇRT")+(COUNTIF(E1719:AI1719,"ÇRT.")/2)</f>
      </c>
      <c r="AR1719" s="1">
        <f>=COUNTIF(E1719:AI1719,"ÇHT")</f>
      </c>
      <c r="AS1719" s="1">
        <f>=COUNTIF(E1719:AI1719,"Ö")+COUNTIF(E1719:AI1719,"T")</f>
      </c>
      <c r="AT1719" s="1">
        <f>=COUNTIF(E1719:AI1719,"Y")</f>
      </c>
      <c r="AU1719" s="1">
        <f>=COUNTIF(E1719:AI1719,"R.")</f>
      </c>
      <c r="AV1719" s="1">
        <f>=COUNTIF(E1719:AI1719,"Ü")</f>
      </c>
      <c r="AW1719" s="1">
        <f>=COUNTIF(E1719:AI1719,"R")</f>
      </c>
      <c r="AX1719" s="1">
        <f>=COUNTIF(E1719:AI1719,"DV")</f>
      </c>
      <c r="AY1719" s="1">
        <f>=+AN1719+AO1719+AP1719+AQ1719+AR1719+AS1719+AT1719+AU1719</f>
      </c>
    </row>
    <row r="1720" ht="16" customHeight="1" spans="1:51" x14ac:dyDescent="0.25">
      <c r="A1720" s="45"/>
      <c r="B1720" s="46"/>
      <c r="C1720" s="46"/>
      <c r="D1720" s="46" t="s">
        <v>33</v>
      </c>
      <c r="E1720" s="46"/>
      <c r="F1720" s="46"/>
      <c r="G1720" s="46"/>
      <c r="H1720" s="46"/>
      <c r="I1720" s="46"/>
      <c r="J1720" s="46"/>
      <c r="K1720" s="46"/>
      <c r="L1720" s="46"/>
      <c r="M1720" s="46"/>
      <c r="N1720" s="46"/>
      <c r="O1720" s="46"/>
      <c r="P1720" s="46"/>
      <c r="Q1720" s="46">
        <v>3</v>
      </c>
      <c r="R1720" s="46"/>
      <c r="S1720" s="46"/>
      <c r="T1720" s="46"/>
      <c r="U1720" s="46"/>
      <c r="V1720" s="46"/>
      <c r="W1720" s="46"/>
      <c r="X1720" s="46"/>
      <c r="Y1720" s="46"/>
      <c r="Z1720" s="46"/>
      <c r="AA1720" s="46"/>
      <c r="AB1720" s="46"/>
      <c r="AC1720" s="46"/>
      <c r="AD1720" s="46"/>
      <c r="AE1720" s="46"/>
      <c r="AF1720" s="46"/>
      <c r="AG1720" s="46"/>
      <c r="AH1720" s="46"/>
      <c r="AI1720" s="46"/>
      <c r="AJ1720" s="46"/>
      <c r="AK1720" s="46"/>
      <c r="AL1720" s="46"/>
      <c r="AM1720" s="1"/>
      <c r="AN1720" s="1"/>
      <c r="AO1720" s="1"/>
      <c r="AP1720" s="1"/>
      <c r="AQ1720" s="1"/>
      <c r="AR1720" s="1"/>
      <c r="AS1720" s="1"/>
      <c r="AT1720" s="1"/>
      <c r="AU1720" s="1"/>
      <c r="AV1720" s="1"/>
      <c r="AW1720" s="1"/>
      <c r="AX1720" s="1"/>
      <c r="AY1720" s="1"/>
    </row>
    <row r="1721" ht="16" customHeight="1" spans="1:51" x14ac:dyDescent="0.25">
      <c r="A1721" s="45"/>
      <c r="B1721" s="46" t="s">
        <v>1772</v>
      </c>
      <c r="C1721" s="46" t="s">
        <v>1773</v>
      </c>
      <c r="D1721" s="46" t="s">
        <v>29</v>
      </c>
      <c r="E1721" s="46" t="s">
        <v>36</v>
      </c>
      <c r="F1721" s="46" t="s">
        <v>36</v>
      </c>
      <c r="G1721" s="46" t="s">
        <v>37</v>
      </c>
      <c r="H1721" s="46" t="s">
        <v>36</v>
      </c>
      <c r="I1721" s="46" t="s">
        <v>36</v>
      </c>
      <c r="J1721" s="46" t="s">
        <v>36</v>
      </c>
      <c r="K1721" s="46" t="s">
        <v>36</v>
      </c>
      <c r="L1721" s="46" t="s">
        <v>36</v>
      </c>
      <c r="M1721" s="46" t="s">
        <v>153</v>
      </c>
      <c r="N1721" s="46" t="s">
        <v>37</v>
      </c>
      <c r="O1721" s="46" t="s">
        <v>36</v>
      </c>
      <c r="P1721" s="46" t="s">
        <v>36</v>
      </c>
      <c r="Q1721" s="46" t="s">
        <v>36</v>
      </c>
      <c r="R1721" s="46" t="s">
        <v>36</v>
      </c>
      <c r="S1721" s="46" t="s">
        <v>36</v>
      </c>
      <c r="T1721" s="46" t="s">
        <v>36</v>
      </c>
      <c r="U1721" s="46" t="s">
        <v>37</v>
      </c>
      <c r="V1721" s="46" t="s">
        <v>36</v>
      </c>
      <c r="W1721" s="46" t="s">
        <v>36</v>
      </c>
      <c r="X1721" s="46" t="s">
        <v>36</v>
      </c>
      <c r="Y1721" s="46" t="s">
        <v>36</v>
      </c>
      <c r="Z1721" s="46" t="s">
        <v>36</v>
      </c>
      <c r="AA1721" s="46" t="s">
        <v>36</v>
      </c>
      <c r="AB1721" s="46" t="s">
        <v>37</v>
      </c>
      <c r="AC1721" s="46" t="s">
        <v>36</v>
      </c>
      <c r="AD1721" s="46" t="s">
        <v>36</v>
      </c>
      <c r="AE1721" s="46" t="s">
        <v>36</v>
      </c>
      <c r="AF1721" s="46" t="s">
        <v>36</v>
      </c>
      <c r="AG1721" s="46" t="s">
        <v>31</v>
      </c>
      <c r="AH1721" s="46" t="s">
        <v>31</v>
      </c>
      <c r="AI1721" s="46" t="s">
        <v>37</v>
      </c>
      <c r="AJ1721" s="46">
        <f>=SUM(E1722:AI1722)</f>
      </c>
      <c r="AK1721" s="46">
        <f>=+AY1721</f>
      </c>
      <c r="AL1721" s="46"/>
      <c r="AM1721" s="1"/>
      <c r="AN1721" s="1">
        <f>=COUNTIF(E1721:AI1721,"A")+COUNTIF(E1721:AI1721,"B")+COUNTIF(E1721:AI1721,"C")+COUNTIF(E1721:AI1721,"D")+COUNTIF(E1721:AI1721,"E")+COUNTIF(E1721:AI1721,"F")+COUNTIF(E1721:AI1721,"M")+COUNTIF(E1721:AI1721,"AB")+COUNTIF(E1721:AI1721,"UZ")+COUNTIF(E1721:AI1721,"G")+(COUNTIF(E1721:AI1721,"RT.")/2)+(COUNTIF(E1721:AI1721,"ÇRT.")/2)</f>
      </c>
      <c r="AO1721" s="1">
        <f>=COUNTIF(E1721:AI1721,"O")</f>
      </c>
      <c r="AP1721" s="1">
        <f>=COUNTIF(E1721:AI1721,"RT")+(COUNTIF(E1721:AI1721,"RT.")/2)</f>
      </c>
      <c r="AQ1721" s="1">
        <f>=COUNTIF(E1721:AI1721,"ÇRT")+(COUNTIF(E1721:AI1721,"ÇRT.")/2)</f>
      </c>
      <c r="AR1721" s="1">
        <f>=COUNTIF(E1721:AI1721,"ÇHT")</f>
      </c>
      <c r="AS1721" s="1">
        <f>=COUNTIF(E1721:AI1721,"Ö")+COUNTIF(E1721:AI1721,"T")</f>
      </c>
      <c r="AT1721" s="1">
        <f>=COUNTIF(E1721:AI1721,"Y")</f>
      </c>
      <c r="AU1721" s="1">
        <f>=COUNTIF(E1721:AI1721,"R.")</f>
      </c>
      <c r="AV1721" s="1">
        <f>=COUNTIF(E1721:AI1721,"Ü")</f>
      </c>
      <c r="AW1721" s="1">
        <f>=COUNTIF(E1721:AI1721,"R")</f>
      </c>
      <c r="AX1721" s="1">
        <f>=COUNTIF(E1721:AI1721,"DV")</f>
      </c>
      <c r="AY1721" s="1">
        <f>=+AN1721+AO1721+AP1721+AQ1721+AR1721+AS1721+AT1721+AU1721</f>
      </c>
    </row>
    <row r="1722" ht="16" customHeight="1" spans="1:51" x14ac:dyDescent="0.25">
      <c r="A1722" s="45"/>
      <c r="B1722" s="46"/>
      <c r="C1722" s="46"/>
      <c r="D1722" s="46" t="s">
        <v>33</v>
      </c>
      <c r="E1722" s="46"/>
      <c r="F1722" s="46"/>
      <c r="G1722" s="46"/>
      <c r="H1722" s="46"/>
      <c r="I1722" s="46"/>
      <c r="J1722" s="46"/>
      <c r="K1722" s="46"/>
      <c r="L1722" s="46"/>
      <c r="M1722" s="46"/>
      <c r="N1722" s="46"/>
      <c r="O1722" s="46"/>
      <c r="P1722" s="46">
        <v>2</v>
      </c>
      <c r="Q1722" s="46"/>
      <c r="R1722" s="46"/>
      <c r="S1722" s="46"/>
      <c r="T1722" s="46"/>
      <c r="U1722" s="46"/>
      <c r="V1722" s="46"/>
      <c r="W1722" s="46"/>
      <c r="X1722" s="46"/>
      <c r="Y1722" s="46"/>
      <c r="Z1722" s="46"/>
      <c r="AA1722" s="46"/>
      <c r="AB1722" s="46"/>
      <c r="AC1722" s="46"/>
      <c r="AD1722" s="46"/>
      <c r="AE1722" s="46"/>
      <c r="AF1722" s="46"/>
      <c r="AG1722" s="46"/>
      <c r="AH1722" s="46"/>
      <c r="AI1722" s="46"/>
      <c r="AJ1722" s="46"/>
      <c r="AK1722" s="46"/>
      <c r="AL1722" s="46"/>
      <c r="AM1722" s="1"/>
      <c r="AN1722" s="1"/>
      <c r="AO1722" s="1"/>
      <c r="AP1722" s="1"/>
      <c r="AQ1722" s="1"/>
      <c r="AR1722" s="1"/>
      <c r="AS1722" s="1"/>
      <c r="AT1722" s="1"/>
      <c r="AU1722" s="1"/>
      <c r="AV1722" s="1"/>
      <c r="AW1722" s="1"/>
      <c r="AX1722" s="1"/>
      <c r="AY1722" s="1"/>
    </row>
    <row r="1723" ht="16" customHeight="1" spans="1:51" x14ac:dyDescent="0.25">
      <c r="A1723" s="45"/>
      <c r="B1723" s="46" t="s">
        <v>1774</v>
      </c>
      <c r="C1723" s="46" t="s">
        <v>1775</v>
      </c>
      <c r="D1723" s="46" t="s">
        <v>29</v>
      </c>
      <c r="E1723" s="46"/>
      <c r="F1723" s="46"/>
      <c r="G1723" s="46"/>
      <c r="H1723" s="46"/>
      <c r="I1723" s="46"/>
      <c r="J1723" s="46"/>
      <c r="K1723" s="46"/>
      <c r="L1723" s="46"/>
      <c r="M1723" s="46"/>
      <c r="N1723" s="46"/>
      <c r="O1723" s="46"/>
      <c r="P1723" s="46"/>
      <c r="Q1723" s="46"/>
      <c r="R1723" s="46"/>
      <c r="S1723" s="46"/>
      <c r="T1723" s="46"/>
      <c r="U1723" s="46"/>
      <c r="V1723" s="46"/>
      <c r="W1723" s="46"/>
      <c r="X1723" s="46"/>
      <c r="Y1723" s="46"/>
      <c r="Z1723" s="46"/>
      <c r="AA1723" s="46"/>
      <c r="AB1723" s="46"/>
      <c r="AC1723" s="46" t="s">
        <v>36</v>
      </c>
      <c r="AD1723" s="46" t="s">
        <v>59</v>
      </c>
      <c r="AE1723" s="46" t="s">
        <v>59</v>
      </c>
      <c r="AF1723" s="46" t="s">
        <v>59</v>
      </c>
      <c r="AG1723" s="46" t="s">
        <v>59</v>
      </c>
      <c r="AH1723" s="46" t="s">
        <v>43</v>
      </c>
      <c r="AI1723" s="46" t="s">
        <v>59</v>
      </c>
      <c r="AJ1723" s="46">
        <f>=SUM(E1724:AI1724)</f>
      </c>
      <c r="AK1723" s="46">
        <f>=+AY1723</f>
      </c>
      <c r="AL1723" s="46"/>
      <c r="AM1723" s="1"/>
      <c r="AN1723" s="1">
        <f>=COUNTIF(E1723:AI1723,"A")+COUNTIF(E1723:AI1723,"B")+COUNTIF(E1723:AI1723,"C")+COUNTIF(E1723:AI1723,"D")+COUNTIF(E1723:AI1723,"E")+COUNTIF(E1723:AI1723,"F")+COUNTIF(E1723:AI1723,"M")+COUNTIF(E1723:AI1723,"AB")+COUNTIF(E1723:AI1723,"UZ")+COUNTIF(E1723:AI1723,"G")+(COUNTIF(E1723:AI1723,"RT.")/2)+(COUNTIF(E1723:AI1723,"ÇRT.")/2)</f>
      </c>
      <c r="AO1723" s="1">
        <f>=COUNTIF(E1723:AI1723,"O")</f>
      </c>
      <c r="AP1723" s="1">
        <f>=COUNTIF(E1723:AI1723,"RT")+(COUNTIF(E1723:AI1723,"RT.")/2)</f>
      </c>
      <c r="AQ1723" s="1">
        <f>=COUNTIF(E1723:AI1723,"ÇRT")+(COUNTIF(E1723:AI1723,"ÇRT.")/2)</f>
      </c>
      <c r="AR1723" s="1">
        <f>=COUNTIF(E1723:AI1723,"ÇHT")</f>
      </c>
      <c r="AS1723" s="1">
        <f>=COUNTIF(E1723:AI1723,"Ö")+COUNTIF(E1723:AI1723,"T")</f>
      </c>
      <c r="AT1723" s="1">
        <f>=COUNTIF(E1723:AI1723,"Y")</f>
      </c>
      <c r="AU1723" s="1">
        <f>=COUNTIF(E1723:AI1723,"R.")</f>
      </c>
      <c r="AV1723" s="1">
        <f>=COUNTIF(E1723:AI1723,"Ü")</f>
      </c>
      <c r="AW1723" s="1">
        <f>=COUNTIF(E1723:AI1723,"R")</f>
      </c>
      <c r="AX1723" s="1">
        <f>=COUNTIF(E1723:AI1723,"DV")</f>
      </c>
      <c r="AY1723" s="1">
        <f>=+AN1723+AO1723+AP1723+AQ1723+AR1723+AS1723+AT1723+AU1723</f>
      </c>
    </row>
    <row r="1724" ht="16" customHeight="1" spans="1:51" x14ac:dyDescent="0.25">
      <c r="A1724" s="45"/>
      <c r="B1724" s="46"/>
      <c r="C1724" s="46"/>
      <c r="D1724" s="46" t="s">
        <v>33</v>
      </c>
      <c r="E1724" s="46"/>
      <c r="F1724" s="46"/>
      <c r="G1724" s="46"/>
      <c r="H1724" s="46"/>
      <c r="I1724" s="46"/>
      <c r="J1724" s="46"/>
      <c r="K1724" s="46"/>
      <c r="L1724" s="46"/>
      <c r="M1724" s="46"/>
      <c r="N1724" s="46"/>
      <c r="O1724" s="46"/>
      <c r="P1724" s="46"/>
      <c r="Q1724" s="46"/>
      <c r="R1724" s="46"/>
      <c r="S1724" s="46"/>
      <c r="T1724" s="46"/>
      <c r="U1724" s="46"/>
      <c r="V1724" s="46"/>
      <c r="W1724" s="46"/>
      <c r="X1724" s="46"/>
      <c r="Y1724" s="46"/>
      <c r="Z1724" s="46"/>
      <c r="AA1724" s="46"/>
      <c r="AB1724" s="46"/>
      <c r="AC1724" s="46"/>
      <c r="AD1724" s="46"/>
      <c r="AE1724" s="46"/>
      <c r="AF1724" s="46"/>
      <c r="AG1724" s="46"/>
      <c r="AH1724" s="46"/>
      <c r="AI1724" s="46"/>
      <c r="AJ1724" s="46"/>
      <c r="AK1724" s="46"/>
      <c r="AL1724" s="46"/>
      <c r="AM1724" s="1"/>
      <c r="AN1724" s="1"/>
      <c r="AO1724" s="1"/>
      <c r="AP1724" s="1"/>
      <c r="AQ1724" s="1"/>
      <c r="AR1724" s="1"/>
      <c r="AS1724" s="1"/>
      <c r="AT1724" s="1"/>
      <c r="AU1724" s="1"/>
      <c r="AV1724" s="1"/>
      <c r="AW1724" s="1"/>
      <c r="AX1724" s="1"/>
      <c r="AY1724" s="1"/>
    </row>
    <row r="1725" ht="16" customHeight="1" spans="1:51" x14ac:dyDescent="0.25">
      <c r="A1725" s="45"/>
      <c r="B1725" s="46" t="s">
        <v>1776</v>
      </c>
      <c r="C1725" s="46" t="s">
        <v>1777</v>
      </c>
      <c r="D1725" s="46" t="s">
        <v>29</v>
      </c>
      <c r="E1725" s="46" t="s">
        <v>59</v>
      </c>
      <c r="F1725" s="46" t="s">
        <v>59</v>
      </c>
      <c r="G1725" s="46" t="s">
        <v>1348</v>
      </c>
      <c r="H1725" s="46" t="s">
        <v>1348</v>
      </c>
      <c r="I1725" s="46" t="s">
        <v>1348</v>
      </c>
      <c r="J1725" s="46" t="s">
        <v>1348</v>
      </c>
      <c r="K1725" s="46" t="s">
        <v>37</v>
      </c>
      <c r="L1725" s="46" t="s">
        <v>1348</v>
      </c>
      <c r="M1725" s="46" t="s">
        <v>1348</v>
      </c>
      <c r="N1725" s="46" t="s">
        <v>1348</v>
      </c>
      <c r="O1725" s="46" t="s">
        <v>1348</v>
      </c>
      <c r="P1725" s="46" t="s">
        <v>1348</v>
      </c>
      <c r="Q1725" s="46" t="s">
        <v>1348</v>
      </c>
      <c r="R1725" s="46" t="s">
        <v>37</v>
      </c>
      <c r="S1725" s="46" t="s">
        <v>1348</v>
      </c>
      <c r="T1725" s="46" t="s">
        <v>1348</v>
      </c>
      <c r="U1725" s="46" t="s">
        <v>59</v>
      </c>
      <c r="V1725" s="46" t="s">
        <v>59</v>
      </c>
      <c r="W1725" s="46" t="s">
        <v>59</v>
      </c>
      <c r="X1725" s="46" t="s">
        <v>59</v>
      </c>
      <c r="Y1725" s="46" t="s">
        <v>37</v>
      </c>
      <c r="Z1725" s="46" t="s">
        <v>59</v>
      </c>
      <c r="AA1725" s="46" t="s">
        <v>59</v>
      </c>
      <c r="AB1725" s="46" t="s">
        <v>59</v>
      </c>
      <c r="AC1725" s="46" t="s">
        <v>59</v>
      </c>
      <c r="AD1725" s="46" t="s">
        <v>59</v>
      </c>
      <c r="AE1725" s="46" t="s">
        <v>1348</v>
      </c>
      <c r="AF1725" s="46" t="s">
        <v>37</v>
      </c>
      <c r="AG1725" s="46" t="s">
        <v>59</v>
      </c>
      <c r="AH1725" s="46" t="s">
        <v>43</v>
      </c>
      <c r="AI1725" s="46" t="s">
        <v>1348</v>
      </c>
      <c r="AJ1725" s="46">
        <f>=SUM(E1726:AI1726)</f>
      </c>
      <c r="AK1725" s="46">
        <f>=+AY1725</f>
      </c>
      <c r="AL1725" s="46"/>
      <c r="AM1725" s="1"/>
      <c r="AN1725" s="1">
        <f>=COUNTIF(E1725:AI1725,"A")+COUNTIF(E1725:AI1725,"B")+COUNTIF(E1725:AI1725,"C")+COUNTIF(E1725:AI1725,"D")+COUNTIF(E1725:AI1725,"E")+COUNTIF(E1725:AI1725,"F")+COUNTIF(E1725:AI1725,"M")+COUNTIF(E1725:AI1725,"AB")+COUNTIF(E1725:AI1725,"UZ")+COUNTIF(E1725:AI1725,"G")+(COUNTIF(E1725:AI1725,"RT.")/2)+(COUNTIF(E1725:AI1725,"ÇRT.")/2)</f>
      </c>
      <c r="AO1725" s="1">
        <f>=COUNTIF(E1725:AI1725,"O")</f>
      </c>
      <c r="AP1725" s="1">
        <f>=COUNTIF(E1725:AI1725,"RT")+(COUNTIF(E1725:AI1725,"RT.")/2)</f>
      </c>
      <c r="AQ1725" s="1">
        <f>=COUNTIF(E1725:AI1725,"ÇRT")+(COUNTIF(E1725:AI1725,"ÇRT.")/2)</f>
      </c>
      <c r="AR1725" s="1">
        <f>=COUNTIF(E1725:AI1725,"ÇHT")</f>
      </c>
      <c r="AS1725" s="1">
        <f>=COUNTIF(E1725:AI1725,"Ö")+COUNTIF(E1725:AI1725,"T")</f>
      </c>
      <c r="AT1725" s="1">
        <f>=COUNTIF(E1725:AI1725,"Y")</f>
      </c>
      <c r="AU1725" s="1">
        <f>=COUNTIF(E1725:AI1725,"R.")</f>
      </c>
      <c r="AV1725" s="1">
        <f>=COUNTIF(E1725:AI1725,"Ü")</f>
      </c>
      <c r="AW1725" s="1">
        <f>=COUNTIF(E1725:AI1725,"R")</f>
      </c>
      <c r="AX1725" s="1">
        <f>=COUNTIF(E1725:AI1725,"DV")</f>
      </c>
      <c r="AY1725" s="1">
        <f>=+AN1725+AO1725+AP1725+AQ1725+AR1725+AS1725+AT1725+AU1725</f>
      </c>
    </row>
    <row r="1726" ht="16" customHeight="1" spans="1:51" x14ac:dyDescent="0.25">
      <c r="A1726" s="45"/>
      <c r="B1726" s="46"/>
      <c r="C1726" s="46"/>
      <c r="D1726" s="46" t="s">
        <v>33</v>
      </c>
      <c r="E1726" s="46"/>
      <c r="F1726" s="46"/>
      <c r="G1726" s="46"/>
      <c r="H1726" s="46"/>
      <c r="I1726" s="46"/>
      <c r="J1726" s="46"/>
      <c r="K1726" s="46"/>
      <c r="L1726" s="46"/>
      <c r="M1726" s="46"/>
      <c r="N1726" s="46"/>
      <c r="O1726" s="46"/>
      <c r="P1726" s="46"/>
      <c r="Q1726" s="46"/>
      <c r="R1726" s="46"/>
      <c r="S1726" s="46"/>
      <c r="T1726" s="46"/>
      <c r="U1726" s="46"/>
      <c r="V1726" s="46"/>
      <c r="W1726" s="46"/>
      <c r="X1726" s="46"/>
      <c r="Y1726" s="46"/>
      <c r="Z1726" s="46"/>
      <c r="AA1726" s="46"/>
      <c r="AB1726" s="46"/>
      <c r="AC1726" s="46"/>
      <c r="AD1726" s="46"/>
      <c r="AE1726" s="46"/>
      <c r="AF1726" s="46"/>
      <c r="AG1726" s="46"/>
      <c r="AH1726" s="46"/>
      <c r="AI1726" s="46"/>
      <c r="AJ1726" s="46"/>
      <c r="AK1726" s="46"/>
      <c r="AL1726" s="46"/>
      <c r="AM1726" s="1"/>
      <c r="AN1726" s="1"/>
      <c r="AO1726" s="1"/>
      <c r="AP1726" s="1"/>
      <c r="AQ1726" s="1"/>
      <c r="AR1726" s="1"/>
      <c r="AS1726" s="1"/>
      <c r="AT1726" s="1"/>
      <c r="AU1726" s="1"/>
      <c r="AV1726" s="1"/>
      <c r="AW1726" s="1"/>
      <c r="AX1726" s="1"/>
      <c r="AY1726" s="1"/>
    </row>
    <row r="1727" ht="16" customHeight="1" spans="1:51" x14ac:dyDescent="0.25">
      <c r="A1727" s="45"/>
      <c r="B1727" s="46" t="s">
        <v>1778</v>
      </c>
      <c r="C1727" s="46" t="s">
        <v>1779</v>
      </c>
      <c r="D1727" s="46" t="s">
        <v>29</v>
      </c>
      <c r="E1727" s="46" t="s">
        <v>1348</v>
      </c>
      <c r="F1727" s="46" t="s">
        <v>1348</v>
      </c>
      <c r="G1727" s="46" t="s">
        <v>59</v>
      </c>
      <c r="H1727" s="46" t="s">
        <v>59</v>
      </c>
      <c r="I1727" s="46" t="s">
        <v>59</v>
      </c>
      <c r="J1727" s="46" t="s">
        <v>59</v>
      </c>
      <c r="K1727" s="46" t="s">
        <v>59</v>
      </c>
      <c r="L1727" s="46" t="s">
        <v>59</v>
      </c>
      <c r="M1727" s="46" t="s">
        <v>37</v>
      </c>
      <c r="N1727" s="46" t="s">
        <v>59</v>
      </c>
      <c r="O1727" s="46" t="s">
        <v>59</v>
      </c>
      <c r="P1727" s="46" t="s">
        <v>59</v>
      </c>
      <c r="Q1727" s="46" t="s">
        <v>59</v>
      </c>
      <c r="R1727" s="46" t="s">
        <v>1348</v>
      </c>
      <c r="S1727" s="46" t="s">
        <v>1348</v>
      </c>
      <c r="T1727" s="46" t="s">
        <v>37</v>
      </c>
      <c r="U1727" s="46" t="s">
        <v>37</v>
      </c>
      <c r="V1727" s="46" t="s">
        <v>1348</v>
      </c>
      <c r="W1727" s="46" t="s">
        <v>1348</v>
      </c>
      <c r="X1727" s="46" t="s">
        <v>1348</v>
      </c>
      <c r="Y1727" s="46" t="s">
        <v>1348</v>
      </c>
      <c r="Z1727" s="46" t="s">
        <v>1348</v>
      </c>
      <c r="AA1727" s="46" t="s">
        <v>1348</v>
      </c>
      <c r="AB1727" s="46" t="s">
        <v>59</v>
      </c>
      <c r="AC1727" s="46" t="s">
        <v>59</v>
      </c>
      <c r="AD1727" s="46" t="s">
        <v>59</v>
      </c>
      <c r="AE1727" s="46" t="s">
        <v>37</v>
      </c>
      <c r="AF1727" s="46" t="s">
        <v>59</v>
      </c>
      <c r="AG1727" s="46" t="s">
        <v>59</v>
      </c>
      <c r="AH1727" s="46" t="s">
        <v>43</v>
      </c>
      <c r="AI1727" s="46" t="s">
        <v>1348</v>
      </c>
      <c r="AJ1727" s="46">
        <f>=SUM(E1728:AI1728)</f>
      </c>
      <c r="AK1727" s="46">
        <f>=+AY1727</f>
      </c>
      <c r="AL1727" s="46"/>
      <c r="AM1727" s="1"/>
      <c r="AN1727" s="1">
        <f>=COUNTIF(E1727:AI1727,"A")+COUNTIF(E1727:AI1727,"B")+COUNTIF(E1727:AI1727,"C")+COUNTIF(E1727:AI1727,"D")+COUNTIF(E1727:AI1727,"E")+COUNTIF(E1727:AI1727,"F")+COUNTIF(E1727:AI1727,"M")+COUNTIF(E1727:AI1727,"AB")+COUNTIF(E1727:AI1727,"UZ")+COUNTIF(E1727:AI1727,"G")+(COUNTIF(E1727:AI1727,"RT.")/2)+(COUNTIF(E1727:AI1727,"ÇRT.")/2)</f>
      </c>
      <c r="AO1727" s="1">
        <f>=COUNTIF(E1727:AI1727,"O")</f>
      </c>
      <c r="AP1727" s="1">
        <f>=COUNTIF(E1727:AI1727,"RT")+(COUNTIF(E1727:AI1727,"RT.")/2)</f>
      </c>
      <c r="AQ1727" s="1">
        <f>=COUNTIF(E1727:AI1727,"ÇRT")+(COUNTIF(E1727:AI1727,"ÇRT.")/2)</f>
      </c>
      <c r="AR1727" s="1">
        <f>=COUNTIF(E1727:AI1727,"ÇHT")</f>
      </c>
      <c r="AS1727" s="1">
        <f>=COUNTIF(E1727:AI1727,"Ö")+COUNTIF(E1727:AI1727,"T")</f>
      </c>
      <c r="AT1727" s="1">
        <f>=COUNTIF(E1727:AI1727,"Y")</f>
      </c>
      <c r="AU1727" s="1">
        <f>=COUNTIF(E1727:AI1727,"R.")</f>
      </c>
      <c r="AV1727" s="1">
        <f>=COUNTIF(E1727:AI1727,"Ü")</f>
      </c>
      <c r="AW1727" s="1">
        <f>=COUNTIF(E1727:AI1727,"R")</f>
      </c>
      <c r="AX1727" s="1">
        <f>=COUNTIF(E1727:AI1727,"DV")</f>
      </c>
      <c r="AY1727" s="1">
        <f>=+AN1727+AO1727+AP1727+AQ1727+AR1727+AS1727+AT1727+AU1727</f>
      </c>
    </row>
    <row r="1728" ht="16" customHeight="1" spans="1:51" x14ac:dyDescent="0.25">
      <c r="A1728" s="45"/>
      <c r="B1728" s="46"/>
      <c r="C1728" s="46"/>
      <c r="D1728" s="46" t="s">
        <v>33</v>
      </c>
      <c r="E1728" s="46"/>
      <c r="F1728" s="46"/>
      <c r="G1728" s="46"/>
      <c r="H1728" s="46"/>
      <c r="I1728" s="46"/>
      <c r="J1728" s="46"/>
      <c r="K1728" s="46"/>
      <c r="L1728" s="46"/>
      <c r="M1728" s="46"/>
      <c r="N1728" s="46"/>
      <c r="O1728" s="46"/>
      <c r="P1728" s="46"/>
      <c r="Q1728" s="46"/>
      <c r="R1728" s="46"/>
      <c r="S1728" s="46"/>
      <c r="T1728" s="46"/>
      <c r="U1728" s="46"/>
      <c r="V1728" s="46"/>
      <c r="W1728" s="46"/>
      <c r="X1728" s="46"/>
      <c r="Y1728" s="46"/>
      <c r="Z1728" s="46"/>
      <c r="AA1728" s="46"/>
      <c r="AB1728" s="46"/>
      <c r="AC1728" s="46"/>
      <c r="AD1728" s="46"/>
      <c r="AE1728" s="46"/>
      <c r="AF1728" s="46"/>
      <c r="AG1728" s="46"/>
      <c r="AH1728" s="46"/>
      <c r="AI1728" s="46"/>
      <c r="AJ1728" s="46"/>
      <c r="AK1728" s="46"/>
      <c r="AL1728" s="46"/>
      <c r="AM1728" s="1"/>
      <c r="AN1728" s="1"/>
      <c r="AO1728" s="1"/>
      <c r="AP1728" s="1"/>
      <c r="AQ1728" s="1"/>
      <c r="AR1728" s="1"/>
      <c r="AS1728" s="1"/>
      <c r="AT1728" s="1"/>
      <c r="AU1728" s="1"/>
      <c r="AV1728" s="1"/>
      <c r="AW1728" s="1"/>
      <c r="AX1728" s="1"/>
      <c r="AY1728" s="1"/>
    </row>
    <row r="1729" ht="16" customHeight="1" spans="1:51" x14ac:dyDescent="0.25">
      <c r="A1729" s="45"/>
      <c r="B1729" s="46" t="s">
        <v>1780</v>
      </c>
      <c r="C1729" s="46" t="s">
        <v>1781</v>
      </c>
      <c r="D1729" s="46" t="s">
        <v>29</v>
      </c>
      <c r="E1729" s="46" t="s">
        <v>59</v>
      </c>
      <c r="F1729" s="46" t="s">
        <v>59</v>
      </c>
      <c r="G1729" s="46" t="s">
        <v>59</v>
      </c>
      <c r="H1729" s="46" t="s">
        <v>59</v>
      </c>
      <c r="I1729" s="46" t="s">
        <v>59</v>
      </c>
      <c r="J1729" s="46" t="s">
        <v>59</v>
      </c>
      <c r="K1729" s="46" t="s">
        <v>37</v>
      </c>
      <c r="L1729" s="46" t="s">
        <v>59</v>
      </c>
      <c r="M1729" s="46" t="s">
        <v>59</v>
      </c>
      <c r="N1729" s="46" t="s">
        <v>59</v>
      </c>
      <c r="O1729" s="46" t="s">
        <v>59</v>
      </c>
      <c r="P1729" s="46" t="s">
        <v>37</v>
      </c>
      <c r="Q1729" s="46" t="s">
        <v>59</v>
      </c>
      <c r="R1729" s="46" t="s">
        <v>59</v>
      </c>
      <c r="S1729" s="46" t="s">
        <v>59</v>
      </c>
      <c r="T1729" s="46" t="s">
        <v>59</v>
      </c>
      <c r="U1729" s="46" t="s">
        <v>59</v>
      </c>
      <c r="V1729" s="46" t="s">
        <v>59</v>
      </c>
      <c r="W1729" s="46" t="s">
        <v>37</v>
      </c>
      <c r="X1729" s="46" t="s">
        <v>59</v>
      </c>
      <c r="Y1729" s="46" t="s">
        <v>59</v>
      </c>
      <c r="Z1729" s="46" t="s">
        <v>59</v>
      </c>
      <c r="AA1729" s="46" t="s">
        <v>59</v>
      </c>
      <c r="AB1729" s="46" t="s">
        <v>59</v>
      </c>
      <c r="AC1729" s="46" t="s">
        <v>59</v>
      </c>
      <c r="AD1729" s="46" t="s">
        <v>37</v>
      </c>
      <c r="AE1729" s="46" t="s">
        <v>59</v>
      </c>
      <c r="AF1729" s="46" t="s">
        <v>59</v>
      </c>
      <c r="AG1729" s="46" t="s">
        <v>59</v>
      </c>
      <c r="AH1729" s="46" t="s">
        <v>43</v>
      </c>
      <c r="AI1729" s="46" t="s">
        <v>59</v>
      </c>
      <c r="AJ1729" s="46">
        <f>=SUM(E1730:AI1730)</f>
      </c>
      <c r="AK1729" s="46">
        <f>=+AY1729</f>
      </c>
      <c r="AL1729" s="46"/>
      <c r="AM1729" s="1"/>
      <c r="AN1729" s="1">
        <f>=COUNTIF(E1729:AI1729,"A")+COUNTIF(E1729:AI1729,"B")+COUNTIF(E1729:AI1729,"C")+COUNTIF(E1729:AI1729,"D")+COUNTIF(E1729:AI1729,"E")+COUNTIF(E1729:AI1729,"F")+COUNTIF(E1729:AI1729,"M")+COUNTIF(E1729:AI1729,"AB")+COUNTIF(E1729:AI1729,"UZ")+COUNTIF(E1729:AI1729,"G")+(COUNTIF(E1729:AI1729,"RT.")/2)+(COUNTIF(E1729:AI1729,"ÇRT.")/2)</f>
      </c>
      <c r="AO1729" s="1">
        <f>=COUNTIF(E1729:AI1729,"O")</f>
      </c>
      <c r="AP1729" s="1">
        <f>=COUNTIF(E1729:AI1729,"RT")+(COUNTIF(E1729:AI1729,"RT.")/2)</f>
      </c>
      <c r="AQ1729" s="1">
        <f>=COUNTIF(E1729:AI1729,"ÇRT")+(COUNTIF(E1729:AI1729,"ÇRT.")/2)</f>
      </c>
      <c r="AR1729" s="1">
        <f>=COUNTIF(E1729:AI1729,"ÇHT")</f>
      </c>
      <c r="AS1729" s="1">
        <f>=COUNTIF(E1729:AI1729,"Ö")+COUNTIF(E1729:AI1729,"T")</f>
      </c>
      <c r="AT1729" s="1">
        <f>=COUNTIF(E1729:AI1729,"Y")</f>
      </c>
      <c r="AU1729" s="1">
        <f>=COUNTIF(E1729:AI1729,"R.")</f>
      </c>
      <c r="AV1729" s="1">
        <f>=COUNTIF(E1729:AI1729,"Ü")</f>
      </c>
      <c r="AW1729" s="1">
        <f>=COUNTIF(E1729:AI1729,"R")</f>
      </c>
      <c r="AX1729" s="1">
        <f>=COUNTIF(E1729:AI1729,"DV")</f>
      </c>
      <c r="AY1729" s="1">
        <f>=+AN1729+AO1729+AP1729+AQ1729+AR1729+AS1729+AT1729+AU1729</f>
      </c>
    </row>
    <row r="1730" ht="16" customHeight="1" spans="1:51" x14ac:dyDescent="0.25">
      <c r="A1730" s="45"/>
      <c r="B1730" s="46"/>
      <c r="C1730" s="46"/>
      <c r="D1730" s="46" t="s">
        <v>33</v>
      </c>
      <c r="E1730" s="46"/>
      <c r="F1730" s="46"/>
      <c r="G1730" s="46">
        <v>3</v>
      </c>
      <c r="H1730" s="46"/>
      <c r="I1730" s="46">
        <v>1</v>
      </c>
      <c r="J1730" s="46"/>
      <c r="K1730" s="46"/>
      <c r="L1730" s="46"/>
      <c r="M1730" s="46">
        <v>3</v>
      </c>
      <c r="N1730" s="46"/>
      <c r="O1730" s="46"/>
      <c r="P1730" s="46"/>
      <c r="Q1730" s="46"/>
      <c r="R1730" s="46"/>
      <c r="S1730" s="46"/>
      <c r="T1730" s="46"/>
      <c r="U1730" s="46">
        <v>3</v>
      </c>
      <c r="V1730" s="46"/>
      <c r="W1730" s="46"/>
      <c r="X1730" s="46"/>
      <c r="Y1730" s="46"/>
      <c r="Z1730" s="46"/>
      <c r="AA1730" s="46"/>
      <c r="AB1730" s="46"/>
      <c r="AC1730" s="46"/>
      <c r="AD1730" s="46"/>
      <c r="AE1730" s="46"/>
      <c r="AF1730" s="46"/>
      <c r="AG1730" s="46"/>
      <c r="AH1730" s="46"/>
      <c r="AI1730" s="46">
        <v>3</v>
      </c>
      <c r="AJ1730" s="46"/>
      <c r="AK1730" s="46"/>
      <c r="AL1730" s="46"/>
      <c r="AM1730" s="1"/>
      <c r="AN1730" s="1"/>
      <c r="AO1730" s="1"/>
      <c r="AP1730" s="1"/>
      <c r="AQ1730" s="1"/>
      <c r="AR1730" s="1"/>
      <c r="AS1730" s="1"/>
      <c r="AT1730" s="1"/>
      <c r="AU1730" s="1"/>
      <c r="AV1730" s="1"/>
      <c r="AW1730" s="1"/>
      <c r="AX1730" s="1"/>
      <c r="AY1730" s="1"/>
    </row>
    <row r="1731" ht="16" customHeight="1" spans="1:51" x14ac:dyDescent="0.25">
      <c r="A1731" s="45"/>
      <c r="B1731" s="46" t="s">
        <v>1782</v>
      </c>
      <c r="C1731" s="46" t="s">
        <v>1783</v>
      </c>
      <c r="D1731" s="46" t="s">
        <v>29</v>
      </c>
      <c r="E1731" s="46"/>
      <c r="F1731" s="46"/>
      <c r="G1731" s="46"/>
      <c r="H1731" s="46"/>
      <c r="I1731" s="46"/>
      <c r="J1731" s="46" t="s">
        <v>36</v>
      </c>
      <c r="K1731" s="46" t="s">
        <v>36</v>
      </c>
      <c r="L1731" s="46" t="s">
        <v>36</v>
      </c>
      <c r="M1731" s="46" t="s">
        <v>36</v>
      </c>
      <c r="N1731" s="46" t="s">
        <v>36</v>
      </c>
      <c r="O1731" s="46" t="s">
        <v>36</v>
      </c>
      <c r="P1731" s="46" t="s">
        <v>37</v>
      </c>
      <c r="Q1731" s="46" t="s">
        <v>36</v>
      </c>
      <c r="R1731" s="46" t="s">
        <v>36</v>
      </c>
      <c r="S1731" s="46" t="s">
        <v>36</v>
      </c>
      <c r="T1731" s="46" t="s">
        <v>36</v>
      </c>
      <c r="U1731" s="46" t="s">
        <v>37</v>
      </c>
      <c r="V1731" s="46" t="s">
        <v>36</v>
      </c>
      <c r="W1731" s="46" t="s">
        <v>36</v>
      </c>
      <c r="X1731" s="46" t="s">
        <v>36</v>
      </c>
      <c r="Y1731" s="46" t="s">
        <v>36</v>
      </c>
      <c r="Z1731" s="46" t="s">
        <v>36</v>
      </c>
      <c r="AA1731" s="46" t="s">
        <v>36</v>
      </c>
      <c r="AB1731" s="46" t="s">
        <v>37</v>
      </c>
      <c r="AC1731" s="46" t="s">
        <v>36</v>
      </c>
      <c r="AD1731" s="46" t="s">
        <v>36</v>
      </c>
      <c r="AE1731" s="46" t="s">
        <v>31</v>
      </c>
      <c r="AF1731" s="46" t="s">
        <v>31</v>
      </c>
      <c r="AG1731" s="46" t="s">
        <v>32</v>
      </c>
      <c r="AH1731" s="46" t="s">
        <v>43</v>
      </c>
      <c r="AI1731" s="46" t="s">
        <v>37</v>
      </c>
      <c r="AJ1731" s="46">
        <f>=SUM(E1732:AI1732)</f>
      </c>
      <c r="AK1731" s="46">
        <f>=+AY1731</f>
      </c>
      <c r="AL1731" s="46"/>
      <c r="AM1731" s="1"/>
      <c r="AN1731" s="1">
        <f>=COUNTIF(E1731:AI1731,"A")+COUNTIF(E1731:AI1731,"B")+COUNTIF(E1731:AI1731,"C")+COUNTIF(E1731:AI1731,"D")+COUNTIF(E1731:AI1731,"E")+COUNTIF(E1731:AI1731,"F")+COUNTIF(E1731:AI1731,"M")+COUNTIF(E1731:AI1731,"AB")+COUNTIF(E1731:AI1731,"UZ")+COUNTIF(E1731:AI1731,"G")+(COUNTIF(E1731:AI1731,"RT.")/2)+(COUNTIF(E1731:AI1731,"ÇRT.")/2)</f>
      </c>
      <c r="AO1731" s="1">
        <f>=COUNTIF(E1731:AI1731,"O")</f>
      </c>
      <c r="AP1731" s="1">
        <f>=COUNTIF(E1731:AI1731,"RT")+(COUNTIF(E1731:AI1731,"RT.")/2)</f>
      </c>
      <c r="AQ1731" s="1">
        <f>=COUNTIF(E1731:AI1731,"ÇRT")+(COUNTIF(E1731:AI1731,"ÇRT.")/2)</f>
      </c>
      <c r="AR1731" s="1">
        <f>=COUNTIF(E1731:AI1731,"ÇHT")</f>
      </c>
      <c r="AS1731" s="1">
        <f>=COUNTIF(E1731:AI1731,"Ö")+COUNTIF(E1731:AI1731,"T")</f>
      </c>
      <c r="AT1731" s="1">
        <f>=COUNTIF(E1731:AI1731,"Y")</f>
      </c>
      <c r="AU1731" s="1">
        <f>=COUNTIF(E1731:AI1731,"R.")</f>
      </c>
      <c r="AV1731" s="1">
        <f>=COUNTIF(E1731:AI1731,"Ü")</f>
      </c>
      <c r="AW1731" s="1">
        <f>=COUNTIF(E1731:AI1731,"R")</f>
      </c>
      <c r="AX1731" s="1">
        <f>=COUNTIF(E1731:AI1731,"DV")</f>
      </c>
      <c r="AY1731" s="1">
        <f>=+AN1731+AO1731+AP1731+AQ1731+AR1731+AS1731+AT1731+AU1731</f>
      </c>
    </row>
    <row r="1732" ht="16" customHeight="1" spans="1:51" x14ac:dyDescent="0.25">
      <c r="A1732" s="45"/>
      <c r="B1732" s="46"/>
      <c r="C1732" s="46"/>
      <c r="D1732" s="46" t="s">
        <v>33</v>
      </c>
      <c r="E1732" s="46"/>
      <c r="F1732" s="46"/>
      <c r="G1732" s="46"/>
      <c r="H1732" s="46"/>
      <c r="I1732" s="46"/>
      <c r="J1732" s="46"/>
      <c r="K1732" s="46"/>
      <c r="L1732" s="46"/>
      <c r="M1732" s="46"/>
      <c r="N1732" s="46"/>
      <c r="O1732" s="46"/>
      <c r="P1732" s="46"/>
      <c r="Q1732" s="46"/>
      <c r="R1732" s="46"/>
      <c r="S1732" s="46"/>
      <c r="T1732" s="46"/>
      <c r="U1732" s="46"/>
      <c r="V1732" s="46"/>
      <c r="W1732" s="46"/>
      <c r="X1732" s="46"/>
      <c r="Y1732" s="46"/>
      <c r="Z1732" s="46"/>
      <c r="AA1732" s="46"/>
      <c r="AB1732" s="46"/>
      <c r="AC1732" s="46"/>
      <c r="AD1732" s="46"/>
      <c r="AE1732" s="46"/>
      <c r="AF1732" s="46"/>
      <c r="AG1732" s="46"/>
      <c r="AH1732" s="46"/>
      <c r="AI1732" s="46"/>
      <c r="AJ1732" s="46"/>
      <c r="AK1732" s="46"/>
      <c r="AL1732" s="46"/>
      <c r="AM1732" s="1"/>
      <c r="AN1732" s="1"/>
      <c r="AO1732" s="1"/>
      <c r="AP1732" s="1"/>
      <c r="AQ1732" s="1"/>
      <c r="AR1732" s="1"/>
      <c r="AS1732" s="1"/>
      <c r="AT1732" s="1"/>
      <c r="AU1732" s="1"/>
      <c r="AV1732" s="1"/>
      <c r="AW1732" s="1"/>
      <c r="AX1732" s="1"/>
      <c r="AY1732" s="1"/>
    </row>
    <row r="1733" ht="16" customHeight="1" spans="1:51" x14ac:dyDescent="0.25">
      <c r="A1733" s="45"/>
      <c r="B1733" s="46" t="s">
        <v>1784</v>
      </c>
      <c r="C1733" s="46" t="s">
        <v>1785</v>
      </c>
      <c r="D1733" s="46" t="s">
        <v>29</v>
      </c>
      <c r="E1733" s="46" t="s">
        <v>59</v>
      </c>
      <c r="F1733" s="46" t="s">
        <v>59</v>
      </c>
      <c r="G1733" s="46" t="s">
        <v>59</v>
      </c>
      <c r="H1733" s="46" t="s">
        <v>59</v>
      </c>
      <c r="I1733" s="46" t="s">
        <v>37</v>
      </c>
      <c r="J1733" s="46" t="s">
        <v>59</v>
      </c>
      <c r="K1733" s="46" t="s">
        <v>59</v>
      </c>
      <c r="L1733" s="46" t="s">
        <v>59</v>
      </c>
      <c r="M1733" s="46" t="s">
        <v>59</v>
      </c>
      <c r="N1733" s="46" t="s">
        <v>59</v>
      </c>
      <c r="O1733" s="46" t="s">
        <v>59</v>
      </c>
      <c r="P1733" s="46" t="s">
        <v>59</v>
      </c>
      <c r="Q1733" s="46" t="s">
        <v>59</v>
      </c>
      <c r="R1733" s="46" t="s">
        <v>37</v>
      </c>
      <c r="S1733" s="46" t="s">
        <v>59</v>
      </c>
      <c r="T1733" s="46" t="s">
        <v>59</v>
      </c>
      <c r="U1733" s="46" t="s">
        <v>59</v>
      </c>
      <c r="V1733" s="46" t="s">
        <v>59</v>
      </c>
      <c r="W1733" s="46" t="s">
        <v>59</v>
      </c>
      <c r="X1733" s="46" t="s">
        <v>153</v>
      </c>
      <c r="Y1733" s="46" t="s">
        <v>37</v>
      </c>
      <c r="Z1733" s="46" t="s">
        <v>153</v>
      </c>
      <c r="AA1733" s="46" t="s">
        <v>59</v>
      </c>
      <c r="AB1733" s="46" t="s">
        <v>59</v>
      </c>
      <c r="AC1733" s="46" t="s">
        <v>59</v>
      </c>
      <c r="AD1733" s="46" t="s">
        <v>59</v>
      </c>
      <c r="AE1733" s="46" t="s">
        <v>59</v>
      </c>
      <c r="AF1733" s="46" t="s">
        <v>37</v>
      </c>
      <c r="AG1733" s="46" t="s">
        <v>59</v>
      </c>
      <c r="AH1733" s="46" t="s">
        <v>43</v>
      </c>
      <c r="AI1733" s="46" t="s">
        <v>59</v>
      </c>
      <c r="AJ1733" s="46">
        <f>=SUM(E1734:AI1734)</f>
      </c>
      <c r="AK1733" s="46">
        <f>=+AY1733</f>
      </c>
      <c r="AL1733" s="46"/>
      <c r="AM1733" s="1"/>
      <c r="AN1733" s="1">
        <f>=COUNTIF(E1733:AI1733,"A")+COUNTIF(E1733:AI1733,"B")+COUNTIF(E1733:AI1733,"C")+COUNTIF(E1733:AI1733,"D")+COUNTIF(E1733:AI1733,"E")+COUNTIF(E1733:AI1733,"F")+COUNTIF(E1733:AI1733,"M")+COUNTIF(E1733:AI1733,"AB")+COUNTIF(E1733:AI1733,"UZ")+COUNTIF(E1733:AI1733,"G")+(COUNTIF(E1733:AI1733,"RT.")/2)+(COUNTIF(E1733:AI1733,"ÇRT.")/2)</f>
      </c>
      <c r="AO1733" s="1">
        <f>=COUNTIF(E1733:AI1733,"O")</f>
      </c>
      <c r="AP1733" s="1">
        <f>=COUNTIF(E1733:AI1733,"RT")+(COUNTIF(E1733:AI1733,"RT.")/2)</f>
      </c>
      <c r="AQ1733" s="1">
        <f>=COUNTIF(E1733:AI1733,"ÇRT")+(COUNTIF(E1733:AI1733,"ÇRT.")/2)</f>
      </c>
      <c r="AR1733" s="1">
        <f>=COUNTIF(E1733:AI1733,"ÇHT")</f>
      </c>
      <c r="AS1733" s="1">
        <f>=COUNTIF(E1733:AI1733,"Ö")+COUNTIF(E1733:AI1733,"T")</f>
      </c>
      <c r="AT1733" s="1">
        <f>=COUNTIF(E1733:AI1733,"Y")</f>
      </c>
      <c r="AU1733" s="1">
        <f>=COUNTIF(E1733:AI1733,"R.")</f>
      </c>
      <c r="AV1733" s="1">
        <f>=COUNTIF(E1733:AI1733,"Ü")</f>
      </c>
      <c r="AW1733" s="1">
        <f>=COUNTIF(E1733:AI1733,"R")</f>
      </c>
      <c r="AX1733" s="1">
        <f>=COUNTIF(E1733:AI1733,"DV")</f>
      </c>
      <c r="AY1733" s="1">
        <f>=+AN1733+AO1733+AP1733+AQ1733+AR1733+AS1733+AT1733+AU1733</f>
      </c>
    </row>
    <row r="1734" ht="16" customHeight="1" spans="1:51" x14ac:dyDescent="0.25">
      <c r="A1734" s="45"/>
      <c r="B1734" s="46"/>
      <c r="C1734" s="46"/>
      <c r="D1734" s="46" t="s">
        <v>33</v>
      </c>
      <c r="E1734" s="46"/>
      <c r="F1734" s="46"/>
      <c r="G1734" s="46"/>
      <c r="H1734" s="46"/>
      <c r="I1734" s="46"/>
      <c r="J1734" s="46"/>
      <c r="K1734" s="46"/>
      <c r="L1734" s="46">
        <v>2</v>
      </c>
      <c r="M1734" s="46"/>
      <c r="N1734" s="46">
        <v>3</v>
      </c>
      <c r="O1734" s="46"/>
      <c r="P1734" s="46"/>
      <c r="Q1734" s="46"/>
      <c r="R1734" s="46"/>
      <c r="S1734" s="46"/>
      <c r="T1734" s="46"/>
      <c r="U1734" s="46"/>
      <c r="V1734" s="46">
        <v>1</v>
      </c>
      <c r="W1734" s="46">
        <v>3</v>
      </c>
      <c r="X1734" s="46"/>
      <c r="Y1734" s="46"/>
      <c r="Z1734" s="46"/>
      <c r="AA1734" s="46"/>
      <c r="AB1734" s="46">
        <v>3</v>
      </c>
      <c r="AC1734" s="46"/>
      <c r="AD1734" s="46"/>
      <c r="AE1734" s="46"/>
      <c r="AF1734" s="46"/>
      <c r="AG1734" s="46"/>
      <c r="AH1734" s="46"/>
      <c r="AI1734" s="46"/>
      <c r="AJ1734" s="46"/>
      <c r="AK1734" s="46"/>
      <c r="AL1734" s="46"/>
      <c r="AM1734" s="1"/>
      <c r="AN1734" s="1"/>
      <c r="AO1734" s="1"/>
      <c r="AP1734" s="1"/>
      <c r="AQ1734" s="1"/>
      <c r="AR1734" s="1"/>
      <c r="AS1734" s="1"/>
      <c r="AT1734" s="1"/>
      <c r="AU1734" s="1"/>
      <c r="AV1734" s="1"/>
      <c r="AW1734" s="1"/>
      <c r="AX1734" s="1"/>
      <c r="AY1734" s="1"/>
    </row>
    <row r="1735" ht="16" customHeight="1" spans="1:51" x14ac:dyDescent="0.25">
      <c r="A1735" s="45"/>
      <c r="B1735" s="46" t="s">
        <v>1786</v>
      </c>
      <c r="C1735" s="46" t="s">
        <v>1787</v>
      </c>
      <c r="D1735" s="46" t="s">
        <v>29</v>
      </c>
      <c r="E1735" s="46" t="s">
        <v>36</v>
      </c>
      <c r="F1735" s="46" t="s">
        <v>37</v>
      </c>
      <c r="G1735" s="46" t="s">
        <v>36</v>
      </c>
      <c r="H1735" s="46" t="s">
        <v>36</v>
      </c>
      <c r="I1735" s="46" t="s">
        <v>36</v>
      </c>
      <c r="J1735" s="46" t="s">
        <v>36</v>
      </c>
      <c r="K1735" s="46" t="s">
        <v>36</v>
      </c>
      <c r="L1735" s="46" t="s">
        <v>36</v>
      </c>
      <c r="M1735" s="46" t="s">
        <v>37</v>
      </c>
      <c r="N1735" s="46" t="s">
        <v>36</v>
      </c>
      <c r="O1735" s="46" t="s">
        <v>36</v>
      </c>
      <c r="P1735" s="46" t="s">
        <v>36</v>
      </c>
      <c r="Q1735" s="46" t="s">
        <v>36</v>
      </c>
      <c r="R1735" s="46" t="s">
        <v>36</v>
      </c>
      <c r="S1735" s="46" t="s">
        <v>36</v>
      </c>
      <c r="T1735" s="46" t="s">
        <v>37</v>
      </c>
      <c r="U1735" s="46" t="s">
        <v>36</v>
      </c>
      <c r="V1735" s="46" t="s">
        <v>36</v>
      </c>
      <c r="W1735" s="46" t="s">
        <v>36</v>
      </c>
      <c r="X1735" s="46" t="s">
        <v>36</v>
      </c>
      <c r="Y1735" s="46" t="s">
        <v>36</v>
      </c>
      <c r="Z1735" s="46" t="s">
        <v>36</v>
      </c>
      <c r="AA1735" s="46" t="s">
        <v>37</v>
      </c>
      <c r="AB1735" s="46" t="s">
        <v>37</v>
      </c>
      <c r="AC1735" s="46" t="s">
        <v>36</v>
      </c>
      <c r="AD1735" s="46" t="s">
        <v>36</v>
      </c>
      <c r="AE1735" s="46" t="s">
        <v>36</v>
      </c>
      <c r="AF1735" s="46" t="s">
        <v>36</v>
      </c>
      <c r="AG1735" s="46" t="s">
        <v>36</v>
      </c>
      <c r="AH1735" s="46" t="s">
        <v>43</v>
      </c>
      <c r="AI1735" s="46" t="s">
        <v>37</v>
      </c>
      <c r="AJ1735" s="46">
        <f>=SUM(E1736:AI1736)</f>
      </c>
      <c r="AK1735" s="46">
        <f>=+AY1735</f>
      </c>
      <c r="AL1735" s="46"/>
      <c r="AM1735" s="1"/>
      <c r="AN1735" s="1">
        <f>=COUNTIF(E1735:AI1735,"A")+COUNTIF(E1735:AI1735,"B")+COUNTIF(E1735:AI1735,"C")+COUNTIF(E1735:AI1735,"D")+COUNTIF(E1735:AI1735,"E")+COUNTIF(E1735:AI1735,"F")+COUNTIF(E1735:AI1735,"M")+COUNTIF(E1735:AI1735,"AB")+COUNTIF(E1735:AI1735,"UZ")+COUNTIF(E1735:AI1735,"G")+(COUNTIF(E1735:AI1735,"RT.")/2)+(COUNTIF(E1735:AI1735,"ÇRT.")/2)</f>
      </c>
      <c r="AO1735" s="1">
        <f>=COUNTIF(E1735:AI1735,"O")</f>
      </c>
      <c r="AP1735" s="1">
        <f>=COUNTIF(E1735:AI1735,"RT")+(COUNTIF(E1735:AI1735,"RT.")/2)</f>
      </c>
      <c r="AQ1735" s="1">
        <f>=COUNTIF(E1735:AI1735,"ÇRT")+(COUNTIF(E1735:AI1735,"ÇRT.")/2)</f>
      </c>
      <c r="AR1735" s="1">
        <f>=COUNTIF(E1735:AI1735,"ÇHT")</f>
      </c>
      <c r="AS1735" s="1">
        <f>=COUNTIF(E1735:AI1735,"Ö")+COUNTIF(E1735:AI1735,"T")</f>
      </c>
      <c r="AT1735" s="1">
        <f>=COUNTIF(E1735:AI1735,"Y")</f>
      </c>
      <c r="AU1735" s="1">
        <f>=COUNTIF(E1735:AI1735,"R.")</f>
      </c>
      <c r="AV1735" s="1">
        <f>=COUNTIF(E1735:AI1735,"Ü")</f>
      </c>
      <c r="AW1735" s="1">
        <f>=COUNTIF(E1735:AI1735,"R")</f>
      </c>
      <c r="AX1735" s="1">
        <f>=COUNTIF(E1735:AI1735,"DV")</f>
      </c>
      <c r="AY1735" s="1">
        <f>=+AN1735+AO1735+AP1735+AQ1735+AR1735+AS1735+AT1735+AU1735</f>
      </c>
    </row>
    <row r="1736" ht="16" customHeight="1" spans="1:51" x14ac:dyDescent="0.25">
      <c r="A1736" s="45"/>
      <c r="B1736" s="46"/>
      <c r="C1736" s="46"/>
      <c r="D1736" s="46" t="s">
        <v>33</v>
      </c>
      <c r="E1736" s="46"/>
      <c r="F1736" s="46"/>
      <c r="G1736" s="46">
        <v>2</v>
      </c>
      <c r="H1736" s="46"/>
      <c r="I1736" s="46"/>
      <c r="J1736" s="46"/>
      <c r="K1736" s="46"/>
      <c r="L1736" s="46"/>
      <c r="M1736" s="46"/>
      <c r="N1736" s="46">
        <v>3</v>
      </c>
      <c r="O1736" s="46">
        <v>3</v>
      </c>
      <c r="P1736" s="46">
        <v>2</v>
      </c>
      <c r="Q1736" s="46">
        <v>3</v>
      </c>
      <c r="R1736" s="46">
        <v>3</v>
      </c>
      <c r="S1736" s="46">
        <v>1</v>
      </c>
      <c r="T1736" s="46"/>
      <c r="U1736" s="46">
        <v>2</v>
      </c>
      <c r="V1736" s="46">
        <v>1</v>
      </c>
      <c r="W1736" s="46">
        <v>1</v>
      </c>
      <c r="X1736" s="46">
        <v>1</v>
      </c>
      <c r="Y1736" s="46">
        <v>1</v>
      </c>
      <c r="Z1736" s="46">
        <v>1</v>
      </c>
      <c r="AA1736" s="46"/>
      <c r="AB1736" s="46"/>
      <c r="AC1736" s="46">
        <v>1</v>
      </c>
      <c r="AD1736" s="46">
        <v>1</v>
      </c>
      <c r="AE1736" s="46">
        <v>1</v>
      </c>
      <c r="AF1736" s="46">
        <v>1</v>
      </c>
      <c r="AG1736" s="46">
        <v>1</v>
      </c>
      <c r="AH1736" s="46">
        <v>2</v>
      </c>
      <c r="AI1736" s="46"/>
      <c r="AJ1736" s="46"/>
      <c r="AK1736" s="46"/>
      <c r="AL1736" s="46"/>
      <c r="AM1736" s="1"/>
      <c r="AN1736" s="1"/>
      <c r="AO1736" s="1"/>
      <c r="AP1736" s="1"/>
      <c r="AQ1736" s="1"/>
      <c r="AR1736" s="1"/>
      <c r="AS1736" s="1"/>
      <c r="AT1736" s="1"/>
      <c r="AU1736" s="1"/>
      <c r="AV1736" s="1"/>
      <c r="AW1736" s="1"/>
      <c r="AX1736" s="1"/>
      <c r="AY1736" s="1"/>
    </row>
    <row r="1737" ht="16" customHeight="1" spans="1:51" x14ac:dyDescent="0.25">
      <c r="A1737" s="45"/>
      <c r="B1737" s="46" t="s">
        <v>1788</v>
      </c>
      <c r="C1737" s="46" t="s">
        <v>1789</v>
      </c>
      <c r="D1737" s="46" t="s">
        <v>29</v>
      </c>
      <c r="E1737" s="46" t="s">
        <v>59</v>
      </c>
      <c r="F1737" s="46" t="s">
        <v>59</v>
      </c>
      <c r="G1737" s="46" t="s">
        <v>59</v>
      </c>
      <c r="H1737" s="46" t="s">
        <v>59</v>
      </c>
      <c r="I1737" s="46" t="s">
        <v>59</v>
      </c>
      <c r="J1737" s="46" t="s">
        <v>59</v>
      </c>
      <c r="K1737" s="46" t="s">
        <v>37</v>
      </c>
      <c r="L1737" s="46" t="s">
        <v>59</v>
      </c>
      <c r="M1737" s="46" t="s">
        <v>59</v>
      </c>
      <c r="N1737" s="46" t="s">
        <v>59</v>
      </c>
      <c r="O1737" s="46" t="s">
        <v>59</v>
      </c>
      <c r="P1737" s="46" t="s">
        <v>153</v>
      </c>
      <c r="Q1737" s="46" t="s">
        <v>59</v>
      </c>
      <c r="R1737" s="46" t="s">
        <v>37</v>
      </c>
      <c r="S1737" s="46" t="s">
        <v>59</v>
      </c>
      <c r="T1737" s="46" t="s">
        <v>59</v>
      </c>
      <c r="U1737" s="46" t="s">
        <v>59</v>
      </c>
      <c r="V1737" s="46" t="s">
        <v>59</v>
      </c>
      <c r="W1737" s="46" t="s">
        <v>59</v>
      </c>
      <c r="X1737" s="46" t="s">
        <v>59</v>
      </c>
      <c r="Y1737" s="46" t="s">
        <v>37</v>
      </c>
      <c r="Z1737" s="46" t="s">
        <v>59</v>
      </c>
      <c r="AA1737" s="46" t="s">
        <v>59</v>
      </c>
      <c r="AB1737" s="46" t="s">
        <v>59</v>
      </c>
      <c r="AC1737" s="46" t="s">
        <v>59</v>
      </c>
      <c r="AD1737" s="46" t="s">
        <v>59</v>
      </c>
      <c r="AE1737" s="46" t="s">
        <v>59</v>
      </c>
      <c r="AF1737" s="46" t="s">
        <v>37</v>
      </c>
      <c r="AG1737" s="46" t="s">
        <v>59</v>
      </c>
      <c r="AH1737" s="46" t="s">
        <v>43</v>
      </c>
      <c r="AI1737" s="46" t="s">
        <v>36</v>
      </c>
      <c r="AJ1737" s="46">
        <f>=SUM(E1738:AI1738)</f>
      </c>
      <c r="AK1737" s="46">
        <f>=+AY1737</f>
      </c>
      <c r="AL1737" s="46"/>
      <c r="AM1737" s="1"/>
      <c r="AN1737" s="1">
        <f>=COUNTIF(E1737:AI1737,"A")+COUNTIF(E1737:AI1737,"B")+COUNTIF(E1737:AI1737,"C")+COUNTIF(E1737:AI1737,"D")+COUNTIF(E1737:AI1737,"E")+COUNTIF(E1737:AI1737,"F")+COUNTIF(E1737:AI1737,"M")+COUNTIF(E1737:AI1737,"AB")+COUNTIF(E1737:AI1737,"UZ")+COUNTIF(E1737:AI1737,"G")+(COUNTIF(E1737:AI1737,"RT.")/2)+(COUNTIF(E1737:AI1737,"ÇRT.")/2)</f>
      </c>
      <c r="AO1737" s="1">
        <f>=COUNTIF(E1737:AI1737,"O")</f>
      </c>
      <c r="AP1737" s="1">
        <f>=COUNTIF(E1737:AI1737,"RT")+(COUNTIF(E1737:AI1737,"RT.")/2)</f>
      </c>
      <c r="AQ1737" s="1">
        <f>=COUNTIF(E1737:AI1737,"ÇRT")+(COUNTIF(E1737:AI1737,"ÇRT.")/2)</f>
      </c>
      <c r="AR1737" s="1">
        <f>=COUNTIF(E1737:AI1737,"ÇHT")</f>
      </c>
      <c r="AS1737" s="1">
        <f>=COUNTIF(E1737:AI1737,"Ö")+COUNTIF(E1737:AI1737,"T")</f>
      </c>
      <c r="AT1737" s="1">
        <f>=COUNTIF(E1737:AI1737,"Y")</f>
      </c>
      <c r="AU1737" s="1">
        <f>=COUNTIF(E1737:AI1737,"R.")</f>
      </c>
      <c r="AV1737" s="1">
        <f>=COUNTIF(E1737:AI1737,"Ü")</f>
      </c>
      <c r="AW1737" s="1">
        <f>=COUNTIF(E1737:AI1737,"R")</f>
      </c>
      <c r="AX1737" s="1">
        <f>=COUNTIF(E1737:AI1737,"DV")</f>
      </c>
      <c r="AY1737" s="1">
        <f>=+AN1737+AO1737+AP1737+AQ1737+AR1737+AS1737+AT1737+AU1737</f>
      </c>
    </row>
    <row r="1738" ht="16" customHeight="1" spans="1:51" x14ac:dyDescent="0.25">
      <c r="A1738" s="45"/>
      <c r="B1738" s="46"/>
      <c r="C1738" s="46"/>
      <c r="D1738" s="46" t="s">
        <v>33</v>
      </c>
      <c r="E1738" s="46"/>
      <c r="F1738" s="46"/>
      <c r="G1738" s="46"/>
      <c r="H1738" s="46"/>
      <c r="I1738" s="46"/>
      <c r="J1738" s="46"/>
      <c r="K1738" s="46"/>
      <c r="L1738" s="46"/>
      <c r="M1738" s="46"/>
      <c r="N1738" s="46"/>
      <c r="O1738" s="46"/>
      <c r="P1738" s="46"/>
      <c r="Q1738" s="46"/>
      <c r="R1738" s="46"/>
      <c r="S1738" s="46"/>
      <c r="T1738" s="46"/>
      <c r="U1738" s="46"/>
      <c r="V1738" s="46"/>
      <c r="W1738" s="46"/>
      <c r="X1738" s="46"/>
      <c r="Y1738" s="46"/>
      <c r="Z1738" s="46"/>
      <c r="AA1738" s="46"/>
      <c r="AB1738" s="46"/>
      <c r="AC1738" s="46"/>
      <c r="AD1738" s="46"/>
      <c r="AE1738" s="46"/>
      <c r="AF1738" s="46"/>
      <c r="AG1738" s="46"/>
      <c r="AH1738" s="46">
        <v>3</v>
      </c>
      <c r="AI1738" s="46"/>
      <c r="AJ1738" s="46"/>
      <c r="AK1738" s="46"/>
      <c r="AL1738" s="46"/>
      <c r="AM1738" s="1"/>
      <c r="AN1738" s="1"/>
      <c r="AO1738" s="1"/>
      <c r="AP1738" s="1"/>
      <c r="AQ1738" s="1"/>
      <c r="AR1738" s="1"/>
      <c r="AS1738" s="1"/>
      <c r="AT1738" s="1"/>
      <c r="AU1738" s="1"/>
      <c r="AV1738" s="1"/>
      <c r="AW1738" s="1"/>
      <c r="AX1738" s="1"/>
      <c r="AY1738" s="1"/>
    </row>
    <row r="1739" ht="16" customHeight="1" spans="1:51" x14ac:dyDescent="0.25">
      <c r="A1739" s="45"/>
      <c r="B1739" s="46" t="s">
        <v>1790</v>
      </c>
      <c r="C1739" s="46" t="s">
        <v>1791</v>
      </c>
      <c r="D1739" s="46" t="s">
        <v>29</v>
      </c>
      <c r="E1739" s="46" t="s">
        <v>46</v>
      </c>
      <c r="F1739" s="46" t="s">
        <v>46</v>
      </c>
      <c r="G1739" s="46" t="s">
        <v>46</v>
      </c>
      <c r="H1739" s="46" t="s">
        <v>46</v>
      </c>
      <c r="I1739" s="46" t="s">
        <v>37</v>
      </c>
      <c r="J1739" s="46" t="s">
        <v>46</v>
      </c>
      <c r="K1739" s="46" t="s">
        <v>46</v>
      </c>
      <c r="L1739" s="46" t="s">
        <v>46</v>
      </c>
      <c r="M1739" s="46" t="s">
        <v>31</v>
      </c>
      <c r="N1739" s="46" t="s">
        <v>46</v>
      </c>
      <c r="O1739" s="46" t="s">
        <v>46</v>
      </c>
      <c r="P1739" s="46" t="s">
        <v>46</v>
      </c>
      <c r="Q1739" s="46" t="s">
        <v>46</v>
      </c>
      <c r="R1739" s="46" t="s">
        <v>46</v>
      </c>
      <c r="S1739" s="46" t="s">
        <v>46</v>
      </c>
      <c r="T1739" s="46" t="s">
        <v>37</v>
      </c>
      <c r="U1739" s="46" t="s">
        <v>37</v>
      </c>
      <c r="V1739" s="46" t="s">
        <v>153</v>
      </c>
      <c r="W1739" s="46" t="s">
        <v>46</v>
      </c>
      <c r="X1739" s="46" t="s">
        <v>46</v>
      </c>
      <c r="Y1739" s="46" t="s">
        <v>46</v>
      </c>
      <c r="Z1739" s="46" t="s">
        <v>46</v>
      </c>
      <c r="AA1739" s="46" t="s">
        <v>46</v>
      </c>
      <c r="AB1739" s="46" t="s">
        <v>46</v>
      </c>
      <c r="AC1739" s="46" t="s">
        <v>46</v>
      </c>
      <c r="AD1739" s="46" t="s">
        <v>37</v>
      </c>
      <c r="AE1739" s="46" t="s">
        <v>46</v>
      </c>
      <c r="AF1739" s="46" t="s">
        <v>46</v>
      </c>
      <c r="AG1739" s="46" t="s">
        <v>46</v>
      </c>
      <c r="AH1739" s="46" t="s">
        <v>43</v>
      </c>
      <c r="AI1739" s="46" t="s">
        <v>46</v>
      </c>
      <c r="AJ1739" s="46">
        <f>=SUM(E1740:AI1740)</f>
      </c>
      <c r="AK1739" s="46">
        <f>=+AY1739</f>
      </c>
      <c r="AL1739" s="46"/>
      <c r="AM1739" s="1"/>
      <c r="AN1739" s="1">
        <f>=COUNTIF(E1739:AI1739,"A")+COUNTIF(E1739:AI1739,"B")+COUNTIF(E1739:AI1739,"C")+COUNTIF(E1739:AI1739,"D")+COUNTIF(E1739:AI1739,"E")+COUNTIF(E1739:AI1739,"F")+COUNTIF(E1739:AI1739,"M")+COUNTIF(E1739:AI1739,"AB")+COUNTIF(E1739:AI1739,"UZ")+COUNTIF(E1739:AI1739,"G")+(COUNTIF(E1739:AI1739,"RT.")/2)+(COUNTIF(E1739:AI1739,"ÇRT.")/2)</f>
      </c>
      <c r="AO1739" s="1">
        <f>=COUNTIF(E1739:AI1739,"O")</f>
      </c>
      <c r="AP1739" s="1">
        <f>=COUNTIF(E1739:AI1739,"RT")+(COUNTIF(E1739:AI1739,"RT.")/2)</f>
      </c>
      <c r="AQ1739" s="1">
        <f>=COUNTIF(E1739:AI1739,"ÇRT")+(COUNTIF(E1739:AI1739,"ÇRT.")/2)</f>
      </c>
      <c r="AR1739" s="1">
        <f>=COUNTIF(E1739:AI1739,"ÇHT")</f>
      </c>
      <c r="AS1739" s="1">
        <f>=COUNTIF(E1739:AI1739,"Ö")+COUNTIF(E1739:AI1739,"T")</f>
      </c>
      <c r="AT1739" s="1">
        <f>=COUNTIF(E1739:AI1739,"Y")</f>
      </c>
      <c r="AU1739" s="1">
        <f>=COUNTIF(E1739:AI1739,"R.")</f>
      </c>
      <c r="AV1739" s="1">
        <f>=COUNTIF(E1739:AI1739,"Ü")</f>
      </c>
      <c r="AW1739" s="1">
        <f>=COUNTIF(E1739:AI1739,"R")</f>
      </c>
      <c r="AX1739" s="1">
        <f>=COUNTIF(E1739:AI1739,"DV")</f>
      </c>
      <c r="AY1739" s="1">
        <f>=+AN1739+AO1739+AP1739+AQ1739+AR1739+AS1739+AT1739+AU1739</f>
      </c>
    </row>
    <row r="1740" ht="16" customHeight="1" spans="1:51" x14ac:dyDescent="0.25">
      <c r="A1740" s="45"/>
      <c r="B1740" s="46"/>
      <c r="C1740" s="46"/>
      <c r="D1740" s="46" t="s">
        <v>33</v>
      </c>
      <c r="E1740" s="46">
        <v>2</v>
      </c>
      <c r="F1740" s="46"/>
      <c r="G1740" s="46"/>
      <c r="H1740" s="46"/>
      <c r="I1740" s="46"/>
      <c r="J1740" s="46">
        <v>2</v>
      </c>
      <c r="K1740" s="46"/>
      <c r="L1740" s="46"/>
      <c r="M1740" s="46"/>
      <c r="N1740" s="46"/>
      <c r="O1740" s="46">
        <v>2</v>
      </c>
      <c r="P1740" s="46"/>
      <c r="Q1740" s="46"/>
      <c r="R1740" s="46"/>
      <c r="S1740" s="46"/>
      <c r="T1740" s="46"/>
      <c r="U1740" s="46"/>
      <c r="V1740" s="46"/>
      <c r="W1740" s="46"/>
      <c r="X1740" s="46"/>
      <c r="Y1740" s="46"/>
      <c r="Z1740" s="46"/>
      <c r="AA1740" s="46"/>
      <c r="AB1740" s="46">
        <v>2</v>
      </c>
      <c r="AC1740" s="46"/>
      <c r="AD1740" s="46"/>
      <c r="AE1740" s="46"/>
      <c r="AF1740" s="46"/>
      <c r="AG1740" s="46"/>
      <c r="AH1740" s="46"/>
      <c r="AI1740" s="46"/>
      <c r="AJ1740" s="46"/>
      <c r="AK1740" s="46"/>
      <c r="AL1740" s="46"/>
      <c r="AM1740" s="1"/>
      <c r="AN1740" s="1"/>
      <c r="AO1740" s="1"/>
      <c r="AP1740" s="1"/>
      <c r="AQ1740" s="1"/>
      <c r="AR1740" s="1"/>
      <c r="AS1740" s="1"/>
      <c r="AT1740" s="1"/>
      <c r="AU1740" s="1"/>
      <c r="AV1740" s="1"/>
      <c r="AW1740" s="1"/>
      <c r="AX1740" s="1"/>
      <c r="AY1740" s="1"/>
    </row>
    <row r="1741" ht="16" customHeight="1" spans="1:51" x14ac:dyDescent="0.25">
      <c r="A1741" s="45"/>
      <c r="B1741" s="46" t="s">
        <v>1792</v>
      </c>
      <c r="C1741" s="46" t="s">
        <v>1793</v>
      </c>
      <c r="D1741" s="46" t="s">
        <v>29</v>
      </c>
      <c r="E1741" s="46" t="s">
        <v>37</v>
      </c>
      <c r="F1741" s="46" t="s">
        <v>36</v>
      </c>
      <c r="G1741" s="46" t="s">
        <v>36</v>
      </c>
      <c r="H1741" s="46" t="s">
        <v>36</v>
      </c>
      <c r="I1741" s="46" t="s">
        <v>36</v>
      </c>
      <c r="J1741" s="46" t="s">
        <v>36</v>
      </c>
      <c r="K1741" s="46" t="s">
        <v>36</v>
      </c>
      <c r="L1741" s="46" t="s">
        <v>37</v>
      </c>
      <c r="M1741" s="46" t="s">
        <v>36</v>
      </c>
      <c r="N1741" s="46" t="s">
        <v>36</v>
      </c>
      <c r="O1741" s="46" t="s">
        <v>36</v>
      </c>
      <c r="P1741" s="46" t="s">
        <v>36</v>
      </c>
      <c r="Q1741" s="46" t="s">
        <v>36</v>
      </c>
      <c r="R1741" s="46" t="s">
        <v>36</v>
      </c>
      <c r="S1741" s="46" t="s">
        <v>37</v>
      </c>
      <c r="T1741" s="46" t="s">
        <v>36</v>
      </c>
      <c r="U1741" s="46" t="s">
        <v>36</v>
      </c>
      <c r="V1741" s="46" t="s">
        <v>36</v>
      </c>
      <c r="W1741" s="46" t="s">
        <v>36</v>
      </c>
      <c r="X1741" s="46" t="s">
        <v>36</v>
      </c>
      <c r="Y1741" s="46" t="s">
        <v>36</v>
      </c>
      <c r="Z1741" s="46" t="s">
        <v>37</v>
      </c>
      <c r="AA1741" s="46" t="s">
        <v>36</v>
      </c>
      <c r="AB1741" s="46" t="s">
        <v>36</v>
      </c>
      <c r="AC1741" s="46" t="s">
        <v>36</v>
      </c>
      <c r="AD1741" s="46" t="s">
        <v>36</v>
      </c>
      <c r="AE1741" s="46" t="s">
        <v>36</v>
      </c>
      <c r="AF1741" s="46" t="s">
        <v>36</v>
      </c>
      <c r="AG1741" s="46" t="s">
        <v>37</v>
      </c>
      <c r="AH1741" s="46" t="s">
        <v>43</v>
      </c>
      <c r="AI1741" s="46" t="s">
        <v>36</v>
      </c>
      <c r="AJ1741" s="46">
        <f>=SUM(E1742:AI1742)</f>
      </c>
      <c r="AK1741" s="46">
        <f>=+AY1741</f>
      </c>
      <c r="AL1741" s="46"/>
      <c r="AM1741" s="1"/>
      <c r="AN1741" s="1">
        <f>=COUNTIF(E1741:AI1741,"A")+COUNTIF(E1741:AI1741,"B")+COUNTIF(E1741:AI1741,"C")+COUNTIF(E1741:AI1741,"D")+COUNTIF(E1741:AI1741,"E")+COUNTIF(E1741:AI1741,"F")+COUNTIF(E1741:AI1741,"M")+COUNTIF(E1741:AI1741,"AB")+COUNTIF(E1741:AI1741,"UZ")+COUNTIF(E1741:AI1741,"G")+(COUNTIF(E1741:AI1741,"RT.")/2)+(COUNTIF(E1741:AI1741,"ÇRT.")/2)</f>
      </c>
      <c r="AO1741" s="1">
        <f>=COUNTIF(E1741:AI1741,"O")</f>
      </c>
      <c r="AP1741" s="1">
        <f>=COUNTIF(E1741:AI1741,"RT")+(COUNTIF(E1741:AI1741,"RT.")/2)</f>
      </c>
      <c r="AQ1741" s="1">
        <f>=COUNTIF(E1741:AI1741,"ÇRT")+(COUNTIF(E1741:AI1741,"ÇRT.")/2)</f>
      </c>
      <c r="AR1741" s="1">
        <f>=COUNTIF(E1741:AI1741,"ÇHT")</f>
      </c>
      <c r="AS1741" s="1">
        <f>=COUNTIF(E1741:AI1741,"Ö")+COUNTIF(E1741:AI1741,"T")</f>
      </c>
      <c r="AT1741" s="1">
        <f>=COUNTIF(E1741:AI1741,"Y")</f>
      </c>
      <c r="AU1741" s="1">
        <f>=COUNTIF(E1741:AI1741,"R.")</f>
      </c>
      <c r="AV1741" s="1">
        <f>=COUNTIF(E1741:AI1741,"Ü")</f>
      </c>
      <c r="AW1741" s="1">
        <f>=COUNTIF(E1741:AI1741,"R")</f>
      </c>
      <c r="AX1741" s="1">
        <f>=COUNTIF(E1741:AI1741,"DV")</f>
      </c>
      <c r="AY1741" s="1">
        <f>=+AN1741+AO1741+AP1741+AQ1741+AR1741+AS1741+AT1741+AU1741</f>
      </c>
    </row>
    <row r="1742" ht="16" customHeight="1" spans="1:51" x14ac:dyDescent="0.25">
      <c r="A1742" s="45"/>
      <c r="B1742" s="46"/>
      <c r="C1742" s="46"/>
      <c r="D1742" s="46" t="s">
        <v>33</v>
      </c>
      <c r="E1742" s="46"/>
      <c r="F1742" s="46"/>
      <c r="G1742" s="46"/>
      <c r="H1742" s="46"/>
      <c r="I1742" s="46"/>
      <c r="J1742" s="46"/>
      <c r="K1742" s="46"/>
      <c r="L1742" s="46"/>
      <c r="M1742" s="46"/>
      <c r="N1742" s="46"/>
      <c r="O1742" s="46"/>
      <c r="P1742" s="46"/>
      <c r="Q1742" s="46"/>
      <c r="R1742" s="46"/>
      <c r="S1742" s="46"/>
      <c r="T1742" s="46"/>
      <c r="U1742" s="46"/>
      <c r="V1742" s="46"/>
      <c r="W1742" s="46"/>
      <c r="X1742" s="46"/>
      <c r="Y1742" s="46"/>
      <c r="Z1742" s="46"/>
      <c r="AA1742" s="46"/>
      <c r="AB1742" s="46"/>
      <c r="AC1742" s="46"/>
      <c r="AD1742" s="46"/>
      <c r="AE1742" s="46"/>
      <c r="AF1742" s="46"/>
      <c r="AG1742" s="46"/>
      <c r="AH1742" s="46"/>
      <c r="AI1742" s="46"/>
      <c r="AJ1742" s="46"/>
      <c r="AK1742" s="46"/>
      <c r="AL1742" s="46"/>
      <c r="AM1742" s="1"/>
      <c r="AN1742" s="1"/>
      <c r="AO1742" s="1"/>
      <c r="AP1742" s="1"/>
      <c r="AQ1742" s="1"/>
      <c r="AR1742" s="1"/>
      <c r="AS1742" s="1"/>
      <c r="AT1742" s="1"/>
      <c r="AU1742" s="1"/>
      <c r="AV1742" s="1"/>
      <c r="AW1742" s="1"/>
      <c r="AX1742" s="1"/>
      <c r="AY1742" s="1"/>
    </row>
    <row r="1743" ht="16" customHeight="1" spans="1:51" x14ac:dyDescent="0.25">
      <c r="A1743" s="45"/>
      <c r="B1743" s="46" t="s">
        <v>1794</v>
      </c>
      <c r="C1743" s="46" t="s">
        <v>1795</v>
      </c>
      <c r="D1743" s="46" t="s">
        <v>29</v>
      </c>
      <c r="E1743" s="46" t="s">
        <v>59</v>
      </c>
      <c r="F1743" s="46" t="s">
        <v>59</v>
      </c>
      <c r="G1743" s="46" t="s">
        <v>37</v>
      </c>
      <c r="H1743" s="46" t="s">
        <v>59</v>
      </c>
      <c r="I1743" s="46" t="s">
        <v>59</v>
      </c>
      <c r="J1743" s="46" t="s">
        <v>59</v>
      </c>
      <c r="K1743" s="46" t="s">
        <v>59</v>
      </c>
      <c r="L1743" s="46" t="s">
        <v>59</v>
      </c>
      <c r="M1743" s="46" t="s">
        <v>59</v>
      </c>
      <c r="N1743" s="46" t="s">
        <v>37</v>
      </c>
      <c r="O1743" s="46" t="s">
        <v>59</v>
      </c>
      <c r="P1743" s="46" t="s">
        <v>31</v>
      </c>
      <c r="Q1743" s="46" t="s">
        <v>31</v>
      </c>
      <c r="R1743" s="46" t="s">
        <v>59</v>
      </c>
      <c r="S1743" s="46" t="s">
        <v>59</v>
      </c>
      <c r="T1743" s="46" t="s">
        <v>59</v>
      </c>
      <c r="U1743" s="46" t="s">
        <v>37</v>
      </c>
      <c r="V1743" s="46" t="s">
        <v>59</v>
      </c>
      <c r="W1743" s="46" t="s">
        <v>59</v>
      </c>
      <c r="X1743" s="46" t="s">
        <v>59</v>
      </c>
      <c r="Y1743" s="46" t="s">
        <v>59</v>
      </c>
      <c r="Z1743" s="46" t="s">
        <v>59</v>
      </c>
      <c r="AA1743" s="46" t="s">
        <v>59</v>
      </c>
      <c r="AB1743" s="46" t="s">
        <v>37</v>
      </c>
      <c r="AC1743" s="46" t="s">
        <v>59</v>
      </c>
      <c r="AD1743" s="46" t="s">
        <v>59</v>
      </c>
      <c r="AE1743" s="46" t="s">
        <v>59</v>
      </c>
      <c r="AF1743" s="46" t="s">
        <v>59</v>
      </c>
      <c r="AG1743" s="46" t="s">
        <v>59</v>
      </c>
      <c r="AH1743" s="46" t="s">
        <v>43</v>
      </c>
      <c r="AI1743" s="46" t="s">
        <v>37</v>
      </c>
      <c r="AJ1743" s="46">
        <f>=SUM(E1744:AI1744)</f>
      </c>
      <c r="AK1743" s="46">
        <f>=+AY1743</f>
      </c>
      <c r="AL1743" s="46"/>
      <c r="AM1743" s="1"/>
      <c r="AN1743" s="1">
        <f>=COUNTIF(E1743:AI1743,"A")+COUNTIF(E1743:AI1743,"B")+COUNTIF(E1743:AI1743,"C")+COUNTIF(E1743:AI1743,"D")+COUNTIF(E1743:AI1743,"E")+COUNTIF(E1743:AI1743,"F")+COUNTIF(E1743:AI1743,"M")+COUNTIF(E1743:AI1743,"AB")+COUNTIF(E1743:AI1743,"UZ")+COUNTIF(E1743:AI1743,"G")+(COUNTIF(E1743:AI1743,"RT.")/2)+(COUNTIF(E1743:AI1743,"ÇRT.")/2)</f>
      </c>
      <c r="AO1743" s="1">
        <f>=COUNTIF(E1743:AI1743,"O")</f>
      </c>
      <c r="AP1743" s="1">
        <f>=COUNTIF(E1743:AI1743,"RT")+(COUNTIF(E1743:AI1743,"RT.")/2)</f>
      </c>
      <c r="AQ1743" s="1">
        <f>=COUNTIF(E1743:AI1743,"ÇRT")+(COUNTIF(E1743:AI1743,"ÇRT.")/2)</f>
      </c>
      <c r="AR1743" s="1">
        <f>=COUNTIF(E1743:AI1743,"ÇHT")</f>
      </c>
      <c r="AS1743" s="1">
        <f>=COUNTIF(E1743:AI1743,"Ö")+COUNTIF(E1743:AI1743,"T")</f>
      </c>
      <c r="AT1743" s="1">
        <f>=COUNTIF(E1743:AI1743,"Y")</f>
      </c>
      <c r="AU1743" s="1">
        <f>=COUNTIF(E1743:AI1743,"R.")</f>
      </c>
      <c r="AV1743" s="1">
        <f>=COUNTIF(E1743:AI1743,"Ü")</f>
      </c>
      <c r="AW1743" s="1">
        <f>=COUNTIF(E1743:AI1743,"R")</f>
      </c>
      <c r="AX1743" s="1">
        <f>=COUNTIF(E1743:AI1743,"DV")</f>
      </c>
      <c r="AY1743" s="1">
        <f>=+AN1743+AO1743+AP1743+AQ1743+AR1743+AS1743+AT1743+AU1743</f>
      </c>
    </row>
    <row r="1744" ht="16" customHeight="1" spans="1:51" x14ac:dyDescent="0.25">
      <c r="A1744" s="45"/>
      <c r="B1744" s="46"/>
      <c r="C1744" s="46"/>
      <c r="D1744" s="46" t="s">
        <v>33</v>
      </c>
      <c r="E1744" s="46"/>
      <c r="F1744" s="46"/>
      <c r="G1744" s="46"/>
      <c r="H1744" s="46"/>
      <c r="I1744" s="46"/>
      <c r="J1744" s="46"/>
      <c r="K1744" s="46"/>
      <c r="L1744" s="46">
        <v>0</v>
      </c>
      <c r="M1744" s="46"/>
      <c r="N1744" s="46"/>
      <c r="O1744" s="46"/>
      <c r="P1744" s="46"/>
      <c r="Q1744" s="46"/>
      <c r="R1744" s="46"/>
      <c r="S1744" s="46"/>
      <c r="T1744" s="46"/>
      <c r="U1744" s="46"/>
      <c r="V1744" s="46"/>
      <c r="W1744" s="46"/>
      <c r="X1744" s="46"/>
      <c r="Y1744" s="46"/>
      <c r="Z1744" s="46"/>
      <c r="AA1744" s="46"/>
      <c r="AB1744" s="46"/>
      <c r="AC1744" s="46"/>
      <c r="AD1744" s="46"/>
      <c r="AE1744" s="46"/>
      <c r="AF1744" s="46"/>
      <c r="AG1744" s="46"/>
      <c r="AH1744" s="46"/>
      <c r="AI1744" s="46"/>
      <c r="AJ1744" s="46"/>
      <c r="AK1744" s="46"/>
      <c r="AL1744" s="46"/>
      <c r="AM1744" s="1"/>
      <c r="AN1744" s="1"/>
      <c r="AO1744" s="1"/>
      <c r="AP1744" s="1"/>
      <c r="AQ1744" s="1"/>
      <c r="AR1744" s="1"/>
      <c r="AS1744" s="1"/>
      <c r="AT1744" s="1"/>
      <c r="AU1744" s="1"/>
      <c r="AV1744" s="1"/>
      <c r="AW1744" s="1"/>
      <c r="AX1744" s="1"/>
      <c r="AY1744" s="1"/>
    </row>
    <row r="1745" ht="16" customHeight="1" spans="1:51" x14ac:dyDescent="0.25">
      <c r="A1745" s="45"/>
      <c r="B1745" s="46" t="s">
        <v>1796</v>
      </c>
      <c r="C1745" s="46" t="s">
        <v>1797</v>
      </c>
      <c r="D1745" s="46" t="s">
        <v>29</v>
      </c>
      <c r="E1745" s="46" t="s">
        <v>59</v>
      </c>
      <c r="F1745" s="46" t="s">
        <v>37</v>
      </c>
      <c r="G1745" s="46" t="s">
        <v>59</v>
      </c>
      <c r="H1745" s="46" t="s">
        <v>59</v>
      </c>
      <c r="I1745" s="46" t="s">
        <v>59</v>
      </c>
      <c r="J1745" s="46" t="s">
        <v>59</v>
      </c>
      <c r="K1745" s="46" t="s">
        <v>59</v>
      </c>
      <c r="L1745" s="46" t="s">
        <v>1348</v>
      </c>
      <c r="M1745" s="46" t="s">
        <v>37</v>
      </c>
      <c r="N1745" s="46" t="s">
        <v>1348</v>
      </c>
      <c r="O1745" s="46" t="s">
        <v>1348</v>
      </c>
      <c r="P1745" s="46" t="s">
        <v>1348</v>
      </c>
      <c r="Q1745" s="46" t="s">
        <v>1348</v>
      </c>
      <c r="R1745" s="46" t="s">
        <v>37</v>
      </c>
      <c r="S1745" s="46" t="s">
        <v>1348</v>
      </c>
      <c r="T1745" s="46" t="s">
        <v>1348</v>
      </c>
      <c r="U1745" s="46" t="s">
        <v>1348</v>
      </c>
      <c r="V1745" s="46" t="s">
        <v>59</v>
      </c>
      <c r="W1745" s="46" t="s">
        <v>59</v>
      </c>
      <c r="X1745" s="46" t="s">
        <v>59</v>
      </c>
      <c r="Y1745" s="46" t="s">
        <v>37</v>
      </c>
      <c r="Z1745" s="46" t="s">
        <v>59</v>
      </c>
      <c r="AA1745" s="46" t="s">
        <v>59</v>
      </c>
      <c r="AB1745" s="46" t="s">
        <v>59</v>
      </c>
      <c r="AC1745" s="46" t="s">
        <v>59</v>
      </c>
      <c r="AD1745" s="46" t="s">
        <v>59</v>
      </c>
      <c r="AE1745" s="46" t="s">
        <v>59</v>
      </c>
      <c r="AF1745" s="46" t="s">
        <v>37</v>
      </c>
      <c r="AG1745" s="46" t="s">
        <v>59</v>
      </c>
      <c r="AH1745" s="46" t="s">
        <v>43</v>
      </c>
      <c r="AI1745" s="46" t="s">
        <v>1348</v>
      </c>
      <c r="AJ1745" s="46">
        <f>=SUM(E1746:AI1746)</f>
      </c>
      <c r="AK1745" s="46">
        <f>=+AY1745</f>
      </c>
      <c r="AL1745" s="46"/>
      <c r="AM1745" s="1"/>
      <c r="AN1745" s="1">
        <f>=COUNTIF(E1745:AI1745,"A")+COUNTIF(E1745:AI1745,"B")+COUNTIF(E1745:AI1745,"C")+COUNTIF(E1745:AI1745,"D")+COUNTIF(E1745:AI1745,"E")+COUNTIF(E1745:AI1745,"F")+COUNTIF(E1745:AI1745,"M")+COUNTIF(E1745:AI1745,"AB")+COUNTIF(E1745:AI1745,"UZ")+COUNTIF(E1745:AI1745,"G")+(COUNTIF(E1745:AI1745,"RT.")/2)+(COUNTIF(E1745:AI1745,"ÇRT.")/2)</f>
      </c>
      <c r="AO1745" s="1">
        <f>=COUNTIF(E1745:AI1745,"O")</f>
      </c>
      <c r="AP1745" s="1">
        <f>=COUNTIF(E1745:AI1745,"RT")+(COUNTIF(E1745:AI1745,"RT.")/2)</f>
      </c>
      <c r="AQ1745" s="1">
        <f>=COUNTIF(E1745:AI1745,"ÇRT")+(COUNTIF(E1745:AI1745,"ÇRT.")/2)</f>
      </c>
      <c r="AR1745" s="1">
        <f>=COUNTIF(E1745:AI1745,"ÇHT")</f>
      </c>
      <c r="AS1745" s="1">
        <f>=COUNTIF(E1745:AI1745,"Ö")+COUNTIF(E1745:AI1745,"T")</f>
      </c>
      <c r="AT1745" s="1">
        <f>=COUNTIF(E1745:AI1745,"Y")</f>
      </c>
      <c r="AU1745" s="1">
        <f>=COUNTIF(E1745:AI1745,"R.")</f>
      </c>
      <c r="AV1745" s="1">
        <f>=COUNTIF(E1745:AI1745,"Ü")</f>
      </c>
      <c r="AW1745" s="1">
        <f>=COUNTIF(E1745:AI1745,"R")</f>
      </c>
      <c r="AX1745" s="1">
        <f>=COUNTIF(E1745:AI1745,"DV")</f>
      </c>
      <c r="AY1745" s="1">
        <f>=+AN1745+AO1745+AP1745+AQ1745+AR1745+AS1745+AT1745+AU1745</f>
      </c>
    </row>
    <row r="1746" ht="16" customHeight="1" spans="1:51" x14ac:dyDescent="0.25">
      <c r="A1746" s="45"/>
      <c r="B1746" s="46"/>
      <c r="C1746" s="46"/>
      <c r="D1746" s="46" t="s">
        <v>33</v>
      </c>
      <c r="E1746" s="46"/>
      <c r="F1746" s="46"/>
      <c r="G1746" s="46"/>
      <c r="H1746" s="46"/>
      <c r="I1746" s="46"/>
      <c r="J1746" s="46"/>
      <c r="K1746" s="46"/>
      <c r="L1746" s="46"/>
      <c r="M1746" s="46"/>
      <c r="N1746" s="46"/>
      <c r="O1746" s="46"/>
      <c r="P1746" s="46"/>
      <c r="Q1746" s="46"/>
      <c r="R1746" s="46"/>
      <c r="S1746" s="46"/>
      <c r="T1746" s="46"/>
      <c r="U1746" s="46"/>
      <c r="V1746" s="46"/>
      <c r="W1746" s="46"/>
      <c r="X1746" s="46"/>
      <c r="Y1746" s="46"/>
      <c r="Z1746" s="46"/>
      <c r="AA1746" s="46"/>
      <c r="AB1746" s="46"/>
      <c r="AC1746" s="46"/>
      <c r="AD1746" s="46"/>
      <c r="AE1746" s="46"/>
      <c r="AF1746" s="46"/>
      <c r="AG1746" s="46"/>
      <c r="AH1746" s="46"/>
      <c r="AI1746" s="46"/>
      <c r="AJ1746" s="46"/>
      <c r="AK1746" s="46"/>
      <c r="AL1746" s="46"/>
      <c r="AM1746" s="1"/>
      <c r="AN1746" s="1"/>
      <c r="AO1746" s="1"/>
      <c r="AP1746" s="1"/>
      <c r="AQ1746" s="1"/>
      <c r="AR1746" s="1"/>
      <c r="AS1746" s="1"/>
      <c r="AT1746" s="1"/>
      <c r="AU1746" s="1"/>
      <c r="AV1746" s="1"/>
      <c r="AW1746" s="1"/>
      <c r="AX1746" s="1"/>
      <c r="AY1746" s="1"/>
    </row>
    <row r="1747" ht="16" customHeight="1" spans="1:51" x14ac:dyDescent="0.25">
      <c r="A1747" s="45"/>
      <c r="B1747" s="46" t="s">
        <v>1798</v>
      </c>
      <c r="C1747" s="46" t="s">
        <v>1799</v>
      </c>
      <c r="D1747" s="46" t="s">
        <v>29</v>
      </c>
      <c r="E1747" s="46" t="s">
        <v>41</v>
      </c>
      <c r="F1747" s="46" t="s">
        <v>46</v>
      </c>
      <c r="G1747" s="46" t="s">
        <v>46</v>
      </c>
      <c r="H1747" s="46" t="s">
        <v>37</v>
      </c>
      <c r="I1747" s="46" t="s">
        <v>46</v>
      </c>
      <c r="J1747" s="46" t="s">
        <v>46</v>
      </c>
      <c r="K1747" s="46" t="s">
        <v>46</v>
      </c>
      <c r="L1747" s="46" t="s">
        <v>46</v>
      </c>
      <c r="M1747" s="46" t="s">
        <v>46</v>
      </c>
      <c r="N1747" s="46" t="s">
        <v>46</v>
      </c>
      <c r="O1747" s="46" t="s">
        <v>37</v>
      </c>
      <c r="P1747" s="46" t="s">
        <v>46</v>
      </c>
      <c r="Q1747" s="46" t="s">
        <v>46</v>
      </c>
      <c r="R1747" s="46" t="s">
        <v>46</v>
      </c>
      <c r="S1747" s="46" t="s">
        <v>46</v>
      </c>
      <c r="T1747" s="46" t="s">
        <v>46</v>
      </c>
      <c r="U1747" s="46" t="s">
        <v>46</v>
      </c>
      <c r="V1747" s="46" t="s">
        <v>37</v>
      </c>
      <c r="W1747" s="46" t="s">
        <v>46</v>
      </c>
      <c r="X1747" s="46" t="s">
        <v>46</v>
      </c>
      <c r="Y1747" s="46" t="s">
        <v>46</v>
      </c>
      <c r="Z1747" s="46" t="s">
        <v>46</v>
      </c>
      <c r="AA1747" s="46" t="s">
        <v>46</v>
      </c>
      <c r="AB1747" s="46" t="s">
        <v>46</v>
      </c>
      <c r="AC1747" s="46" t="s">
        <v>37</v>
      </c>
      <c r="AD1747" s="46" t="s">
        <v>46</v>
      </c>
      <c r="AE1747" s="46" t="s">
        <v>46</v>
      </c>
      <c r="AF1747" s="46" t="s">
        <v>46</v>
      </c>
      <c r="AG1747" s="46" t="s">
        <v>46</v>
      </c>
      <c r="AH1747" s="46" t="s">
        <v>43</v>
      </c>
      <c r="AI1747" s="46" t="s">
        <v>37</v>
      </c>
      <c r="AJ1747" s="46">
        <f>=SUM(E1748:AI1748)</f>
      </c>
      <c r="AK1747" s="46">
        <f>=+AY1747</f>
      </c>
      <c r="AL1747" s="46"/>
      <c r="AM1747" s="1"/>
      <c r="AN1747" s="1">
        <f>=COUNTIF(E1747:AI1747,"A")+COUNTIF(E1747:AI1747,"B")+COUNTIF(E1747:AI1747,"C")+COUNTIF(E1747:AI1747,"D")+COUNTIF(E1747:AI1747,"E")+COUNTIF(E1747:AI1747,"F")+COUNTIF(E1747:AI1747,"M")+COUNTIF(E1747:AI1747,"AB")+COUNTIF(E1747:AI1747,"UZ")+COUNTIF(E1747:AI1747,"G")+(COUNTIF(E1747:AI1747,"RT.")/2)+(COUNTIF(E1747:AI1747,"ÇRT.")/2)</f>
      </c>
      <c r="AO1747" s="1">
        <f>=COUNTIF(E1747:AI1747,"O")</f>
      </c>
      <c r="AP1747" s="1">
        <f>=COUNTIF(E1747:AI1747,"RT")+(COUNTIF(E1747:AI1747,"RT.")/2)</f>
      </c>
      <c r="AQ1747" s="1">
        <f>=COUNTIF(E1747:AI1747,"ÇRT")+(COUNTIF(E1747:AI1747,"ÇRT.")/2)</f>
      </c>
      <c r="AR1747" s="1">
        <f>=COUNTIF(E1747:AI1747,"ÇHT")</f>
      </c>
      <c r="AS1747" s="1">
        <f>=COUNTIF(E1747:AI1747,"Ö")+COUNTIF(E1747:AI1747,"T")</f>
      </c>
      <c r="AT1747" s="1">
        <f>=COUNTIF(E1747:AI1747,"Y")</f>
      </c>
      <c r="AU1747" s="1">
        <f>=COUNTIF(E1747:AI1747,"R.")</f>
      </c>
      <c r="AV1747" s="1">
        <f>=COUNTIF(E1747:AI1747,"Ü")</f>
      </c>
      <c r="AW1747" s="1">
        <f>=COUNTIF(E1747:AI1747,"R")</f>
      </c>
      <c r="AX1747" s="1">
        <f>=COUNTIF(E1747:AI1747,"DV")</f>
      </c>
      <c r="AY1747" s="1">
        <f>=+AN1747+AO1747+AP1747+AQ1747+AR1747+AS1747+AT1747+AU1747</f>
      </c>
    </row>
    <row r="1748" ht="16" customHeight="1" spans="1:51" x14ac:dyDescent="0.25">
      <c r="A1748" s="45"/>
      <c r="B1748" s="46"/>
      <c r="C1748" s="46"/>
      <c r="D1748" s="46" t="s">
        <v>33</v>
      </c>
      <c r="E1748" s="46"/>
      <c r="F1748" s="46"/>
      <c r="G1748" s="46"/>
      <c r="H1748" s="46"/>
      <c r="I1748" s="46"/>
      <c r="J1748" s="46"/>
      <c r="K1748" s="46"/>
      <c r="L1748" s="46"/>
      <c r="M1748" s="46"/>
      <c r="N1748" s="46">
        <v>3</v>
      </c>
      <c r="O1748" s="46"/>
      <c r="P1748" s="46"/>
      <c r="Q1748" s="46"/>
      <c r="R1748" s="46"/>
      <c r="S1748" s="46"/>
      <c r="T1748" s="46"/>
      <c r="U1748" s="46"/>
      <c r="V1748" s="46"/>
      <c r="W1748" s="46"/>
      <c r="X1748" s="46"/>
      <c r="Y1748" s="46"/>
      <c r="Z1748" s="46"/>
      <c r="AA1748" s="46"/>
      <c r="AB1748" s="46"/>
      <c r="AC1748" s="46"/>
      <c r="AD1748" s="46"/>
      <c r="AE1748" s="46"/>
      <c r="AF1748" s="46"/>
      <c r="AG1748" s="46"/>
      <c r="AH1748" s="46"/>
      <c r="AI1748" s="46"/>
      <c r="AJ1748" s="46"/>
      <c r="AK1748" s="46"/>
      <c r="AL1748" s="46"/>
      <c r="AM1748" s="1"/>
      <c r="AN1748" s="1"/>
      <c r="AO1748" s="1"/>
      <c r="AP1748" s="1"/>
      <c r="AQ1748" s="1"/>
      <c r="AR1748" s="1"/>
      <c r="AS1748" s="1"/>
      <c r="AT1748" s="1"/>
      <c r="AU1748" s="1"/>
      <c r="AV1748" s="1"/>
      <c r="AW1748" s="1"/>
      <c r="AX1748" s="1"/>
      <c r="AY1748" s="1"/>
    </row>
    <row r="1749" ht="16" customHeight="1" spans="1:51" x14ac:dyDescent="0.25">
      <c r="A1749" s="45"/>
      <c r="B1749" s="46" t="s">
        <v>1800</v>
      </c>
      <c r="C1749" s="46" t="s">
        <v>1801</v>
      </c>
      <c r="D1749" s="46" t="s">
        <v>29</v>
      </c>
      <c r="E1749" s="46"/>
      <c r="F1749" s="46"/>
      <c r="G1749" s="46"/>
      <c r="H1749" s="46"/>
      <c r="I1749" s="46"/>
      <c r="J1749" s="46"/>
      <c r="K1749" s="46"/>
      <c r="L1749" s="46"/>
      <c r="M1749" s="46"/>
      <c r="N1749" s="46"/>
      <c r="O1749" s="46"/>
      <c r="P1749" s="46"/>
      <c r="Q1749" s="46"/>
      <c r="R1749" s="46"/>
      <c r="S1749" s="46"/>
      <c r="T1749" s="46"/>
      <c r="U1749" s="46"/>
      <c r="V1749" s="46"/>
      <c r="W1749" s="46"/>
      <c r="X1749" s="46"/>
      <c r="Y1749" s="46"/>
      <c r="Z1749" s="46"/>
      <c r="AA1749" s="46"/>
      <c r="AB1749" s="46"/>
      <c r="AC1749" s="46"/>
      <c r="AD1749" s="46"/>
      <c r="AE1749" s="46"/>
      <c r="AF1749" s="46"/>
      <c r="AG1749" s="46"/>
      <c r="AH1749" s="46"/>
      <c r="AI1749" s="46"/>
      <c r="AJ1749" s="46">
        <f>=SUM(E1750:AI1750)</f>
      </c>
      <c r="AK1749" s="46">
        <f>=+AY1749</f>
      </c>
      <c r="AL1749" s="46"/>
      <c r="AM1749" s="1"/>
      <c r="AN1749" s="1">
        <f>=COUNTIF(E1749:AI1749,"A")+COUNTIF(E1749:AI1749,"B")+COUNTIF(E1749:AI1749,"C")+COUNTIF(E1749:AI1749,"D")+COUNTIF(E1749:AI1749,"E")+COUNTIF(E1749:AI1749,"F")+COUNTIF(E1749:AI1749,"M")+COUNTIF(E1749:AI1749,"AB")+COUNTIF(E1749:AI1749,"UZ")+COUNTIF(E1749:AI1749,"G")+(COUNTIF(E1749:AI1749,"RT.")/2)+(COUNTIF(E1749:AI1749,"ÇRT.")/2)</f>
      </c>
      <c r="AO1749" s="1">
        <f>=COUNTIF(E1749:AI1749,"O")</f>
      </c>
      <c r="AP1749" s="1">
        <f>=COUNTIF(E1749:AI1749,"RT")+(COUNTIF(E1749:AI1749,"RT.")/2)</f>
      </c>
      <c r="AQ1749" s="1">
        <f>=COUNTIF(E1749:AI1749,"ÇRT")+(COUNTIF(E1749:AI1749,"ÇRT.")/2)</f>
      </c>
      <c r="AR1749" s="1">
        <f>=COUNTIF(E1749:AI1749,"ÇHT")</f>
      </c>
      <c r="AS1749" s="1">
        <f>=COUNTIF(E1749:AI1749,"Ö")+COUNTIF(E1749:AI1749,"T")</f>
      </c>
      <c r="AT1749" s="1">
        <f>=COUNTIF(E1749:AI1749,"Y")</f>
      </c>
      <c r="AU1749" s="1">
        <f>=COUNTIF(E1749:AI1749,"R.")</f>
      </c>
      <c r="AV1749" s="1">
        <f>=COUNTIF(E1749:AI1749,"Ü")</f>
      </c>
      <c r="AW1749" s="1">
        <f>=COUNTIF(E1749:AI1749,"R")</f>
      </c>
      <c r="AX1749" s="1">
        <f>=COUNTIF(E1749:AI1749,"DV")</f>
      </c>
      <c r="AY1749" s="1">
        <f>=+AN1749+AO1749+AP1749+AQ1749+AR1749+AS1749+AT1749+AU1749</f>
      </c>
    </row>
    <row r="1750" ht="16" customHeight="1" spans="1:51" x14ac:dyDescent="0.25">
      <c r="A1750" s="45"/>
      <c r="B1750" s="46"/>
      <c r="C1750" s="46"/>
      <c r="D1750" s="46" t="s">
        <v>33</v>
      </c>
      <c r="E1750" s="46"/>
      <c r="F1750" s="46"/>
      <c r="G1750" s="46"/>
      <c r="H1750" s="46"/>
      <c r="I1750" s="46"/>
      <c r="J1750" s="46"/>
      <c r="K1750" s="46"/>
      <c r="L1750" s="46"/>
      <c r="M1750" s="46"/>
      <c r="N1750" s="46"/>
      <c r="O1750" s="46"/>
      <c r="P1750" s="46"/>
      <c r="Q1750" s="46"/>
      <c r="R1750" s="46"/>
      <c r="S1750" s="46"/>
      <c r="T1750" s="46"/>
      <c r="U1750" s="46"/>
      <c r="V1750" s="46"/>
      <c r="W1750" s="46"/>
      <c r="X1750" s="46"/>
      <c r="Y1750" s="46"/>
      <c r="Z1750" s="46"/>
      <c r="AA1750" s="46"/>
      <c r="AB1750" s="46"/>
      <c r="AC1750" s="46"/>
      <c r="AD1750" s="46"/>
      <c r="AE1750" s="46"/>
      <c r="AF1750" s="46"/>
      <c r="AG1750" s="46"/>
      <c r="AH1750" s="46"/>
      <c r="AI1750" s="46"/>
      <c r="AJ1750" s="46"/>
      <c r="AK1750" s="46"/>
      <c r="AL1750" s="46"/>
      <c r="AM1750" s="1"/>
      <c r="AN1750" s="1"/>
      <c r="AO1750" s="1"/>
      <c r="AP1750" s="1"/>
      <c r="AQ1750" s="1"/>
      <c r="AR1750" s="1"/>
      <c r="AS1750" s="1"/>
      <c r="AT1750" s="1"/>
      <c r="AU1750" s="1"/>
      <c r="AV1750" s="1"/>
      <c r="AW1750" s="1"/>
      <c r="AX1750" s="1"/>
      <c r="AY1750" s="1"/>
    </row>
    <row r="1751" ht="16" customHeight="1" spans="1:51" x14ac:dyDescent="0.25">
      <c r="A1751" s="45"/>
      <c r="B1751" s="46" t="s">
        <v>1802</v>
      </c>
      <c r="C1751" s="46" t="s">
        <v>1803</v>
      </c>
      <c r="D1751" s="46" t="s">
        <v>29</v>
      </c>
      <c r="E1751" s="46" t="s">
        <v>59</v>
      </c>
      <c r="F1751" s="46" t="s">
        <v>59</v>
      </c>
      <c r="G1751" s="46" t="s">
        <v>59</v>
      </c>
      <c r="H1751" s="46" t="s">
        <v>37</v>
      </c>
      <c r="I1751" s="46" t="s">
        <v>59</v>
      </c>
      <c r="J1751" s="46" t="s">
        <v>59</v>
      </c>
      <c r="K1751" s="46" t="s">
        <v>59</v>
      </c>
      <c r="L1751" s="46" t="s">
        <v>59</v>
      </c>
      <c r="M1751" s="46" t="s">
        <v>59</v>
      </c>
      <c r="N1751" s="46" t="s">
        <v>59</v>
      </c>
      <c r="O1751" s="46" t="s">
        <v>37</v>
      </c>
      <c r="P1751" s="46" t="s">
        <v>59</v>
      </c>
      <c r="Q1751" s="46" t="s">
        <v>59</v>
      </c>
      <c r="R1751" s="46" t="s">
        <v>59</v>
      </c>
      <c r="S1751" s="46" t="s">
        <v>59</v>
      </c>
      <c r="T1751" s="46" t="s">
        <v>59</v>
      </c>
      <c r="U1751" s="46" t="s">
        <v>59</v>
      </c>
      <c r="V1751" s="46" t="s">
        <v>37</v>
      </c>
      <c r="W1751" s="46" t="s">
        <v>59</v>
      </c>
      <c r="X1751" s="46" t="s">
        <v>59</v>
      </c>
      <c r="Y1751" s="46" t="s">
        <v>59</v>
      </c>
      <c r="Z1751" s="46" t="s">
        <v>59</v>
      </c>
      <c r="AA1751" s="46" t="s">
        <v>59</v>
      </c>
      <c r="AB1751" s="46" t="s">
        <v>59</v>
      </c>
      <c r="AC1751" s="46" t="s">
        <v>37</v>
      </c>
      <c r="AD1751" s="46" t="s">
        <v>59</v>
      </c>
      <c r="AE1751" s="46" t="s">
        <v>59</v>
      </c>
      <c r="AF1751" s="46" t="s">
        <v>59</v>
      </c>
      <c r="AG1751" s="46" t="s">
        <v>59</v>
      </c>
      <c r="AH1751" s="46" t="s">
        <v>43</v>
      </c>
      <c r="AI1751" s="46" t="s">
        <v>36</v>
      </c>
      <c r="AJ1751" s="46">
        <f>=SUM(E1752:AI1752)</f>
      </c>
      <c r="AK1751" s="46">
        <f>=+AY1751</f>
      </c>
      <c r="AL1751" s="46"/>
      <c r="AM1751" s="1"/>
      <c r="AN1751" s="1">
        <f>=COUNTIF(E1751:AI1751,"A")+COUNTIF(E1751:AI1751,"B")+COUNTIF(E1751:AI1751,"C")+COUNTIF(E1751:AI1751,"D")+COUNTIF(E1751:AI1751,"E")+COUNTIF(E1751:AI1751,"F")+COUNTIF(E1751:AI1751,"M")+COUNTIF(E1751:AI1751,"AB")+COUNTIF(E1751:AI1751,"UZ")+COUNTIF(E1751:AI1751,"G")+(COUNTIF(E1751:AI1751,"RT.")/2)+(COUNTIF(E1751:AI1751,"ÇRT.")/2)</f>
      </c>
      <c r="AO1751" s="1">
        <f>=COUNTIF(E1751:AI1751,"O")</f>
      </c>
      <c r="AP1751" s="1">
        <f>=COUNTIF(E1751:AI1751,"RT")+(COUNTIF(E1751:AI1751,"RT.")/2)</f>
      </c>
      <c r="AQ1751" s="1">
        <f>=COUNTIF(E1751:AI1751,"ÇRT")+(COUNTIF(E1751:AI1751,"ÇRT.")/2)</f>
      </c>
      <c r="AR1751" s="1">
        <f>=COUNTIF(E1751:AI1751,"ÇHT")</f>
      </c>
      <c r="AS1751" s="1">
        <f>=COUNTIF(E1751:AI1751,"Ö")+COUNTIF(E1751:AI1751,"T")</f>
      </c>
      <c r="AT1751" s="1">
        <f>=COUNTIF(E1751:AI1751,"Y")</f>
      </c>
      <c r="AU1751" s="1">
        <f>=COUNTIF(E1751:AI1751,"R.")</f>
      </c>
      <c r="AV1751" s="1">
        <f>=COUNTIF(E1751:AI1751,"Ü")</f>
      </c>
      <c r="AW1751" s="1">
        <f>=COUNTIF(E1751:AI1751,"R")</f>
      </c>
      <c r="AX1751" s="1">
        <f>=COUNTIF(E1751:AI1751,"DV")</f>
      </c>
      <c r="AY1751" s="1">
        <f>=+AN1751+AO1751+AP1751+AQ1751+AR1751+AS1751+AT1751+AU1751</f>
      </c>
    </row>
    <row r="1752" ht="16" customHeight="1" spans="1:51" x14ac:dyDescent="0.25">
      <c r="A1752" s="45"/>
      <c r="B1752" s="46"/>
      <c r="C1752" s="46"/>
      <c r="D1752" s="46" t="s">
        <v>33</v>
      </c>
      <c r="E1752" s="46"/>
      <c r="F1752" s="46"/>
      <c r="G1752" s="46"/>
      <c r="H1752" s="46"/>
      <c r="I1752" s="46">
        <v>1</v>
      </c>
      <c r="J1752" s="46"/>
      <c r="K1752" s="46"/>
      <c r="L1752" s="46"/>
      <c r="M1752" s="46"/>
      <c r="N1752" s="46"/>
      <c r="O1752" s="46"/>
      <c r="P1752" s="46"/>
      <c r="Q1752" s="46"/>
      <c r="R1752" s="46"/>
      <c r="S1752" s="46"/>
      <c r="T1752" s="46"/>
      <c r="U1752" s="46"/>
      <c r="V1752" s="46"/>
      <c r="W1752" s="46">
        <v>2</v>
      </c>
      <c r="X1752" s="46"/>
      <c r="Y1752" s="46"/>
      <c r="Z1752" s="46"/>
      <c r="AA1752" s="46"/>
      <c r="AB1752" s="46"/>
      <c r="AC1752" s="46"/>
      <c r="AD1752" s="46">
        <v>2</v>
      </c>
      <c r="AE1752" s="46"/>
      <c r="AF1752" s="46"/>
      <c r="AG1752" s="46"/>
      <c r="AH1752" s="46">
        <v>3</v>
      </c>
      <c r="AI1752" s="46">
        <v>3</v>
      </c>
      <c r="AJ1752" s="46"/>
      <c r="AK1752" s="46"/>
      <c r="AL1752" s="46"/>
      <c r="AM1752" s="1"/>
      <c r="AN1752" s="1"/>
      <c r="AO1752" s="1"/>
      <c r="AP1752" s="1"/>
      <c r="AQ1752" s="1"/>
      <c r="AR1752" s="1"/>
      <c r="AS1752" s="1"/>
      <c r="AT1752" s="1"/>
      <c r="AU1752" s="1"/>
      <c r="AV1752" s="1"/>
      <c r="AW1752" s="1"/>
      <c r="AX1752" s="1"/>
      <c r="AY1752" s="1"/>
    </row>
    <row r="1753" ht="16" customHeight="1" spans="1:51" x14ac:dyDescent="0.25">
      <c r="A1753" s="45"/>
      <c r="B1753" s="46" t="s">
        <v>1804</v>
      </c>
      <c r="C1753" s="46" t="s">
        <v>1805</v>
      </c>
      <c r="D1753" s="46" t="s">
        <v>29</v>
      </c>
      <c r="E1753" s="46"/>
      <c r="F1753" s="46"/>
      <c r="G1753" s="46"/>
      <c r="H1753" s="46"/>
      <c r="I1753" s="46"/>
      <c r="J1753" s="46"/>
      <c r="K1753" s="46"/>
      <c r="L1753" s="46"/>
      <c r="M1753" s="46"/>
      <c r="N1753" s="46"/>
      <c r="O1753" s="46"/>
      <c r="P1753" s="46"/>
      <c r="Q1753" s="46"/>
      <c r="R1753" s="46"/>
      <c r="S1753" s="46"/>
      <c r="T1753" s="46"/>
      <c r="U1753" s="46"/>
      <c r="V1753" s="46"/>
      <c r="W1753" s="46"/>
      <c r="X1753" s="46"/>
      <c r="Y1753" s="46"/>
      <c r="Z1753" s="46"/>
      <c r="AA1753" s="46"/>
      <c r="AB1753" s="46"/>
      <c r="AC1753" s="46"/>
      <c r="AD1753" s="46"/>
      <c r="AE1753" s="46"/>
      <c r="AF1753" s="46"/>
      <c r="AG1753" s="46"/>
      <c r="AH1753" s="46"/>
      <c r="AI1753" s="46"/>
      <c r="AJ1753" s="46">
        <f>=SUM(E1754:AI1754)</f>
      </c>
      <c r="AK1753" s="46">
        <f>=+AY1753</f>
      </c>
      <c r="AL1753" s="46"/>
      <c r="AM1753" s="1"/>
      <c r="AN1753" s="1">
        <f>=COUNTIF(E1753:AI1753,"A")+COUNTIF(E1753:AI1753,"B")+COUNTIF(E1753:AI1753,"C")+COUNTIF(E1753:AI1753,"D")+COUNTIF(E1753:AI1753,"E")+COUNTIF(E1753:AI1753,"F")+COUNTIF(E1753:AI1753,"M")+COUNTIF(E1753:AI1753,"AB")+COUNTIF(E1753:AI1753,"UZ")+COUNTIF(E1753:AI1753,"G")+(COUNTIF(E1753:AI1753,"RT.")/2)+(COUNTIF(E1753:AI1753,"ÇRT.")/2)</f>
      </c>
      <c r="AO1753" s="1">
        <f>=COUNTIF(E1753:AI1753,"O")</f>
      </c>
      <c r="AP1753" s="1">
        <f>=COUNTIF(E1753:AI1753,"RT")+(COUNTIF(E1753:AI1753,"RT.")/2)</f>
      </c>
      <c r="AQ1753" s="1">
        <f>=COUNTIF(E1753:AI1753,"ÇRT")+(COUNTIF(E1753:AI1753,"ÇRT.")/2)</f>
      </c>
      <c r="AR1753" s="1">
        <f>=COUNTIF(E1753:AI1753,"ÇHT")</f>
      </c>
      <c r="AS1753" s="1">
        <f>=COUNTIF(E1753:AI1753,"Ö")+COUNTIF(E1753:AI1753,"T")</f>
      </c>
      <c r="AT1753" s="1">
        <f>=COUNTIF(E1753:AI1753,"Y")</f>
      </c>
      <c r="AU1753" s="1">
        <f>=COUNTIF(E1753:AI1753,"R.")</f>
      </c>
      <c r="AV1753" s="1">
        <f>=COUNTIF(E1753:AI1753,"Ü")</f>
      </c>
      <c r="AW1753" s="1">
        <f>=COUNTIF(E1753:AI1753,"R")</f>
      </c>
      <c r="AX1753" s="1">
        <f>=COUNTIF(E1753:AI1753,"DV")</f>
      </c>
      <c r="AY1753" s="1">
        <f>=+AN1753+AO1753+AP1753+AQ1753+AR1753+AS1753+AT1753+AU1753</f>
      </c>
    </row>
    <row r="1754" ht="16" customHeight="1" spans="1:51" x14ac:dyDescent="0.25">
      <c r="A1754" s="45"/>
      <c r="B1754" s="46"/>
      <c r="C1754" s="46"/>
      <c r="D1754" s="46" t="s">
        <v>33</v>
      </c>
      <c r="E1754" s="46"/>
      <c r="F1754" s="46"/>
      <c r="G1754" s="46"/>
      <c r="H1754" s="46"/>
      <c r="I1754" s="46"/>
      <c r="J1754" s="46"/>
      <c r="K1754" s="46"/>
      <c r="L1754" s="46"/>
      <c r="M1754" s="46"/>
      <c r="N1754" s="46"/>
      <c r="O1754" s="46"/>
      <c r="P1754" s="46"/>
      <c r="Q1754" s="46"/>
      <c r="R1754" s="46"/>
      <c r="S1754" s="46"/>
      <c r="T1754" s="46"/>
      <c r="U1754" s="46"/>
      <c r="V1754" s="46"/>
      <c r="W1754" s="46"/>
      <c r="X1754" s="46"/>
      <c r="Y1754" s="46"/>
      <c r="Z1754" s="46"/>
      <c r="AA1754" s="46"/>
      <c r="AB1754" s="46"/>
      <c r="AC1754" s="46"/>
      <c r="AD1754" s="46"/>
      <c r="AE1754" s="46"/>
      <c r="AF1754" s="46"/>
      <c r="AG1754" s="46"/>
      <c r="AH1754" s="46"/>
      <c r="AI1754" s="46"/>
      <c r="AJ1754" s="46"/>
      <c r="AK1754" s="46"/>
      <c r="AL1754" s="46"/>
      <c r="AM1754" s="1"/>
      <c r="AN1754" s="1"/>
      <c r="AO1754" s="1"/>
      <c r="AP1754" s="1"/>
      <c r="AQ1754" s="1"/>
      <c r="AR1754" s="1"/>
      <c r="AS1754" s="1"/>
      <c r="AT1754" s="1"/>
      <c r="AU1754" s="1"/>
      <c r="AV1754" s="1"/>
      <c r="AW1754" s="1"/>
      <c r="AX1754" s="1"/>
      <c r="AY1754" s="1"/>
    </row>
    <row r="1755" ht="16" customHeight="1" spans="1:51" x14ac:dyDescent="0.25">
      <c r="A1755" s="45"/>
      <c r="B1755" s="46" t="s">
        <v>1806</v>
      </c>
      <c r="C1755" s="46" t="s">
        <v>1807</v>
      </c>
      <c r="D1755" s="46" t="s">
        <v>29</v>
      </c>
      <c r="E1755" s="46" t="s">
        <v>36</v>
      </c>
      <c r="F1755" s="46" t="s">
        <v>36</v>
      </c>
      <c r="G1755" s="46" t="s">
        <v>36</v>
      </c>
      <c r="H1755" s="46" t="s">
        <v>36</v>
      </c>
      <c r="I1755" s="46" t="s">
        <v>36</v>
      </c>
      <c r="J1755" s="46" t="s">
        <v>36</v>
      </c>
      <c r="K1755" s="46" t="s">
        <v>37</v>
      </c>
      <c r="L1755" s="46" t="s">
        <v>36</v>
      </c>
      <c r="M1755" s="46" t="s">
        <v>36</v>
      </c>
      <c r="N1755" s="46" t="s">
        <v>36</v>
      </c>
      <c r="O1755" s="46" t="s">
        <v>36</v>
      </c>
      <c r="P1755" s="46" t="s">
        <v>36</v>
      </c>
      <c r="Q1755" s="46" t="s">
        <v>36</v>
      </c>
      <c r="R1755" s="46" t="s">
        <v>37</v>
      </c>
      <c r="S1755" s="46" t="s">
        <v>31</v>
      </c>
      <c r="T1755" s="46" t="s">
        <v>36</v>
      </c>
      <c r="U1755" s="46" t="s">
        <v>36</v>
      </c>
      <c r="V1755" s="46" t="s">
        <v>36</v>
      </c>
      <c r="W1755" s="46" t="s">
        <v>31</v>
      </c>
      <c r="X1755" s="46" t="s">
        <v>37</v>
      </c>
      <c r="Y1755" s="46" t="s">
        <v>32</v>
      </c>
      <c r="Z1755" s="46" t="s">
        <v>32</v>
      </c>
      <c r="AA1755" s="46" t="s">
        <v>32</v>
      </c>
      <c r="AB1755" s="46" t="s">
        <v>36</v>
      </c>
      <c r="AC1755" s="46" t="s">
        <v>36</v>
      </c>
      <c r="AD1755" s="46" t="s">
        <v>36</v>
      </c>
      <c r="AE1755" s="46" t="s">
        <v>36</v>
      </c>
      <c r="AF1755" s="46" t="s">
        <v>37</v>
      </c>
      <c r="AG1755" s="46" t="s">
        <v>36</v>
      </c>
      <c r="AH1755" s="46" t="s">
        <v>43</v>
      </c>
      <c r="AI1755" s="46" t="s">
        <v>36</v>
      </c>
      <c r="AJ1755" s="46">
        <f>=SUM(E1756:AI1756)</f>
      </c>
      <c r="AK1755" s="46">
        <f>=+AY1755</f>
      </c>
      <c r="AL1755" s="46"/>
      <c r="AM1755" s="1"/>
      <c r="AN1755" s="1">
        <f>=COUNTIF(E1755:AI1755,"A")+COUNTIF(E1755:AI1755,"B")+COUNTIF(E1755:AI1755,"C")+COUNTIF(E1755:AI1755,"D")+COUNTIF(E1755:AI1755,"E")+COUNTIF(E1755:AI1755,"F")+COUNTIF(E1755:AI1755,"M")+COUNTIF(E1755:AI1755,"AB")+COUNTIF(E1755:AI1755,"UZ")+COUNTIF(E1755:AI1755,"G")+(COUNTIF(E1755:AI1755,"RT.")/2)+(COUNTIF(E1755:AI1755,"ÇRT.")/2)</f>
      </c>
      <c r="AO1755" s="1">
        <f>=COUNTIF(E1755:AI1755,"O")</f>
      </c>
      <c r="AP1755" s="1">
        <f>=COUNTIF(E1755:AI1755,"RT")+(COUNTIF(E1755:AI1755,"RT.")/2)</f>
      </c>
      <c r="AQ1755" s="1">
        <f>=COUNTIF(E1755:AI1755,"ÇRT")+(COUNTIF(E1755:AI1755,"ÇRT.")/2)</f>
      </c>
      <c r="AR1755" s="1">
        <f>=COUNTIF(E1755:AI1755,"ÇHT")</f>
      </c>
      <c r="AS1755" s="1">
        <f>=COUNTIF(E1755:AI1755,"Ö")+COUNTIF(E1755:AI1755,"T")</f>
      </c>
      <c r="AT1755" s="1">
        <f>=COUNTIF(E1755:AI1755,"Y")</f>
      </c>
      <c r="AU1755" s="1">
        <f>=COUNTIF(E1755:AI1755,"R.")</f>
      </c>
      <c r="AV1755" s="1">
        <f>=COUNTIF(E1755:AI1755,"Ü")</f>
      </c>
      <c r="AW1755" s="1">
        <f>=COUNTIF(E1755:AI1755,"R")</f>
      </c>
      <c r="AX1755" s="1">
        <f>=COUNTIF(E1755:AI1755,"DV")</f>
      </c>
      <c r="AY1755" s="1">
        <f>=+AN1755+AO1755+AP1755+AQ1755+AR1755+AS1755+AT1755+AU1755</f>
      </c>
    </row>
    <row r="1756" ht="16" customHeight="1" spans="1:51" x14ac:dyDescent="0.25">
      <c r="A1756" s="45"/>
      <c r="B1756" s="46"/>
      <c r="C1756" s="46"/>
      <c r="D1756" s="46" t="s">
        <v>33</v>
      </c>
      <c r="E1756" s="46"/>
      <c r="F1756" s="46"/>
      <c r="G1756" s="46"/>
      <c r="H1756" s="46"/>
      <c r="I1756" s="46"/>
      <c r="J1756" s="46"/>
      <c r="K1756" s="46"/>
      <c r="L1756" s="46"/>
      <c r="M1756" s="46"/>
      <c r="N1756" s="46"/>
      <c r="O1756" s="46"/>
      <c r="P1756" s="46"/>
      <c r="Q1756" s="46"/>
      <c r="R1756" s="46"/>
      <c r="S1756" s="46"/>
      <c r="T1756" s="46"/>
      <c r="U1756" s="46"/>
      <c r="V1756" s="46"/>
      <c r="W1756" s="46"/>
      <c r="X1756" s="46"/>
      <c r="Y1756" s="46"/>
      <c r="Z1756" s="46"/>
      <c r="AA1756" s="46"/>
      <c r="AB1756" s="46"/>
      <c r="AC1756" s="46"/>
      <c r="AD1756" s="46"/>
      <c r="AE1756" s="46"/>
      <c r="AF1756" s="46"/>
      <c r="AG1756" s="46"/>
      <c r="AH1756" s="46"/>
      <c r="AI1756" s="46"/>
      <c r="AJ1756" s="46"/>
      <c r="AK1756" s="46"/>
      <c r="AL1756" s="46"/>
      <c r="AM1756" s="1"/>
      <c r="AN1756" s="1"/>
      <c r="AO1756" s="1"/>
      <c r="AP1756" s="1"/>
      <c r="AQ1756" s="1"/>
      <c r="AR1756" s="1"/>
      <c r="AS1756" s="1"/>
      <c r="AT1756" s="1"/>
      <c r="AU1756" s="1"/>
      <c r="AV1756" s="1"/>
      <c r="AW1756" s="1"/>
      <c r="AX1756" s="1"/>
      <c r="AY1756" s="1"/>
    </row>
    <row r="1757" spans="1:38" x14ac:dyDescent="0.25">
      <c r="A1757" s="47" t="s">
        <v>1808</v>
      </c>
      <c r="B1757" s="47"/>
      <c r="C1757" s="47"/>
      <c r="D1757" s="47"/>
      <c r="E1757" s="47"/>
      <c r="F1757" s="47"/>
      <c r="G1757" s="47"/>
      <c r="H1757" s="47"/>
      <c r="I1757" s="47"/>
      <c r="J1757" s="47"/>
      <c r="K1757" s="47"/>
      <c r="L1757" s="47"/>
      <c r="M1757" s="47"/>
      <c r="N1757" s="47" t="s">
        <v>1809</v>
      </c>
      <c r="O1757" s="47"/>
      <c r="P1757" s="47"/>
      <c r="Q1757" s="47"/>
      <c r="R1757" s="47"/>
      <c r="S1757" s="47"/>
      <c r="T1757" s="47"/>
      <c r="U1757" s="47"/>
      <c r="V1757" s="47"/>
      <c r="W1757" s="47"/>
      <c r="X1757" s="47"/>
      <c r="Y1757" s="47"/>
      <c r="Z1757" s="47"/>
      <c r="AA1757" s="47"/>
      <c r="AB1757" s="47"/>
      <c r="AC1757" s="47"/>
      <c r="AD1757" s="47"/>
      <c r="AE1757" s="47"/>
      <c r="AF1757" s="47"/>
      <c r="AG1757" s="47"/>
      <c r="AH1757" s="47"/>
      <c r="AI1757" s="47"/>
      <c r="AJ1757" s="47"/>
      <c r="AK1757" s="47"/>
      <c r="AL1757" s="47"/>
    </row>
    <row r="1758" spans="1:38" x14ac:dyDescent="0.25">
      <c r="A1758" s="47"/>
      <c r="B1758" s="47"/>
      <c r="C1758" s="47"/>
      <c r="D1758" s="47"/>
      <c r="E1758" s="47"/>
      <c r="F1758" s="47"/>
      <c r="G1758" s="47"/>
      <c r="H1758" s="47"/>
      <c r="I1758" s="47"/>
      <c r="J1758" s="47"/>
      <c r="K1758" s="47"/>
      <c r="L1758" s="47"/>
      <c r="M1758" s="47"/>
      <c r="N1758" s="47"/>
      <c r="O1758" s="47"/>
      <c r="P1758" s="47"/>
      <c r="Q1758" s="47"/>
      <c r="R1758" s="47"/>
      <c r="S1758" s="47"/>
      <c r="T1758" s="47"/>
      <c r="U1758" s="47"/>
      <c r="V1758" s="47"/>
      <c r="W1758" s="47"/>
      <c r="X1758" s="47"/>
      <c r="Y1758" s="47"/>
      <c r="Z1758" s="47"/>
      <c r="AA1758" s="47"/>
      <c r="AB1758" s="47"/>
      <c r="AC1758" s="47"/>
      <c r="AD1758" s="47"/>
      <c r="AE1758" s="47"/>
      <c r="AF1758" s="47"/>
      <c r="AG1758" s="47"/>
      <c r="AH1758" s="47"/>
      <c r="AI1758" s="47"/>
      <c r="AJ1758" s="47"/>
      <c r="AK1758" s="47"/>
      <c r="AL1758" s="47"/>
    </row>
    <row r="1760" spans="7:38" x14ac:dyDescent="0.25">
      <c r="G1760" s="48" t="s">
        <v>1810</v>
      </c>
      <c r="H1760" s="48" t="s">
        <v>1811</v>
      </c>
      <c r="M1760" s="48" t="s">
        <v>1812</v>
      </c>
      <c r="N1760" s="48" t="s">
        <v>1813</v>
      </c>
      <c r="R1760" s="48" t="s">
        <v>1814</v>
      </c>
      <c r="S1760" s="48" t="s">
        <v>1815</v>
      </c>
      <c r="W1760" s="48" t="s">
        <v>1816</v>
      </c>
      <c r="X1760" s="48" t="s">
        <v>1817</v>
      </c>
      <c r="AB1760" s="48" t="s">
        <v>1818</v>
      </c>
      <c r="AC1760" s="48" t="s">
        <v>1819</v>
      </c>
      <c r="AG1760" s="48" t="s">
        <v>1820</v>
      </c>
      <c r="AH1760" s="48" t="s">
        <v>1821</v>
      </c>
      <c r="AK1760" s="48" t="s">
        <v>1822</v>
      </c>
      <c r="AL1760" s="48" t="s">
        <v>1823</v>
      </c>
    </row>
    <row r="1761" spans="7:38" x14ac:dyDescent="0.25">
      <c r="G1761" s="48" t="s">
        <v>1824</v>
      </c>
      <c r="H1761" s="48" t="s">
        <v>1825</v>
      </c>
      <c r="M1761" s="48" t="s">
        <v>1826</v>
      </c>
      <c r="N1761" s="48" t="s">
        <v>1827</v>
      </c>
      <c r="R1761" s="48" t="s">
        <v>1828</v>
      </c>
      <c r="S1761" s="48" t="s">
        <v>20</v>
      </c>
      <c r="W1761" s="48" t="s">
        <v>1829</v>
      </c>
      <c r="X1761" s="48" t="s">
        <v>22</v>
      </c>
      <c r="AB1761" s="48" t="s">
        <v>1830</v>
      </c>
      <c r="AC1761" s="48" t="s">
        <v>1831</v>
      </c>
      <c r="AG1761" s="48" t="s">
        <v>1832</v>
      </c>
      <c r="AH1761" s="48" t="s">
        <v>1833</v>
      </c>
      <c r="AK1761" s="48"/>
      <c r="AL1761" s="48"/>
    </row>
    <row r="1762" spans="7:38" x14ac:dyDescent="0.25">
      <c r="G1762" s="48" t="s">
        <v>1834</v>
      </c>
      <c r="H1762" s="48" t="s">
        <v>1835</v>
      </c>
      <c r="M1762" s="48" t="s">
        <v>1836</v>
      </c>
      <c r="N1762" s="48" t="s">
        <v>1837</v>
      </c>
      <c r="R1762" s="48" t="s">
        <v>1838</v>
      </c>
      <c r="S1762" s="48" t="s">
        <v>24</v>
      </c>
      <c r="W1762" s="48" t="s">
        <v>1839</v>
      </c>
      <c r="X1762" s="48" t="s">
        <v>21</v>
      </c>
      <c r="AB1762" s="48" t="s">
        <v>1840</v>
      </c>
      <c r="AC1762" s="48" t="s">
        <v>1841</v>
      </c>
      <c r="AG1762" s="48" t="s">
        <v>1842</v>
      </c>
      <c r="AH1762" s="48" t="s">
        <v>1843</v>
      </c>
      <c r="AK1762" s="48"/>
      <c r="AL1762" s="48"/>
    </row>
  </sheetData>
  <mergeCells count="4409">
    <mergeCell ref="AJ1:AL1"/>
    <mergeCell ref="AZ1:BE1"/>
    <mergeCell ref="AJ2:AL2"/>
    <mergeCell ref="AZ2:BE2"/>
    <mergeCell ref="A3:AL3"/>
    <mergeCell ref="E7:AI7"/>
    <mergeCell ref="A7:A8"/>
    <mergeCell ref="B7:B8"/>
    <mergeCell ref="C7:C8"/>
    <mergeCell ref="D7:D8"/>
    <mergeCell ref="AJ7:AJ8"/>
    <mergeCell ref="AK7:AK8"/>
    <mergeCell ref="AL7:AL8"/>
    <mergeCell ref="A9:A296"/>
    <mergeCell ref="B9:B10"/>
    <mergeCell ref="C9:C10"/>
    <mergeCell ref="AJ9:AJ10"/>
    <mergeCell ref="AK9:AK10"/>
    <mergeCell ref="AL9:AL10"/>
    <mergeCell ref="B11:B12"/>
    <mergeCell ref="C11:C12"/>
    <mergeCell ref="AJ11:AJ12"/>
    <mergeCell ref="AK11:AK12"/>
    <mergeCell ref="AL11:AL12"/>
    <mergeCell ref="B13:B14"/>
    <mergeCell ref="C13:C14"/>
    <mergeCell ref="AJ13:AJ14"/>
    <mergeCell ref="AK13:AK14"/>
    <mergeCell ref="AL13:AL14"/>
    <mergeCell ref="B15:B16"/>
    <mergeCell ref="C15:C16"/>
    <mergeCell ref="AJ15:AJ16"/>
    <mergeCell ref="AK15:AK16"/>
    <mergeCell ref="AL15:AL16"/>
    <mergeCell ref="B17:B18"/>
    <mergeCell ref="C17:C18"/>
    <mergeCell ref="AJ17:AJ18"/>
    <mergeCell ref="AK17:AK18"/>
    <mergeCell ref="AL17:AL18"/>
    <mergeCell ref="B19:B20"/>
    <mergeCell ref="C19:C20"/>
    <mergeCell ref="AJ19:AJ20"/>
    <mergeCell ref="AK19:AK20"/>
    <mergeCell ref="AL19:AL20"/>
    <mergeCell ref="B21:B22"/>
    <mergeCell ref="C21:C22"/>
    <mergeCell ref="AJ21:AJ22"/>
    <mergeCell ref="AK21:AK22"/>
    <mergeCell ref="AL21:AL22"/>
    <mergeCell ref="B23:B24"/>
    <mergeCell ref="C23:C24"/>
    <mergeCell ref="AJ23:AJ24"/>
    <mergeCell ref="AK23:AK24"/>
    <mergeCell ref="AL23:AL24"/>
    <mergeCell ref="B25:B26"/>
    <mergeCell ref="C25:C26"/>
    <mergeCell ref="AJ25:AJ26"/>
    <mergeCell ref="AK25:AK26"/>
    <mergeCell ref="AL25:AL26"/>
    <mergeCell ref="B27:B28"/>
    <mergeCell ref="C27:C28"/>
    <mergeCell ref="AJ27:AJ28"/>
    <mergeCell ref="AK27:AK28"/>
    <mergeCell ref="AL27:AL28"/>
    <mergeCell ref="B29:B30"/>
    <mergeCell ref="C29:C30"/>
    <mergeCell ref="AJ29:AJ30"/>
    <mergeCell ref="AK29:AK30"/>
    <mergeCell ref="AL29:AL30"/>
    <mergeCell ref="B31:B32"/>
    <mergeCell ref="C31:C32"/>
    <mergeCell ref="AJ31:AJ32"/>
    <mergeCell ref="AK31:AK32"/>
    <mergeCell ref="AL31:AL32"/>
    <mergeCell ref="B33:B34"/>
    <mergeCell ref="C33:C34"/>
    <mergeCell ref="AJ33:AJ34"/>
    <mergeCell ref="AK33:AK34"/>
    <mergeCell ref="AL33:AL34"/>
    <mergeCell ref="B35:B36"/>
    <mergeCell ref="C35:C36"/>
    <mergeCell ref="AJ35:AJ36"/>
    <mergeCell ref="AK35:AK36"/>
    <mergeCell ref="AL35:AL36"/>
    <mergeCell ref="B37:B38"/>
    <mergeCell ref="C37:C38"/>
    <mergeCell ref="AJ37:AJ38"/>
    <mergeCell ref="AK37:AK38"/>
    <mergeCell ref="AL37:AL38"/>
    <mergeCell ref="B39:B40"/>
    <mergeCell ref="C39:C40"/>
    <mergeCell ref="AJ39:AJ40"/>
    <mergeCell ref="AK39:AK40"/>
    <mergeCell ref="AL39:AL40"/>
    <mergeCell ref="B41:B42"/>
    <mergeCell ref="C41:C42"/>
    <mergeCell ref="AJ41:AJ42"/>
    <mergeCell ref="AK41:AK42"/>
    <mergeCell ref="AL41:AL42"/>
    <mergeCell ref="B43:B44"/>
    <mergeCell ref="C43:C44"/>
    <mergeCell ref="AJ43:AJ44"/>
    <mergeCell ref="AK43:AK44"/>
    <mergeCell ref="AL43:AL44"/>
    <mergeCell ref="B45:B46"/>
    <mergeCell ref="C45:C46"/>
    <mergeCell ref="AJ45:AJ46"/>
    <mergeCell ref="AK45:AK46"/>
    <mergeCell ref="AL45:AL46"/>
    <mergeCell ref="B47:B48"/>
    <mergeCell ref="C47:C48"/>
    <mergeCell ref="AJ47:AJ48"/>
    <mergeCell ref="AK47:AK48"/>
    <mergeCell ref="AL47:AL48"/>
    <mergeCell ref="B49:B50"/>
    <mergeCell ref="C49:C50"/>
    <mergeCell ref="AJ49:AJ50"/>
    <mergeCell ref="AK49:AK50"/>
    <mergeCell ref="AL49:AL50"/>
    <mergeCell ref="B51:B52"/>
    <mergeCell ref="C51:C52"/>
    <mergeCell ref="AJ51:AJ52"/>
    <mergeCell ref="AK51:AK52"/>
    <mergeCell ref="AL51:AL52"/>
    <mergeCell ref="B53:B54"/>
    <mergeCell ref="C53:C54"/>
    <mergeCell ref="AJ53:AJ54"/>
    <mergeCell ref="AK53:AK54"/>
    <mergeCell ref="AL53:AL54"/>
    <mergeCell ref="B55:B56"/>
    <mergeCell ref="C55:C56"/>
    <mergeCell ref="AJ55:AJ56"/>
    <mergeCell ref="AK55:AK56"/>
    <mergeCell ref="AL55:AL56"/>
    <mergeCell ref="B57:B58"/>
    <mergeCell ref="C57:C58"/>
    <mergeCell ref="AJ57:AJ58"/>
    <mergeCell ref="AK57:AK58"/>
    <mergeCell ref="AL57:AL58"/>
    <mergeCell ref="B59:B60"/>
    <mergeCell ref="C59:C60"/>
    <mergeCell ref="AJ59:AJ60"/>
    <mergeCell ref="AK59:AK60"/>
    <mergeCell ref="AL59:AL60"/>
    <mergeCell ref="B61:B62"/>
    <mergeCell ref="C61:C62"/>
    <mergeCell ref="AJ61:AJ62"/>
    <mergeCell ref="AK61:AK62"/>
    <mergeCell ref="AL61:AL62"/>
    <mergeCell ref="B63:B64"/>
    <mergeCell ref="C63:C64"/>
    <mergeCell ref="AJ63:AJ64"/>
    <mergeCell ref="AK63:AK64"/>
    <mergeCell ref="AL63:AL64"/>
    <mergeCell ref="B65:B66"/>
    <mergeCell ref="C65:C66"/>
    <mergeCell ref="AJ65:AJ66"/>
    <mergeCell ref="AK65:AK66"/>
    <mergeCell ref="AL65:AL66"/>
    <mergeCell ref="B67:B68"/>
    <mergeCell ref="C67:C68"/>
    <mergeCell ref="AJ67:AJ68"/>
    <mergeCell ref="AK67:AK68"/>
    <mergeCell ref="AL67:AL68"/>
    <mergeCell ref="B69:B70"/>
    <mergeCell ref="C69:C70"/>
    <mergeCell ref="AJ69:AJ70"/>
    <mergeCell ref="AK69:AK70"/>
    <mergeCell ref="AL69:AL70"/>
    <mergeCell ref="B71:B72"/>
    <mergeCell ref="C71:C72"/>
    <mergeCell ref="AJ71:AJ72"/>
    <mergeCell ref="AK71:AK72"/>
    <mergeCell ref="AL71:AL72"/>
    <mergeCell ref="B73:B74"/>
    <mergeCell ref="C73:C74"/>
    <mergeCell ref="AJ73:AJ74"/>
    <mergeCell ref="AK73:AK74"/>
    <mergeCell ref="AL73:AL74"/>
    <mergeCell ref="B75:B76"/>
    <mergeCell ref="C75:C76"/>
    <mergeCell ref="AJ75:AJ76"/>
    <mergeCell ref="AK75:AK76"/>
    <mergeCell ref="AL75:AL76"/>
    <mergeCell ref="B77:B78"/>
    <mergeCell ref="C77:C78"/>
    <mergeCell ref="AJ77:AJ78"/>
    <mergeCell ref="AK77:AK78"/>
    <mergeCell ref="AL77:AL78"/>
    <mergeCell ref="B79:B80"/>
    <mergeCell ref="C79:C80"/>
    <mergeCell ref="AJ79:AJ80"/>
    <mergeCell ref="AK79:AK80"/>
    <mergeCell ref="AL79:AL80"/>
    <mergeCell ref="B81:B82"/>
    <mergeCell ref="C81:C82"/>
    <mergeCell ref="AJ81:AJ82"/>
    <mergeCell ref="AK81:AK82"/>
    <mergeCell ref="AL81:AL82"/>
    <mergeCell ref="B83:B84"/>
    <mergeCell ref="C83:C84"/>
    <mergeCell ref="AJ83:AJ84"/>
    <mergeCell ref="AK83:AK84"/>
    <mergeCell ref="AL83:AL84"/>
    <mergeCell ref="B85:B86"/>
    <mergeCell ref="C85:C86"/>
    <mergeCell ref="AJ85:AJ86"/>
    <mergeCell ref="AK85:AK86"/>
    <mergeCell ref="AL85:AL86"/>
    <mergeCell ref="B87:B88"/>
    <mergeCell ref="C87:C88"/>
    <mergeCell ref="AJ87:AJ88"/>
    <mergeCell ref="AK87:AK88"/>
    <mergeCell ref="AL87:AL88"/>
    <mergeCell ref="B89:B90"/>
    <mergeCell ref="C89:C90"/>
    <mergeCell ref="AJ89:AJ90"/>
    <mergeCell ref="AK89:AK90"/>
    <mergeCell ref="AL89:AL90"/>
    <mergeCell ref="B91:B92"/>
    <mergeCell ref="C91:C92"/>
    <mergeCell ref="AJ91:AJ92"/>
    <mergeCell ref="AK91:AK92"/>
    <mergeCell ref="AL91:AL92"/>
    <mergeCell ref="B93:B94"/>
    <mergeCell ref="C93:C94"/>
    <mergeCell ref="AJ93:AJ94"/>
    <mergeCell ref="AK93:AK94"/>
    <mergeCell ref="AL93:AL94"/>
    <mergeCell ref="B95:B96"/>
    <mergeCell ref="C95:C96"/>
    <mergeCell ref="AJ95:AJ96"/>
    <mergeCell ref="AK95:AK96"/>
    <mergeCell ref="AL95:AL96"/>
    <mergeCell ref="B97:B98"/>
    <mergeCell ref="C97:C98"/>
    <mergeCell ref="AJ97:AJ98"/>
    <mergeCell ref="AK97:AK98"/>
    <mergeCell ref="AL97:AL98"/>
    <mergeCell ref="B99:B100"/>
    <mergeCell ref="C99:C100"/>
    <mergeCell ref="AJ99:AJ100"/>
    <mergeCell ref="AK99:AK100"/>
    <mergeCell ref="AL99:AL100"/>
    <mergeCell ref="B101:B102"/>
    <mergeCell ref="C101:C102"/>
    <mergeCell ref="AJ101:AJ102"/>
    <mergeCell ref="AK101:AK102"/>
    <mergeCell ref="AL101:AL102"/>
    <mergeCell ref="B103:B104"/>
    <mergeCell ref="C103:C104"/>
    <mergeCell ref="AJ103:AJ104"/>
    <mergeCell ref="AK103:AK104"/>
    <mergeCell ref="AL103:AL104"/>
    <mergeCell ref="B105:B106"/>
    <mergeCell ref="C105:C106"/>
    <mergeCell ref="AJ105:AJ106"/>
    <mergeCell ref="AK105:AK106"/>
    <mergeCell ref="AL105:AL106"/>
    <mergeCell ref="B107:B108"/>
    <mergeCell ref="C107:C108"/>
    <mergeCell ref="AJ107:AJ108"/>
    <mergeCell ref="AK107:AK108"/>
    <mergeCell ref="AL107:AL108"/>
    <mergeCell ref="B109:B110"/>
    <mergeCell ref="C109:C110"/>
    <mergeCell ref="AJ109:AJ110"/>
    <mergeCell ref="AK109:AK110"/>
    <mergeCell ref="AL109:AL110"/>
    <mergeCell ref="B111:B112"/>
    <mergeCell ref="C111:C112"/>
    <mergeCell ref="AJ111:AJ112"/>
    <mergeCell ref="AK111:AK112"/>
    <mergeCell ref="AL111:AL112"/>
    <mergeCell ref="B113:B114"/>
    <mergeCell ref="C113:C114"/>
    <mergeCell ref="AJ113:AJ114"/>
    <mergeCell ref="AK113:AK114"/>
    <mergeCell ref="AL113:AL114"/>
    <mergeCell ref="B115:B116"/>
    <mergeCell ref="C115:C116"/>
    <mergeCell ref="AJ115:AJ116"/>
    <mergeCell ref="AK115:AK116"/>
    <mergeCell ref="AL115:AL116"/>
    <mergeCell ref="B117:B118"/>
    <mergeCell ref="C117:C118"/>
    <mergeCell ref="AJ117:AJ118"/>
    <mergeCell ref="AK117:AK118"/>
    <mergeCell ref="AL117:AL118"/>
    <mergeCell ref="B119:B120"/>
    <mergeCell ref="C119:C120"/>
    <mergeCell ref="AJ119:AJ120"/>
    <mergeCell ref="AK119:AK120"/>
    <mergeCell ref="AL119:AL120"/>
    <mergeCell ref="B121:B122"/>
    <mergeCell ref="C121:C122"/>
    <mergeCell ref="AJ121:AJ122"/>
    <mergeCell ref="AK121:AK122"/>
    <mergeCell ref="AL121:AL122"/>
    <mergeCell ref="B123:B124"/>
    <mergeCell ref="C123:C124"/>
    <mergeCell ref="AJ123:AJ124"/>
    <mergeCell ref="AK123:AK124"/>
    <mergeCell ref="AL123:AL124"/>
    <mergeCell ref="B125:B126"/>
    <mergeCell ref="C125:C126"/>
    <mergeCell ref="AJ125:AJ126"/>
    <mergeCell ref="AK125:AK126"/>
    <mergeCell ref="AL125:AL126"/>
    <mergeCell ref="B127:B128"/>
    <mergeCell ref="C127:C128"/>
    <mergeCell ref="AJ127:AJ128"/>
    <mergeCell ref="AK127:AK128"/>
    <mergeCell ref="AL127:AL128"/>
    <mergeCell ref="B129:B130"/>
    <mergeCell ref="C129:C130"/>
    <mergeCell ref="AJ129:AJ130"/>
    <mergeCell ref="AK129:AK130"/>
    <mergeCell ref="AL129:AL130"/>
    <mergeCell ref="B131:B132"/>
    <mergeCell ref="C131:C132"/>
    <mergeCell ref="AJ131:AJ132"/>
    <mergeCell ref="AK131:AK132"/>
    <mergeCell ref="AL131:AL132"/>
    <mergeCell ref="B133:B134"/>
    <mergeCell ref="C133:C134"/>
    <mergeCell ref="AJ133:AJ134"/>
    <mergeCell ref="AK133:AK134"/>
    <mergeCell ref="AL133:AL134"/>
    <mergeCell ref="B135:B136"/>
    <mergeCell ref="C135:C136"/>
    <mergeCell ref="AJ135:AJ136"/>
    <mergeCell ref="AK135:AK136"/>
    <mergeCell ref="AL135:AL136"/>
    <mergeCell ref="B137:B138"/>
    <mergeCell ref="C137:C138"/>
    <mergeCell ref="AJ137:AJ138"/>
    <mergeCell ref="AK137:AK138"/>
    <mergeCell ref="AL137:AL138"/>
    <mergeCell ref="B139:B140"/>
    <mergeCell ref="C139:C140"/>
    <mergeCell ref="AJ139:AJ140"/>
    <mergeCell ref="AK139:AK140"/>
    <mergeCell ref="AL139:AL140"/>
    <mergeCell ref="B141:B142"/>
    <mergeCell ref="C141:C142"/>
    <mergeCell ref="AJ141:AJ142"/>
    <mergeCell ref="AK141:AK142"/>
    <mergeCell ref="AL141:AL142"/>
    <mergeCell ref="B143:B144"/>
    <mergeCell ref="C143:C144"/>
    <mergeCell ref="AJ143:AJ144"/>
    <mergeCell ref="AK143:AK144"/>
    <mergeCell ref="AL143:AL144"/>
    <mergeCell ref="B145:B146"/>
    <mergeCell ref="C145:C146"/>
    <mergeCell ref="AJ145:AJ146"/>
    <mergeCell ref="AK145:AK146"/>
    <mergeCell ref="AL145:AL146"/>
    <mergeCell ref="B147:B148"/>
    <mergeCell ref="C147:C148"/>
    <mergeCell ref="AJ147:AJ148"/>
    <mergeCell ref="AK147:AK148"/>
    <mergeCell ref="AL147:AL148"/>
    <mergeCell ref="B149:B150"/>
    <mergeCell ref="C149:C150"/>
    <mergeCell ref="AJ149:AJ150"/>
    <mergeCell ref="AK149:AK150"/>
    <mergeCell ref="AL149:AL150"/>
    <mergeCell ref="B151:B152"/>
    <mergeCell ref="C151:C152"/>
    <mergeCell ref="AJ151:AJ152"/>
    <mergeCell ref="AK151:AK152"/>
    <mergeCell ref="AL151:AL152"/>
    <mergeCell ref="B153:B154"/>
    <mergeCell ref="C153:C154"/>
    <mergeCell ref="AJ153:AJ154"/>
    <mergeCell ref="AK153:AK154"/>
    <mergeCell ref="AL153:AL154"/>
    <mergeCell ref="B155:B156"/>
    <mergeCell ref="C155:C156"/>
    <mergeCell ref="AJ155:AJ156"/>
    <mergeCell ref="AK155:AK156"/>
    <mergeCell ref="AL155:AL156"/>
    <mergeCell ref="B157:B158"/>
    <mergeCell ref="C157:C158"/>
    <mergeCell ref="AJ157:AJ158"/>
    <mergeCell ref="AK157:AK158"/>
    <mergeCell ref="AL157:AL158"/>
    <mergeCell ref="B159:B160"/>
    <mergeCell ref="C159:C160"/>
    <mergeCell ref="AJ159:AJ160"/>
    <mergeCell ref="AK159:AK160"/>
    <mergeCell ref="AL159:AL160"/>
    <mergeCell ref="B161:B162"/>
    <mergeCell ref="C161:C162"/>
    <mergeCell ref="AJ161:AJ162"/>
    <mergeCell ref="AK161:AK162"/>
    <mergeCell ref="AL161:AL162"/>
    <mergeCell ref="B163:B164"/>
    <mergeCell ref="C163:C164"/>
    <mergeCell ref="AJ163:AJ164"/>
    <mergeCell ref="AK163:AK164"/>
    <mergeCell ref="AL163:AL164"/>
    <mergeCell ref="B165:B166"/>
    <mergeCell ref="C165:C166"/>
    <mergeCell ref="AJ165:AJ166"/>
    <mergeCell ref="AK165:AK166"/>
    <mergeCell ref="AL165:AL166"/>
    <mergeCell ref="B167:B168"/>
    <mergeCell ref="C167:C168"/>
    <mergeCell ref="AJ167:AJ168"/>
    <mergeCell ref="AK167:AK168"/>
    <mergeCell ref="AL167:AL168"/>
    <mergeCell ref="B169:B170"/>
    <mergeCell ref="C169:C170"/>
    <mergeCell ref="AJ169:AJ170"/>
    <mergeCell ref="AK169:AK170"/>
    <mergeCell ref="AL169:AL170"/>
    <mergeCell ref="B171:B172"/>
    <mergeCell ref="C171:C172"/>
    <mergeCell ref="AJ171:AJ172"/>
    <mergeCell ref="AK171:AK172"/>
    <mergeCell ref="AL171:AL172"/>
    <mergeCell ref="B173:B174"/>
    <mergeCell ref="C173:C174"/>
    <mergeCell ref="AJ173:AJ174"/>
    <mergeCell ref="AK173:AK174"/>
    <mergeCell ref="AL173:AL174"/>
    <mergeCell ref="B175:B176"/>
    <mergeCell ref="C175:C176"/>
    <mergeCell ref="AJ175:AJ176"/>
    <mergeCell ref="AK175:AK176"/>
    <mergeCell ref="AL175:AL176"/>
    <mergeCell ref="B177:B178"/>
    <mergeCell ref="C177:C178"/>
    <mergeCell ref="AJ177:AJ178"/>
    <mergeCell ref="AK177:AK178"/>
    <mergeCell ref="AL177:AL178"/>
    <mergeCell ref="B179:B180"/>
    <mergeCell ref="C179:C180"/>
    <mergeCell ref="AJ179:AJ180"/>
    <mergeCell ref="AK179:AK180"/>
    <mergeCell ref="AL179:AL180"/>
    <mergeCell ref="B181:B182"/>
    <mergeCell ref="C181:C182"/>
    <mergeCell ref="AJ181:AJ182"/>
    <mergeCell ref="AK181:AK182"/>
    <mergeCell ref="AL181:AL182"/>
    <mergeCell ref="B183:B184"/>
    <mergeCell ref="C183:C184"/>
    <mergeCell ref="AJ183:AJ184"/>
    <mergeCell ref="AK183:AK184"/>
    <mergeCell ref="AL183:AL184"/>
    <mergeCell ref="B185:B186"/>
    <mergeCell ref="C185:C186"/>
    <mergeCell ref="AJ185:AJ186"/>
    <mergeCell ref="AK185:AK186"/>
    <mergeCell ref="AL185:AL186"/>
    <mergeCell ref="B187:B188"/>
    <mergeCell ref="C187:C188"/>
    <mergeCell ref="AJ187:AJ188"/>
    <mergeCell ref="AK187:AK188"/>
    <mergeCell ref="AL187:AL188"/>
    <mergeCell ref="B189:B190"/>
    <mergeCell ref="C189:C190"/>
    <mergeCell ref="AJ189:AJ190"/>
    <mergeCell ref="AK189:AK190"/>
    <mergeCell ref="AL189:AL190"/>
    <mergeCell ref="B191:B192"/>
    <mergeCell ref="C191:C192"/>
    <mergeCell ref="AJ191:AJ192"/>
    <mergeCell ref="AK191:AK192"/>
    <mergeCell ref="AL191:AL192"/>
    <mergeCell ref="B193:B194"/>
    <mergeCell ref="C193:C194"/>
    <mergeCell ref="AJ193:AJ194"/>
    <mergeCell ref="AK193:AK194"/>
    <mergeCell ref="AL193:AL194"/>
    <mergeCell ref="B195:B196"/>
    <mergeCell ref="C195:C196"/>
    <mergeCell ref="AJ195:AJ196"/>
    <mergeCell ref="AK195:AK196"/>
    <mergeCell ref="AL195:AL196"/>
    <mergeCell ref="B197:B198"/>
    <mergeCell ref="C197:C198"/>
    <mergeCell ref="AJ197:AJ198"/>
    <mergeCell ref="AK197:AK198"/>
    <mergeCell ref="AL197:AL198"/>
    <mergeCell ref="B199:B200"/>
    <mergeCell ref="C199:C200"/>
    <mergeCell ref="AJ199:AJ200"/>
    <mergeCell ref="AK199:AK200"/>
    <mergeCell ref="AL199:AL200"/>
    <mergeCell ref="B201:B202"/>
    <mergeCell ref="C201:C202"/>
    <mergeCell ref="AJ201:AJ202"/>
    <mergeCell ref="AK201:AK202"/>
    <mergeCell ref="AL201:AL202"/>
    <mergeCell ref="B203:B204"/>
    <mergeCell ref="C203:C204"/>
    <mergeCell ref="AJ203:AJ204"/>
    <mergeCell ref="AK203:AK204"/>
    <mergeCell ref="AL203:AL204"/>
    <mergeCell ref="B205:B206"/>
    <mergeCell ref="C205:C206"/>
    <mergeCell ref="AJ205:AJ206"/>
    <mergeCell ref="AK205:AK206"/>
    <mergeCell ref="AL205:AL206"/>
    <mergeCell ref="B207:B208"/>
    <mergeCell ref="C207:C208"/>
    <mergeCell ref="AJ207:AJ208"/>
    <mergeCell ref="AK207:AK208"/>
    <mergeCell ref="AL207:AL208"/>
    <mergeCell ref="B209:B210"/>
    <mergeCell ref="C209:C210"/>
    <mergeCell ref="AJ209:AJ210"/>
    <mergeCell ref="AK209:AK210"/>
    <mergeCell ref="AL209:AL210"/>
    <mergeCell ref="B211:B212"/>
    <mergeCell ref="C211:C212"/>
    <mergeCell ref="AJ211:AJ212"/>
    <mergeCell ref="AK211:AK212"/>
    <mergeCell ref="AL211:AL212"/>
    <mergeCell ref="B213:B214"/>
    <mergeCell ref="C213:C214"/>
    <mergeCell ref="AJ213:AJ214"/>
    <mergeCell ref="AK213:AK214"/>
    <mergeCell ref="AL213:AL214"/>
    <mergeCell ref="B215:B216"/>
    <mergeCell ref="C215:C216"/>
    <mergeCell ref="AJ215:AJ216"/>
    <mergeCell ref="AK215:AK216"/>
    <mergeCell ref="AL215:AL216"/>
    <mergeCell ref="B217:B218"/>
    <mergeCell ref="C217:C218"/>
    <mergeCell ref="AJ217:AJ218"/>
    <mergeCell ref="AK217:AK218"/>
    <mergeCell ref="AL217:AL218"/>
    <mergeCell ref="B219:B220"/>
    <mergeCell ref="C219:C220"/>
    <mergeCell ref="AJ219:AJ220"/>
    <mergeCell ref="AK219:AK220"/>
    <mergeCell ref="AL219:AL220"/>
    <mergeCell ref="B221:B222"/>
    <mergeCell ref="C221:C222"/>
    <mergeCell ref="AJ221:AJ222"/>
    <mergeCell ref="AK221:AK222"/>
    <mergeCell ref="AL221:AL222"/>
    <mergeCell ref="B223:B224"/>
    <mergeCell ref="C223:C224"/>
    <mergeCell ref="AJ223:AJ224"/>
    <mergeCell ref="AK223:AK224"/>
    <mergeCell ref="AL223:AL224"/>
    <mergeCell ref="B225:B226"/>
    <mergeCell ref="C225:C226"/>
    <mergeCell ref="AJ225:AJ226"/>
    <mergeCell ref="AK225:AK226"/>
    <mergeCell ref="AL225:AL226"/>
    <mergeCell ref="B227:B228"/>
    <mergeCell ref="C227:C228"/>
    <mergeCell ref="AJ227:AJ228"/>
    <mergeCell ref="AK227:AK228"/>
    <mergeCell ref="AL227:AL228"/>
    <mergeCell ref="B229:B230"/>
    <mergeCell ref="C229:C230"/>
    <mergeCell ref="AJ229:AJ230"/>
    <mergeCell ref="AK229:AK230"/>
    <mergeCell ref="AL229:AL230"/>
    <mergeCell ref="B231:B232"/>
    <mergeCell ref="C231:C232"/>
    <mergeCell ref="AJ231:AJ232"/>
    <mergeCell ref="AK231:AK232"/>
    <mergeCell ref="AL231:AL232"/>
    <mergeCell ref="B233:B234"/>
    <mergeCell ref="C233:C234"/>
    <mergeCell ref="AJ233:AJ234"/>
    <mergeCell ref="AK233:AK234"/>
    <mergeCell ref="AL233:AL234"/>
    <mergeCell ref="B235:B236"/>
    <mergeCell ref="C235:C236"/>
    <mergeCell ref="AJ235:AJ236"/>
    <mergeCell ref="AK235:AK236"/>
    <mergeCell ref="AL235:AL236"/>
    <mergeCell ref="B237:B238"/>
    <mergeCell ref="C237:C238"/>
    <mergeCell ref="AJ237:AJ238"/>
    <mergeCell ref="AK237:AK238"/>
    <mergeCell ref="AL237:AL238"/>
    <mergeCell ref="B239:B240"/>
    <mergeCell ref="C239:C240"/>
    <mergeCell ref="AJ239:AJ240"/>
    <mergeCell ref="AK239:AK240"/>
    <mergeCell ref="AL239:AL240"/>
    <mergeCell ref="B241:B242"/>
    <mergeCell ref="C241:C242"/>
    <mergeCell ref="AJ241:AJ242"/>
    <mergeCell ref="AK241:AK242"/>
    <mergeCell ref="AL241:AL242"/>
    <mergeCell ref="B243:B244"/>
    <mergeCell ref="C243:C244"/>
    <mergeCell ref="AJ243:AJ244"/>
    <mergeCell ref="AK243:AK244"/>
    <mergeCell ref="AL243:AL244"/>
    <mergeCell ref="B245:B246"/>
    <mergeCell ref="C245:C246"/>
    <mergeCell ref="AJ245:AJ246"/>
    <mergeCell ref="AK245:AK246"/>
    <mergeCell ref="AL245:AL246"/>
    <mergeCell ref="B247:B248"/>
    <mergeCell ref="C247:C248"/>
    <mergeCell ref="AJ247:AJ248"/>
    <mergeCell ref="AK247:AK248"/>
    <mergeCell ref="AL247:AL248"/>
    <mergeCell ref="B249:B250"/>
    <mergeCell ref="C249:C250"/>
    <mergeCell ref="AJ249:AJ250"/>
    <mergeCell ref="AK249:AK250"/>
    <mergeCell ref="AL249:AL250"/>
    <mergeCell ref="B251:B252"/>
    <mergeCell ref="C251:C252"/>
    <mergeCell ref="AJ251:AJ252"/>
    <mergeCell ref="AK251:AK252"/>
    <mergeCell ref="AL251:AL252"/>
    <mergeCell ref="B253:B254"/>
    <mergeCell ref="C253:C254"/>
    <mergeCell ref="AJ253:AJ254"/>
    <mergeCell ref="AK253:AK254"/>
    <mergeCell ref="AL253:AL254"/>
    <mergeCell ref="B255:B256"/>
    <mergeCell ref="C255:C256"/>
    <mergeCell ref="AJ255:AJ256"/>
    <mergeCell ref="AK255:AK256"/>
    <mergeCell ref="AL255:AL256"/>
    <mergeCell ref="B257:B258"/>
    <mergeCell ref="C257:C258"/>
    <mergeCell ref="AJ257:AJ258"/>
    <mergeCell ref="AK257:AK258"/>
    <mergeCell ref="AL257:AL258"/>
    <mergeCell ref="B259:B260"/>
    <mergeCell ref="C259:C260"/>
    <mergeCell ref="AJ259:AJ260"/>
    <mergeCell ref="AK259:AK260"/>
    <mergeCell ref="AL259:AL260"/>
    <mergeCell ref="B261:B262"/>
    <mergeCell ref="C261:C262"/>
    <mergeCell ref="AJ261:AJ262"/>
    <mergeCell ref="AK261:AK262"/>
    <mergeCell ref="AL261:AL262"/>
    <mergeCell ref="B263:B264"/>
    <mergeCell ref="C263:C264"/>
    <mergeCell ref="AJ263:AJ264"/>
    <mergeCell ref="AK263:AK264"/>
    <mergeCell ref="AL263:AL264"/>
    <mergeCell ref="B265:B266"/>
    <mergeCell ref="C265:C266"/>
    <mergeCell ref="AJ265:AJ266"/>
    <mergeCell ref="AK265:AK266"/>
    <mergeCell ref="AL265:AL266"/>
    <mergeCell ref="B267:B268"/>
    <mergeCell ref="C267:C268"/>
    <mergeCell ref="AJ267:AJ268"/>
    <mergeCell ref="AK267:AK268"/>
    <mergeCell ref="AL267:AL268"/>
    <mergeCell ref="B269:B270"/>
    <mergeCell ref="C269:C270"/>
    <mergeCell ref="AJ269:AJ270"/>
    <mergeCell ref="AK269:AK270"/>
    <mergeCell ref="AL269:AL270"/>
    <mergeCell ref="B271:B272"/>
    <mergeCell ref="C271:C272"/>
    <mergeCell ref="AJ271:AJ272"/>
    <mergeCell ref="AK271:AK272"/>
    <mergeCell ref="AL271:AL272"/>
    <mergeCell ref="B273:B274"/>
    <mergeCell ref="C273:C274"/>
    <mergeCell ref="AJ273:AJ274"/>
    <mergeCell ref="AK273:AK274"/>
    <mergeCell ref="AL273:AL274"/>
    <mergeCell ref="B275:B276"/>
    <mergeCell ref="C275:C276"/>
    <mergeCell ref="AJ275:AJ276"/>
    <mergeCell ref="AK275:AK276"/>
    <mergeCell ref="AL275:AL276"/>
    <mergeCell ref="B277:B278"/>
    <mergeCell ref="C277:C278"/>
    <mergeCell ref="AJ277:AJ278"/>
    <mergeCell ref="AK277:AK278"/>
    <mergeCell ref="AL277:AL278"/>
    <mergeCell ref="B279:B280"/>
    <mergeCell ref="C279:C280"/>
    <mergeCell ref="AJ279:AJ280"/>
    <mergeCell ref="AK279:AK280"/>
    <mergeCell ref="AL279:AL280"/>
    <mergeCell ref="B281:B282"/>
    <mergeCell ref="C281:C282"/>
    <mergeCell ref="AJ281:AJ282"/>
    <mergeCell ref="AK281:AK282"/>
    <mergeCell ref="AL281:AL282"/>
    <mergeCell ref="B283:B284"/>
    <mergeCell ref="C283:C284"/>
    <mergeCell ref="AJ283:AJ284"/>
    <mergeCell ref="AK283:AK284"/>
    <mergeCell ref="AL283:AL284"/>
    <mergeCell ref="B285:B286"/>
    <mergeCell ref="C285:C286"/>
    <mergeCell ref="AJ285:AJ286"/>
    <mergeCell ref="AK285:AK286"/>
    <mergeCell ref="AL285:AL286"/>
    <mergeCell ref="B287:B288"/>
    <mergeCell ref="C287:C288"/>
    <mergeCell ref="AJ287:AJ288"/>
    <mergeCell ref="AK287:AK288"/>
    <mergeCell ref="AL287:AL288"/>
    <mergeCell ref="B289:B290"/>
    <mergeCell ref="C289:C290"/>
    <mergeCell ref="AJ289:AJ290"/>
    <mergeCell ref="AK289:AK290"/>
    <mergeCell ref="AL289:AL290"/>
    <mergeCell ref="B291:B292"/>
    <mergeCell ref="C291:C292"/>
    <mergeCell ref="AJ291:AJ292"/>
    <mergeCell ref="AK291:AK292"/>
    <mergeCell ref="AL291:AL292"/>
    <mergeCell ref="B293:B294"/>
    <mergeCell ref="C293:C294"/>
    <mergeCell ref="AJ293:AJ294"/>
    <mergeCell ref="AK293:AK294"/>
    <mergeCell ref="AL293:AL294"/>
    <mergeCell ref="B295:B296"/>
    <mergeCell ref="C295:C296"/>
    <mergeCell ref="AJ295:AJ296"/>
    <mergeCell ref="AK295:AK296"/>
    <mergeCell ref="AL295:AL296"/>
    <mergeCell ref="A297:A332"/>
    <mergeCell ref="B297:B298"/>
    <mergeCell ref="C297:C298"/>
    <mergeCell ref="AJ297:AJ298"/>
    <mergeCell ref="AK297:AK298"/>
    <mergeCell ref="AL297:AL298"/>
    <mergeCell ref="B299:B300"/>
    <mergeCell ref="C299:C300"/>
    <mergeCell ref="AJ299:AJ300"/>
    <mergeCell ref="AK299:AK300"/>
    <mergeCell ref="AL299:AL300"/>
    <mergeCell ref="B301:B302"/>
    <mergeCell ref="C301:C302"/>
    <mergeCell ref="AJ301:AJ302"/>
    <mergeCell ref="AK301:AK302"/>
    <mergeCell ref="AL301:AL302"/>
    <mergeCell ref="B303:B304"/>
    <mergeCell ref="C303:C304"/>
    <mergeCell ref="AJ303:AJ304"/>
    <mergeCell ref="AK303:AK304"/>
    <mergeCell ref="AL303:AL304"/>
    <mergeCell ref="B305:B306"/>
    <mergeCell ref="C305:C306"/>
    <mergeCell ref="AJ305:AJ306"/>
    <mergeCell ref="AK305:AK306"/>
    <mergeCell ref="AL305:AL306"/>
    <mergeCell ref="B307:B308"/>
    <mergeCell ref="C307:C308"/>
    <mergeCell ref="AJ307:AJ308"/>
    <mergeCell ref="AK307:AK308"/>
    <mergeCell ref="AL307:AL308"/>
    <mergeCell ref="B309:B310"/>
    <mergeCell ref="C309:C310"/>
    <mergeCell ref="AJ309:AJ310"/>
    <mergeCell ref="AK309:AK310"/>
    <mergeCell ref="AL309:AL310"/>
    <mergeCell ref="B311:B312"/>
    <mergeCell ref="C311:C312"/>
    <mergeCell ref="AJ311:AJ312"/>
    <mergeCell ref="AK311:AK312"/>
    <mergeCell ref="AL311:AL312"/>
    <mergeCell ref="B313:B314"/>
    <mergeCell ref="C313:C314"/>
    <mergeCell ref="AJ313:AJ314"/>
    <mergeCell ref="AK313:AK314"/>
    <mergeCell ref="AL313:AL314"/>
    <mergeCell ref="B315:B316"/>
    <mergeCell ref="C315:C316"/>
    <mergeCell ref="AJ315:AJ316"/>
    <mergeCell ref="AK315:AK316"/>
    <mergeCell ref="AL315:AL316"/>
    <mergeCell ref="B317:B318"/>
    <mergeCell ref="C317:C318"/>
    <mergeCell ref="AJ317:AJ318"/>
    <mergeCell ref="AK317:AK318"/>
    <mergeCell ref="AL317:AL318"/>
    <mergeCell ref="B319:B320"/>
    <mergeCell ref="C319:C320"/>
    <mergeCell ref="AJ319:AJ320"/>
    <mergeCell ref="AK319:AK320"/>
    <mergeCell ref="AL319:AL320"/>
    <mergeCell ref="B321:B322"/>
    <mergeCell ref="C321:C322"/>
    <mergeCell ref="AJ321:AJ322"/>
    <mergeCell ref="AK321:AK322"/>
    <mergeCell ref="AL321:AL322"/>
    <mergeCell ref="B323:B324"/>
    <mergeCell ref="C323:C324"/>
    <mergeCell ref="AJ323:AJ324"/>
    <mergeCell ref="AK323:AK324"/>
    <mergeCell ref="AL323:AL324"/>
    <mergeCell ref="B325:B326"/>
    <mergeCell ref="C325:C326"/>
    <mergeCell ref="AJ325:AJ326"/>
    <mergeCell ref="AK325:AK326"/>
    <mergeCell ref="AL325:AL326"/>
    <mergeCell ref="B327:B328"/>
    <mergeCell ref="C327:C328"/>
    <mergeCell ref="AJ327:AJ328"/>
    <mergeCell ref="AK327:AK328"/>
    <mergeCell ref="AL327:AL328"/>
    <mergeCell ref="B329:B330"/>
    <mergeCell ref="C329:C330"/>
    <mergeCell ref="AJ329:AJ330"/>
    <mergeCell ref="AK329:AK330"/>
    <mergeCell ref="AL329:AL330"/>
    <mergeCell ref="B331:B332"/>
    <mergeCell ref="C331:C332"/>
    <mergeCell ref="AJ331:AJ332"/>
    <mergeCell ref="AK331:AK332"/>
    <mergeCell ref="AL331:AL332"/>
    <mergeCell ref="A333:A378"/>
    <mergeCell ref="B333:B334"/>
    <mergeCell ref="C333:C334"/>
    <mergeCell ref="AJ333:AJ334"/>
    <mergeCell ref="AK333:AK334"/>
    <mergeCell ref="AL333:AL334"/>
    <mergeCell ref="B335:B336"/>
    <mergeCell ref="C335:C336"/>
    <mergeCell ref="AJ335:AJ336"/>
    <mergeCell ref="AK335:AK336"/>
    <mergeCell ref="AL335:AL336"/>
    <mergeCell ref="B337:B338"/>
    <mergeCell ref="C337:C338"/>
    <mergeCell ref="AJ337:AJ338"/>
    <mergeCell ref="AK337:AK338"/>
    <mergeCell ref="AL337:AL338"/>
    <mergeCell ref="B339:B340"/>
    <mergeCell ref="C339:C340"/>
    <mergeCell ref="AJ339:AJ340"/>
    <mergeCell ref="AK339:AK340"/>
    <mergeCell ref="AL339:AL340"/>
    <mergeCell ref="B341:B342"/>
    <mergeCell ref="C341:C342"/>
    <mergeCell ref="AJ341:AJ342"/>
    <mergeCell ref="AK341:AK342"/>
    <mergeCell ref="AL341:AL342"/>
    <mergeCell ref="B343:B344"/>
    <mergeCell ref="C343:C344"/>
    <mergeCell ref="AJ343:AJ344"/>
    <mergeCell ref="AK343:AK344"/>
    <mergeCell ref="AL343:AL344"/>
    <mergeCell ref="B345:B346"/>
    <mergeCell ref="C345:C346"/>
    <mergeCell ref="AJ345:AJ346"/>
    <mergeCell ref="AK345:AK346"/>
    <mergeCell ref="AL345:AL346"/>
    <mergeCell ref="B347:B348"/>
    <mergeCell ref="C347:C348"/>
    <mergeCell ref="AJ347:AJ348"/>
    <mergeCell ref="AK347:AK348"/>
    <mergeCell ref="AL347:AL348"/>
    <mergeCell ref="B349:B350"/>
    <mergeCell ref="C349:C350"/>
    <mergeCell ref="AJ349:AJ350"/>
    <mergeCell ref="AK349:AK350"/>
    <mergeCell ref="AL349:AL350"/>
    <mergeCell ref="B351:B352"/>
    <mergeCell ref="C351:C352"/>
    <mergeCell ref="AJ351:AJ352"/>
    <mergeCell ref="AK351:AK352"/>
    <mergeCell ref="AL351:AL352"/>
    <mergeCell ref="B353:B354"/>
    <mergeCell ref="C353:C354"/>
    <mergeCell ref="AJ353:AJ354"/>
    <mergeCell ref="AK353:AK354"/>
    <mergeCell ref="AL353:AL354"/>
    <mergeCell ref="B355:B356"/>
    <mergeCell ref="C355:C356"/>
    <mergeCell ref="AJ355:AJ356"/>
    <mergeCell ref="AK355:AK356"/>
    <mergeCell ref="AL355:AL356"/>
    <mergeCell ref="B357:B358"/>
    <mergeCell ref="C357:C358"/>
    <mergeCell ref="AJ357:AJ358"/>
    <mergeCell ref="AK357:AK358"/>
    <mergeCell ref="AL357:AL358"/>
    <mergeCell ref="B359:B360"/>
    <mergeCell ref="C359:C360"/>
    <mergeCell ref="AJ359:AJ360"/>
    <mergeCell ref="AK359:AK360"/>
    <mergeCell ref="AL359:AL360"/>
    <mergeCell ref="B361:B362"/>
    <mergeCell ref="C361:C362"/>
    <mergeCell ref="AJ361:AJ362"/>
    <mergeCell ref="AK361:AK362"/>
    <mergeCell ref="AL361:AL362"/>
    <mergeCell ref="B363:B364"/>
    <mergeCell ref="C363:C364"/>
    <mergeCell ref="AJ363:AJ364"/>
    <mergeCell ref="AK363:AK364"/>
    <mergeCell ref="AL363:AL364"/>
    <mergeCell ref="B365:B366"/>
    <mergeCell ref="C365:C366"/>
    <mergeCell ref="AJ365:AJ366"/>
    <mergeCell ref="AK365:AK366"/>
    <mergeCell ref="AL365:AL366"/>
    <mergeCell ref="B367:B368"/>
    <mergeCell ref="C367:C368"/>
    <mergeCell ref="AJ367:AJ368"/>
    <mergeCell ref="AK367:AK368"/>
    <mergeCell ref="AL367:AL368"/>
    <mergeCell ref="B369:B370"/>
    <mergeCell ref="C369:C370"/>
    <mergeCell ref="AJ369:AJ370"/>
    <mergeCell ref="AK369:AK370"/>
    <mergeCell ref="AL369:AL370"/>
    <mergeCell ref="B371:B372"/>
    <mergeCell ref="C371:C372"/>
    <mergeCell ref="AJ371:AJ372"/>
    <mergeCell ref="AK371:AK372"/>
    <mergeCell ref="AL371:AL372"/>
    <mergeCell ref="B373:B374"/>
    <mergeCell ref="C373:C374"/>
    <mergeCell ref="AJ373:AJ374"/>
    <mergeCell ref="AK373:AK374"/>
    <mergeCell ref="AL373:AL374"/>
    <mergeCell ref="B375:B376"/>
    <mergeCell ref="C375:C376"/>
    <mergeCell ref="AJ375:AJ376"/>
    <mergeCell ref="AK375:AK376"/>
    <mergeCell ref="AL375:AL376"/>
    <mergeCell ref="B377:B378"/>
    <mergeCell ref="C377:C378"/>
    <mergeCell ref="AJ377:AJ378"/>
    <mergeCell ref="AK377:AK378"/>
    <mergeCell ref="AL377:AL378"/>
    <mergeCell ref="A379:A384"/>
    <mergeCell ref="B379:B380"/>
    <mergeCell ref="C379:C380"/>
    <mergeCell ref="AJ379:AJ380"/>
    <mergeCell ref="AK379:AK380"/>
    <mergeCell ref="AL379:AL380"/>
    <mergeCell ref="B381:B382"/>
    <mergeCell ref="C381:C382"/>
    <mergeCell ref="AJ381:AJ382"/>
    <mergeCell ref="AK381:AK382"/>
    <mergeCell ref="AL381:AL382"/>
    <mergeCell ref="B383:B384"/>
    <mergeCell ref="C383:C384"/>
    <mergeCell ref="AJ383:AJ384"/>
    <mergeCell ref="AK383:AK384"/>
    <mergeCell ref="AL383:AL384"/>
    <mergeCell ref="A385:A390"/>
    <mergeCell ref="B385:B386"/>
    <mergeCell ref="C385:C386"/>
    <mergeCell ref="AJ385:AJ386"/>
    <mergeCell ref="AK385:AK386"/>
    <mergeCell ref="AL385:AL386"/>
    <mergeCell ref="B387:B388"/>
    <mergeCell ref="C387:C388"/>
    <mergeCell ref="AJ387:AJ388"/>
    <mergeCell ref="AK387:AK388"/>
    <mergeCell ref="AL387:AL388"/>
    <mergeCell ref="B389:B390"/>
    <mergeCell ref="C389:C390"/>
    <mergeCell ref="AJ389:AJ390"/>
    <mergeCell ref="AK389:AK390"/>
    <mergeCell ref="AL389:AL390"/>
    <mergeCell ref="A391:A398"/>
    <mergeCell ref="B391:B392"/>
    <mergeCell ref="C391:C392"/>
    <mergeCell ref="AJ391:AJ392"/>
    <mergeCell ref="AK391:AK392"/>
    <mergeCell ref="AL391:AL392"/>
    <mergeCell ref="B393:B394"/>
    <mergeCell ref="C393:C394"/>
    <mergeCell ref="AJ393:AJ394"/>
    <mergeCell ref="AK393:AK394"/>
    <mergeCell ref="AL393:AL394"/>
    <mergeCell ref="B395:B396"/>
    <mergeCell ref="C395:C396"/>
    <mergeCell ref="AJ395:AJ396"/>
    <mergeCell ref="AK395:AK396"/>
    <mergeCell ref="AL395:AL396"/>
    <mergeCell ref="B397:B398"/>
    <mergeCell ref="C397:C398"/>
    <mergeCell ref="AJ397:AJ398"/>
    <mergeCell ref="AK397:AK398"/>
    <mergeCell ref="AL397:AL398"/>
    <mergeCell ref="A399:A414"/>
    <mergeCell ref="B399:B400"/>
    <mergeCell ref="C399:C400"/>
    <mergeCell ref="AJ399:AJ400"/>
    <mergeCell ref="AK399:AK400"/>
    <mergeCell ref="AL399:AL400"/>
    <mergeCell ref="B401:B402"/>
    <mergeCell ref="C401:C402"/>
    <mergeCell ref="AJ401:AJ402"/>
    <mergeCell ref="AK401:AK402"/>
    <mergeCell ref="AL401:AL402"/>
    <mergeCell ref="B403:B404"/>
    <mergeCell ref="C403:C404"/>
    <mergeCell ref="AJ403:AJ404"/>
    <mergeCell ref="AK403:AK404"/>
    <mergeCell ref="AL403:AL404"/>
    <mergeCell ref="B405:B406"/>
    <mergeCell ref="C405:C406"/>
    <mergeCell ref="AJ405:AJ406"/>
    <mergeCell ref="AK405:AK406"/>
    <mergeCell ref="AL405:AL406"/>
    <mergeCell ref="B407:B408"/>
    <mergeCell ref="C407:C408"/>
    <mergeCell ref="AJ407:AJ408"/>
    <mergeCell ref="AK407:AK408"/>
    <mergeCell ref="AL407:AL408"/>
    <mergeCell ref="B409:B410"/>
    <mergeCell ref="C409:C410"/>
    <mergeCell ref="AJ409:AJ410"/>
    <mergeCell ref="AK409:AK410"/>
    <mergeCell ref="AL409:AL410"/>
    <mergeCell ref="B411:B412"/>
    <mergeCell ref="C411:C412"/>
    <mergeCell ref="AJ411:AJ412"/>
    <mergeCell ref="AK411:AK412"/>
    <mergeCell ref="AL411:AL412"/>
    <mergeCell ref="B413:B414"/>
    <mergeCell ref="C413:C414"/>
    <mergeCell ref="AJ413:AJ414"/>
    <mergeCell ref="AK413:AK414"/>
    <mergeCell ref="AL413:AL414"/>
    <mergeCell ref="A415:A484"/>
    <mergeCell ref="B415:B416"/>
    <mergeCell ref="C415:C416"/>
    <mergeCell ref="AJ415:AJ416"/>
    <mergeCell ref="AK415:AK416"/>
    <mergeCell ref="AL415:AL416"/>
    <mergeCell ref="B417:B418"/>
    <mergeCell ref="C417:C418"/>
    <mergeCell ref="AJ417:AJ418"/>
    <mergeCell ref="AK417:AK418"/>
    <mergeCell ref="AL417:AL418"/>
    <mergeCell ref="B419:B420"/>
    <mergeCell ref="C419:C420"/>
    <mergeCell ref="AJ419:AJ420"/>
    <mergeCell ref="AK419:AK420"/>
    <mergeCell ref="AL419:AL420"/>
    <mergeCell ref="B421:B422"/>
    <mergeCell ref="C421:C422"/>
    <mergeCell ref="AJ421:AJ422"/>
    <mergeCell ref="AK421:AK422"/>
    <mergeCell ref="AL421:AL422"/>
    <mergeCell ref="B423:B424"/>
    <mergeCell ref="C423:C424"/>
    <mergeCell ref="AJ423:AJ424"/>
    <mergeCell ref="AK423:AK424"/>
    <mergeCell ref="AL423:AL424"/>
    <mergeCell ref="B425:B426"/>
    <mergeCell ref="C425:C426"/>
    <mergeCell ref="AJ425:AJ426"/>
    <mergeCell ref="AK425:AK426"/>
    <mergeCell ref="AL425:AL426"/>
    <mergeCell ref="B427:B428"/>
    <mergeCell ref="C427:C428"/>
    <mergeCell ref="AJ427:AJ428"/>
    <mergeCell ref="AK427:AK428"/>
    <mergeCell ref="AL427:AL428"/>
    <mergeCell ref="B429:B430"/>
    <mergeCell ref="C429:C430"/>
    <mergeCell ref="AJ429:AJ430"/>
    <mergeCell ref="AK429:AK430"/>
    <mergeCell ref="AL429:AL430"/>
    <mergeCell ref="B431:B432"/>
    <mergeCell ref="C431:C432"/>
    <mergeCell ref="AJ431:AJ432"/>
    <mergeCell ref="AK431:AK432"/>
    <mergeCell ref="AL431:AL432"/>
    <mergeCell ref="B433:B434"/>
    <mergeCell ref="C433:C434"/>
    <mergeCell ref="AJ433:AJ434"/>
    <mergeCell ref="AK433:AK434"/>
    <mergeCell ref="AL433:AL434"/>
    <mergeCell ref="B435:B436"/>
    <mergeCell ref="C435:C436"/>
    <mergeCell ref="AJ435:AJ436"/>
    <mergeCell ref="AK435:AK436"/>
    <mergeCell ref="AL435:AL436"/>
    <mergeCell ref="B437:B438"/>
    <mergeCell ref="C437:C438"/>
    <mergeCell ref="AJ437:AJ438"/>
    <mergeCell ref="AK437:AK438"/>
    <mergeCell ref="AL437:AL438"/>
    <mergeCell ref="B439:B440"/>
    <mergeCell ref="C439:C440"/>
    <mergeCell ref="AJ439:AJ440"/>
    <mergeCell ref="AK439:AK440"/>
    <mergeCell ref="AL439:AL440"/>
    <mergeCell ref="B441:B442"/>
    <mergeCell ref="C441:C442"/>
    <mergeCell ref="AJ441:AJ442"/>
    <mergeCell ref="AK441:AK442"/>
    <mergeCell ref="AL441:AL442"/>
    <mergeCell ref="B443:B444"/>
    <mergeCell ref="C443:C444"/>
    <mergeCell ref="AJ443:AJ444"/>
    <mergeCell ref="AK443:AK444"/>
    <mergeCell ref="AL443:AL444"/>
    <mergeCell ref="B445:B446"/>
    <mergeCell ref="C445:C446"/>
    <mergeCell ref="AJ445:AJ446"/>
    <mergeCell ref="AK445:AK446"/>
    <mergeCell ref="AL445:AL446"/>
    <mergeCell ref="B447:B448"/>
    <mergeCell ref="C447:C448"/>
    <mergeCell ref="AJ447:AJ448"/>
    <mergeCell ref="AK447:AK448"/>
    <mergeCell ref="AL447:AL448"/>
    <mergeCell ref="B449:B450"/>
    <mergeCell ref="C449:C450"/>
    <mergeCell ref="AJ449:AJ450"/>
    <mergeCell ref="AK449:AK450"/>
    <mergeCell ref="AL449:AL450"/>
    <mergeCell ref="B451:B452"/>
    <mergeCell ref="C451:C452"/>
    <mergeCell ref="AJ451:AJ452"/>
    <mergeCell ref="AK451:AK452"/>
    <mergeCell ref="AL451:AL452"/>
    <mergeCell ref="B453:B454"/>
    <mergeCell ref="C453:C454"/>
    <mergeCell ref="AJ453:AJ454"/>
    <mergeCell ref="AK453:AK454"/>
    <mergeCell ref="AL453:AL454"/>
    <mergeCell ref="B455:B456"/>
    <mergeCell ref="C455:C456"/>
    <mergeCell ref="AJ455:AJ456"/>
    <mergeCell ref="AK455:AK456"/>
    <mergeCell ref="AL455:AL456"/>
    <mergeCell ref="B457:B458"/>
    <mergeCell ref="C457:C458"/>
    <mergeCell ref="AJ457:AJ458"/>
    <mergeCell ref="AK457:AK458"/>
    <mergeCell ref="AL457:AL458"/>
    <mergeCell ref="B459:B460"/>
    <mergeCell ref="C459:C460"/>
    <mergeCell ref="AJ459:AJ460"/>
    <mergeCell ref="AK459:AK460"/>
    <mergeCell ref="AL459:AL460"/>
    <mergeCell ref="B461:B462"/>
    <mergeCell ref="C461:C462"/>
    <mergeCell ref="AJ461:AJ462"/>
    <mergeCell ref="AK461:AK462"/>
    <mergeCell ref="AL461:AL462"/>
    <mergeCell ref="B463:B464"/>
    <mergeCell ref="C463:C464"/>
    <mergeCell ref="AJ463:AJ464"/>
    <mergeCell ref="AK463:AK464"/>
    <mergeCell ref="AL463:AL464"/>
    <mergeCell ref="B465:B466"/>
    <mergeCell ref="C465:C466"/>
    <mergeCell ref="AJ465:AJ466"/>
    <mergeCell ref="AK465:AK466"/>
    <mergeCell ref="AL465:AL466"/>
    <mergeCell ref="B467:B468"/>
    <mergeCell ref="C467:C468"/>
    <mergeCell ref="AJ467:AJ468"/>
    <mergeCell ref="AK467:AK468"/>
    <mergeCell ref="AL467:AL468"/>
    <mergeCell ref="B469:B470"/>
    <mergeCell ref="C469:C470"/>
    <mergeCell ref="AJ469:AJ470"/>
    <mergeCell ref="AK469:AK470"/>
    <mergeCell ref="AL469:AL470"/>
    <mergeCell ref="B471:B472"/>
    <mergeCell ref="C471:C472"/>
    <mergeCell ref="AJ471:AJ472"/>
    <mergeCell ref="AK471:AK472"/>
    <mergeCell ref="AL471:AL472"/>
    <mergeCell ref="B473:B474"/>
    <mergeCell ref="C473:C474"/>
    <mergeCell ref="AJ473:AJ474"/>
    <mergeCell ref="AK473:AK474"/>
    <mergeCell ref="AL473:AL474"/>
    <mergeCell ref="B475:B476"/>
    <mergeCell ref="C475:C476"/>
    <mergeCell ref="AJ475:AJ476"/>
    <mergeCell ref="AK475:AK476"/>
    <mergeCell ref="AL475:AL476"/>
    <mergeCell ref="B477:B478"/>
    <mergeCell ref="C477:C478"/>
    <mergeCell ref="AJ477:AJ478"/>
    <mergeCell ref="AK477:AK478"/>
    <mergeCell ref="AL477:AL478"/>
    <mergeCell ref="B479:B480"/>
    <mergeCell ref="C479:C480"/>
    <mergeCell ref="AJ479:AJ480"/>
    <mergeCell ref="AK479:AK480"/>
    <mergeCell ref="AL479:AL480"/>
    <mergeCell ref="B481:B482"/>
    <mergeCell ref="C481:C482"/>
    <mergeCell ref="AJ481:AJ482"/>
    <mergeCell ref="AK481:AK482"/>
    <mergeCell ref="AL481:AL482"/>
    <mergeCell ref="B483:B484"/>
    <mergeCell ref="C483:C484"/>
    <mergeCell ref="AJ483:AJ484"/>
    <mergeCell ref="AK483:AK484"/>
    <mergeCell ref="AL483:AL484"/>
    <mergeCell ref="A485:A494"/>
    <mergeCell ref="B485:B486"/>
    <mergeCell ref="C485:C486"/>
    <mergeCell ref="AJ485:AJ486"/>
    <mergeCell ref="AK485:AK486"/>
    <mergeCell ref="AL485:AL486"/>
    <mergeCell ref="B487:B488"/>
    <mergeCell ref="C487:C488"/>
    <mergeCell ref="AJ487:AJ488"/>
    <mergeCell ref="AK487:AK488"/>
    <mergeCell ref="AL487:AL488"/>
    <mergeCell ref="B489:B490"/>
    <mergeCell ref="C489:C490"/>
    <mergeCell ref="AJ489:AJ490"/>
    <mergeCell ref="AK489:AK490"/>
    <mergeCell ref="AL489:AL490"/>
    <mergeCell ref="B491:B492"/>
    <mergeCell ref="C491:C492"/>
    <mergeCell ref="AJ491:AJ492"/>
    <mergeCell ref="AK491:AK492"/>
    <mergeCell ref="AL491:AL492"/>
    <mergeCell ref="B493:B494"/>
    <mergeCell ref="C493:C494"/>
    <mergeCell ref="AJ493:AJ494"/>
    <mergeCell ref="AK493:AK494"/>
    <mergeCell ref="AL493:AL494"/>
    <mergeCell ref="A495:A510"/>
    <mergeCell ref="B495:B496"/>
    <mergeCell ref="C495:C496"/>
    <mergeCell ref="AJ495:AJ496"/>
    <mergeCell ref="AK495:AK496"/>
    <mergeCell ref="AL495:AL496"/>
    <mergeCell ref="B497:B498"/>
    <mergeCell ref="C497:C498"/>
    <mergeCell ref="AJ497:AJ498"/>
    <mergeCell ref="AK497:AK498"/>
    <mergeCell ref="AL497:AL498"/>
    <mergeCell ref="B499:B500"/>
    <mergeCell ref="C499:C500"/>
    <mergeCell ref="AJ499:AJ500"/>
    <mergeCell ref="AK499:AK500"/>
    <mergeCell ref="AL499:AL500"/>
    <mergeCell ref="B501:B502"/>
    <mergeCell ref="C501:C502"/>
    <mergeCell ref="AJ501:AJ502"/>
    <mergeCell ref="AK501:AK502"/>
    <mergeCell ref="AL501:AL502"/>
    <mergeCell ref="B503:B504"/>
    <mergeCell ref="C503:C504"/>
    <mergeCell ref="AJ503:AJ504"/>
    <mergeCell ref="AK503:AK504"/>
    <mergeCell ref="AL503:AL504"/>
    <mergeCell ref="B505:B506"/>
    <mergeCell ref="C505:C506"/>
    <mergeCell ref="AJ505:AJ506"/>
    <mergeCell ref="AK505:AK506"/>
    <mergeCell ref="AL505:AL506"/>
    <mergeCell ref="B507:B508"/>
    <mergeCell ref="C507:C508"/>
    <mergeCell ref="AJ507:AJ508"/>
    <mergeCell ref="AK507:AK508"/>
    <mergeCell ref="AL507:AL508"/>
    <mergeCell ref="B509:B510"/>
    <mergeCell ref="C509:C510"/>
    <mergeCell ref="AJ509:AJ510"/>
    <mergeCell ref="AK509:AK510"/>
    <mergeCell ref="AL509:AL510"/>
    <mergeCell ref="A511:A524"/>
    <mergeCell ref="B511:B512"/>
    <mergeCell ref="C511:C512"/>
    <mergeCell ref="AJ511:AJ512"/>
    <mergeCell ref="AK511:AK512"/>
    <mergeCell ref="AL511:AL512"/>
    <mergeCell ref="B513:B514"/>
    <mergeCell ref="C513:C514"/>
    <mergeCell ref="AJ513:AJ514"/>
    <mergeCell ref="AK513:AK514"/>
    <mergeCell ref="AL513:AL514"/>
    <mergeCell ref="B515:B516"/>
    <mergeCell ref="C515:C516"/>
    <mergeCell ref="AJ515:AJ516"/>
    <mergeCell ref="AK515:AK516"/>
    <mergeCell ref="AL515:AL516"/>
    <mergeCell ref="B517:B518"/>
    <mergeCell ref="C517:C518"/>
    <mergeCell ref="AJ517:AJ518"/>
    <mergeCell ref="AK517:AK518"/>
    <mergeCell ref="AL517:AL518"/>
    <mergeCell ref="B519:B520"/>
    <mergeCell ref="C519:C520"/>
    <mergeCell ref="AJ519:AJ520"/>
    <mergeCell ref="AK519:AK520"/>
    <mergeCell ref="AL519:AL520"/>
    <mergeCell ref="B521:B522"/>
    <mergeCell ref="C521:C522"/>
    <mergeCell ref="AJ521:AJ522"/>
    <mergeCell ref="AK521:AK522"/>
    <mergeCell ref="AL521:AL522"/>
    <mergeCell ref="B523:B524"/>
    <mergeCell ref="C523:C524"/>
    <mergeCell ref="AJ523:AJ524"/>
    <mergeCell ref="AK523:AK524"/>
    <mergeCell ref="AL523:AL524"/>
    <mergeCell ref="A525:A820"/>
    <mergeCell ref="B525:B526"/>
    <mergeCell ref="C525:C526"/>
    <mergeCell ref="AJ525:AJ526"/>
    <mergeCell ref="AK525:AK526"/>
    <mergeCell ref="AL525:AL526"/>
    <mergeCell ref="B527:B528"/>
    <mergeCell ref="C527:C528"/>
    <mergeCell ref="AJ527:AJ528"/>
    <mergeCell ref="AK527:AK528"/>
    <mergeCell ref="AL527:AL528"/>
    <mergeCell ref="B529:B530"/>
    <mergeCell ref="C529:C530"/>
    <mergeCell ref="AJ529:AJ530"/>
    <mergeCell ref="AK529:AK530"/>
    <mergeCell ref="AL529:AL530"/>
    <mergeCell ref="B531:B532"/>
    <mergeCell ref="C531:C532"/>
    <mergeCell ref="AJ531:AJ532"/>
    <mergeCell ref="AK531:AK532"/>
    <mergeCell ref="AL531:AL532"/>
    <mergeCell ref="B533:B534"/>
    <mergeCell ref="C533:C534"/>
    <mergeCell ref="AJ533:AJ534"/>
    <mergeCell ref="AK533:AK534"/>
    <mergeCell ref="AL533:AL534"/>
    <mergeCell ref="B535:B536"/>
    <mergeCell ref="C535:C536"/>
    <mergeCell ref="AJ535:AJ536"/>
    <mergeCell ref="AK535:AK536"/>
    <mergeCell ref="AL535:AL536"/>
    <mergeCell ref="B537:B538"/>
    <mergeCell ref="C537:C538"/>
    <mergeCell ref="AJ537:AJ538"/>
    <mergeCell ref="AK537:AK538"/>
    <mergeCell ref="AL537:AL538"/>
    <mergeCell ref="B539:B540"/>
    <mergeCell ref="C539:C540"/>
    <mergeCell ref="AJ539:AJ540"/>
    <mergeCell ref="AK539:AK540"/>
    <mergeCell ref="AL539:AL540"/>
    <mergeCell ref="B541:B542"/>
    <mergeCell ref="C541:C542"/>
    <mergeCell ref="AJ541:AJ542"/>
    <mergeCell ref="AK541:AK542"/>
    <mergeCell ref="AL541:AL542"/>
    <mergeCell ref="B543:B544"/>
    <mergeCell ref="C543:C544"/>
    <mergeCell ref="AJ543:AJ544"/>
    <mergeCell ref="AK543:AK544"/>
    <mergeCell ref="AL543:AL544"/>
    <mergeCell ref="B545:B546"/>
    <mergeCell ref="C545:C546"/>
    <mergeCell ref="AJ545:AJ546"/>
    <mergeCell ref="AK545:AK546"/>
    <mergeCell ref="AL545:AL546"/>
    <mergeCell ref="B547:B548"/>
    <mergeCell ref="C547:C548"/>
    <mergeCell ref="AJ547:AJ548"/>
    <mergeCell ref="AK547:AK548"/>
    <mergeCell ref="AL547:AL548"/>
    <mergeCell ref="B549:B550"/>
    <mergeCell ref="C549:C550"/>
    <mergeCell ref="AJ549:AJ550"/>
    <mergeCell ref="AK549:AK550"/>
    <mergeCell ref="AL549:AL550"/>
    <mergeCell ref="B551:B552"/>
    <mergeCell ref="C551:C552"/>
    <mergeCell ref="AJ551:AJ552"/>
    <mergeCell ref="AK551:AK552"/>
    <mergeCell ref="AL551:AL552"/>
    <mergeCell ref="B553:B554"/>
    <mergeCell ref="C553:C554"/>
    <mergeCell ref="AJ553:AJ554"/>
    <mergeCell ref="AK553:AK554"/>
    <mergeCell ref="AL553:AL554"/>
    <mergeCell ref="B555:B556"/>
    <mergeCell ref="C555:C556"/>
    <mergeCell ref="AJ555:AJ556"/>
    <mergeCell ref="AK555:AK556"/>
    <mergeCell ref="AL555:AL556"/>
    <mergeCell ref="B557:B558"/>
    <mergeCell ref="C557:C558"/>
    <mergeCell ref="AJ557:AJ558"/>
    <mergeCell ref="AK557:AK558"/>
    <mergeCell ref="AL557:AL558"/>
    <mergeCell ref="B559:B560"/>
    <mergeCell ref="C559:C560"/>
    <mergeCell ref="AJ559:AJ560"/>
    <mergeCell ref="AK559:AK560"/>
    <mergeCell ref="AL559:AL560"/>
    <mergeCell ref="B561:B562"/>
    <mergeCell ref="C561:C562"/>
    <mergeCell ref="AJ561:AJ562"/>
    <mergeCell ref="AK561:AK562"/>
    <mergeCell ref="AL561:AL562"/>
    <mergeCell ref="B563:B564"/>
    <mergeCell ref="C563:C564"/>
    <mergeCell ref="AJ563:AJ564"/>
    <mergeCell ref="AK563:AK564"/>
    <mergeCell ref="AL563:AL564"/>
    <mergeCell ref="B565:B566"/>
    <mergeCell ref="C565:C566"/>
    <mergeCell ref="AJ565:AJ566"/>
    <mergeCell ref="AK565:AK566"/>
    <mergeCell ref="AL565:AL566"/>
    <mergeCell ref="B567:B568"/>
    <mergeCell ref="C567:C568"/>
    <mergeCell ref="AJ567:AJ568"/>
    <mergeCell ref="AK567:AK568"/>
    <mergeCell ref="AL567:AL568"/>
    <mergeCell ref="B569:B570"/>
    <mergeCell ref="C569:C570"/>
    <mergeCell ref="AJ569:AJ570"/>
    <mergeCell ref="AK569:AK570"/>
    <mergeCell ref="AL569:AL570"/>
    <mergeCell ref="B571:B572"/>
    <mergeCell ref="C571:C572"/>
    <mergeCell ref="AJ571:AJ572"/>
    <mergeCell ref="AK571:AK572"/>
    <mergeCell ref="AL571:AL572"/>
    <mergeCell ref="B573:B574"/>
    <mergeCell ref="C573:C574"/>
    <mergeCell ref="AJ573:AJ574"/>
    <mergeCell ref="AK573:AK574"/>
    <mergeCell ref="AL573:AL574"/>
    <mergeCell ref="B575:B576"/>
    <mergeCell ref="C575:C576"/>
    <mergeCell ref="AJ575:AJ576"/>
    <mergeCell ref="AK575:AK576"/>
    <mergeCell ref="AL575:AL576"/>
    <mergeCell ref="B577:B578"/>
    <mergeCell ref="C577:C578"/>
    <mergeCell ref="AJ577:AJ578"/>
    <mergeCell ref="AK577:AK578"/>
    <mergeCell ref="AL577:AL578"/>
    <mergeCell ref="B579:B580"/>
    <mergeCell ref="C579:C580"/>
    <mergeCell ref="AJ579:AJ580"/>
    <mergeCell ref="AK579:AK580"/>
    <mergeCell ref="AL579:AL580"/>
    <mergeCell ref="B581:B582"/>
    <mergeCell ref="C581:C582"/>
    <mergeCell ref="AJ581:AJ582"/>
    <mergeCell ref="AK581:AK582"/>
    <mergeCell ref="AL581:AL582"/>
    <mergeCell ref="B583:B584"/>
    <mergeCell ref="C583:C584"/>
    <mergeCell ref="AJ583:AJ584"/>
    <mergeCell ref="AK583:AK584"/>
    <mergeCell ref="AL583:AL584"/>
    <mergeCell ref="B585:B586"/>
    <mergeCell ref="C585:C586"/>
    <mergeCell ref="AJ585:AJ586"/>
    <mergeCell ref="AK585:AK586"/>
    <mergeCell ref="AL585:AL586"/>
    <mergeCell ref="B587:B588"/>
    <mergeCell ref="C587:C588"/>
    <mergeCell ref="AJ587:AJ588"/>
    <mergeCell ref="AK587:AK588"/>
    <mergeCell ref="AL587:AL588"/>
    <mergeCell ref="B589:B590"/>
    <mergeCell ref="C589:C590"/>
    <mergeCell ref="AJ589:AJ590"/>
    <mergeCell ref="AK589:AK590"/>
    <mergeCell ref="AL589:AL590"/>
    <mergeCell ref="B591:B592"/>
    <mergeCell ref="C591:C592"/>
    <mergeCell ref="AJ591:AJ592"/>
    <mergeCell ref="AK591:AK592"/>
    <mergeCell ref="AL591:AL592"/>
    <mergeCell ref="B593:B594"/>
    <mergeCell ref="C593:C594"/>
    <mergeCell ref="AJ593:AJ594"/>
    <mergeCell ref="AK593:AK594"/>
    <mergeCell ref="AL593:AL594"/>
    <mergeCell ref="B595:B596"/>
    <mergeCell ref="C595:C596"/>
    <mergeCell ref="AJ595:AJ596"/>
    <mergeCell ref="AK595:AK596"/>
    <mergeCell ref="AL595:AL596"/>
    <mergeCell ref="B597:B598"/>
    <mergeCell ref="C597:C598"/>
    <mergeCell ref="AJ597:AJ598"/>
    <mergeCell ref="AK597:AK598"/>
    <mergeCell ref="AL597:AL598"/>
    <mergeCell ref="B599:B600"/>
    <mergeCell ref="C599:C600"/>
    <mergeCell ref="AJ599:AJ600"/>
    <mergeCell ref="AK599:AK600"/>
    <mergeCell ref="AL599:AL600"/>
    <mergeCell ref="B601:B602"/>
    <mergeCell ref="C601:C602"/>
    <mergeCell ref="AJ601:AJ602"/>
    <mergeCell ref="AK601:AK602"/>
    <mergeCell ref="AL601:AL602"/>
    <mergeCell ref="B603:B604"/>
    <mergeCell ref="C603:C604"/>
    <mergeCell ref="AJ603:AJ604"/>
    <mergeCell ref="AK603:AK604"/>
    <mergeCell ref="AL603:AL604"/>
    <mergeCell ref="B605:B606"/>
    <mergeCell ref="C605:C606"/>
    <mergeCell ref="AJ605:AJ606"/>
    <mergeCell ref="AK605:AK606"/>
    <mergeCell ref="AL605:AL606"/>
    <mergeCell ref="B607:B608"/>
    <mergeCell ref="C607:C608"/>
    <mergeCell ref="AJ607:AJ608"/>
    <mergeCell ref="AK607:AK608"/>
    <mergeCell ref="AL607:AL608"/>
    <mergeCell ref="B609:B610"/>
    <mergeCell ref="C609:C610"/>
    <mergeCell ref="AJ609:AJ610"/>
    <mergeCell ref="AK609:AK610"/>
    <mergeCell ref="AL609:AL610"/>
    <mergeCell ref="B611:B612"/>
    <mergeCell ref="C611:C612"/>
    <mergeCell ref="AJ611:AJ612"/>
    <mergeCell ref="AK611:AK612"/>
    <mergeCell ref="AL611:AL612"/>
    <mergeCell ref="B613:B614"/>
    <mergeCell ref="C613:C614"/>
    <mergeCell ref="AJ613:AJ614"/>
    <mergeCell ref="AK613:AK614"/>
    <mergeCell ref="AL613:AL614"/>
    <mergeCell ref="B615:B616"/>
    <mergeCell ref="C615:C616"/>
    <mergeCell ref="AJ615:AJ616"/>
    <mergeCell ref="AK615:AK616"/>
    <mergeCell ref="AL615:AL616"/>
    <mergeCell ref="B617:B618"/>
    <mergeCell ref="C617:C618"/>
    <mergeCell ref="AJ617:AJ618"/>
    <mergeCell ref="AK617:AK618"/>
    <mergeCell ref="AL617:AL618"/>
    <mergeCell ref="B619:B620"/>
    <mergeCell ref="C619:C620"/>
    <mergeCell ref="AJ619:AJ620"/>
    <mergeCell ref="AK619:AK620"/>
    <mergeCell ref="AL619:AL620"/>
    <mergeCell ref="B621:B622"/>
    <mergeCell ref="C621:C622"/>
    <mergeCell ref="AJ621:AJ622"/>
    <mergeCell ref="AK621:AK622"/>
    <mergeCell ref="AL621:AL622"/>
    <mergeCell ref="B623:B624"/>
    <mergeCell ref="C623:C624"/>
    <mergeCell ref="AJ623:AJ624"/>
    <mergeCell ref="AK623:AK624"/>
    <mergeCell ref="AL623:AL624"/>
    <mergeCell ref="B625:B626"/>
    <mergeCell ref="C625:C626"/>
    <mergeCell ref="AJ625:AJ626"/>
    <mergeCell ref="AK625:AK626"/>
    <mergeCell ref="AL625:AL626"/>
    <mergeCell ref="B627:B628"/>
    <mergeCell ref="C627:C628"/>
    <mergeCell ref="AJ627:AJ628"/>
    <mergeCell ref="AK627:AK628"/>
    <mergeCell ref="AL627:AL628"/>
    <mergeCell ref="B629:B630"/>
    <mergeCell ref="C629:C630"/>
    <mergeCell ref="AJ629:AJ630"/>
    <mergeCell ref="AK629:AK630"/>
    <mergeCell ref="AL629:AL630"/>
    <mergeCell ref="B631:B632"/>
    <mergeCell ref="C631:C632"/>
    <mergeCell ref="AJ631:AJ632"/>
    <mergeCell ref="AK631:AK632"/>
    <mergeCell ref="AL631:AL632"/>
    <mergeCell ref="B633:B634"/>
    <mergeCell ref="C633:C634"/>
    <mergeCell ref="AJ633:AJ634"/>
    <mergeCell ref="AK633:AK634"/>
    <mergeCell ref="AL633:AL634"/>
    <mergeCell ref="B635:B636"/>
    <mergeCell ref="C635:C636"/>
    <mergeCell ref="AJ635:AJ636"/>
    <mergeCell ref="AK635:AK636"/>
    <mergeCell ref="AL635:AL636"/>
    <mergeCell ref="B637:B638"/>
    <mergeCell ref="C637:C638"/>
    <mergeCell ref="AJ637:AJ638"/>
    <mergeCell ref="AK637:AK638"/>
    <mergeCell ref="AL637:AL638"/>
    <mergeCell ref="B639:B640"/>
    <mergeCell ref="C639:C640"/>
    <mergeCell ref="AJ639:AJ640"/>
    <mergeCell ref="AK639:AK640"/>
    <mergeCell ref="AL639:AL640"/>
    <mergeCell ref="B641:B642"/>
    <mergeCell ref="C641:C642"/>
    <mergeCell ref="AJ641:AJ642"/>
    <mergeCell ref="AK641:AK642"/>
    <mergeCell ref="AL641:AL642"/>
    <mergeCell ref="B643:B644"/>
    <mergeCell ref="C643:C644"/>
    <mergeCell ref="AJ643:AJ644"/>
    <mergeCell ref="AK643:AK644"/>
    <mergeCell ref="AL643:AL644"/>
    <mergeCell ref="B645:B646"/>
    <mergeCell ref="C645:C646"/>
    <mergeCell ref="AJ645:AJ646"/>
    <mergeCell ref="AK645:AK646"/>
    <mergeCell ref="AL645:AL646"/>
    <mergeCell ref="B647:B648"/>
    <mergeCell ref="C647:C648"/>
    <mergeCell ref="AJ647:AJ648"/>
    <mergeCell ref="AK647:AK648"/>
    <mergeCell ref="AL647:AL648"/>
    <mergeCell ref="B649:B650"/>
    <mergeCell ref="C649:C650"/>
    <mergeCell ref="AJ649:AJ650"/>
    <mergeCell ref="AK649:AK650"/>
    <mergeCell ref="AL649:AL650"/>
    <mergeCell ref="B651:B652"/>
    <mergeCell ref="C651:C652"/>
    <mergeCell ref="AJ651:AJ652"/>
    <mergeCell ref="AK651:AK652"/>
    <mergeCell ref="AL651:AL652"/>
    <mergeCell ref="B653:B654"/>
    <mergeCell ref="C653:C654"/>
    <mergeCell ref="AJ653:AJ654"/>
    <mergeCell ref="AK653:AK654"/>
    <mergeCell ref="AL653:AL654"/>
    <mergeCell ref="B655:B656"/>
    <mergeCell ref="C655:C656"/>
    <mergeCell ref="AJ655:AJ656"/>
    <mergeCell ref="AK655:AK656"/>
    <mergeCell ref="AL655:AL656"/>
    <mergeCell ref="B657:B658"/>
    <mergeCell ref="C657:C658"/>
    <mergeCell ref="AJ657:AJ658"/>
    <mergeCell ref="AK657:AK658"/>
    <mergeCell ref="AL657:AL658"/>
    <mergeCell ref="B659:B660"/>
    <mergeCell ref="C659:C660"/>
    <mergeCell ref="AJ659:AJ660"/>
    <mergeCell ref="AK659:AK660"/>
    <mergeCell ref="AL659:AL660"/>
    <mergeCell ref="B661:B662"/>
    <mergeCell ref="C661:C662"/>
    <mergeCell ref="AJ661:AJ662"/>
    <mergeCell ref="AK661:AK662"/>
    <mergeCell ref="AL661:AL662"/>
    <mergeCell ref="B663:B664"/>
    <mergeCell ref="C663:C664"/>
    <mergeCell ref="AJ663:AJ664"/>
    <mergeCell ref="AK663:AK664"/>
    <mergeCell ref="AL663:AL664"/>
    <mergeCell ref="B665:B666"/>
    <mergeCell ref="C665:C666"/>
    <mergeCell ref="AJ665:AJ666"/>
    <mergeCell ref="AK665:AK666"/>
    <mergeCell ref="AL665:AL666"/>
    <mergeCell ref="B667:B668"/>
    <mergeCell ref="C667:C668"/>
    <mergeCell ref="AJ667:AJ668"/>
    <mergeCell ref="AK667:AK668"/>
    <mergeCell ref="AL667:AL668"/>
    <mergeCell ref="B669:B670"/>
    <mergeCell ref="C669:C670"/>
    <mergeCell ref="AJ669:AJ670"/>
    <mergeCell ref="AK669:AK670"/>
    <mergeCell ref="AL669:AL670"/>
    <mergeCell ref="B671:B672"/>
    <mergeCell ref="C671:C672"/>
    <mergeCell ref="AJ671:AJ672"/>
    <mergeCell ref="AK671:AK672"/>
    <mergeCell ref="AL671:AL672"/>
    <mergeCell ref="B673:B674"/>
    <mergeCell ref="C673:C674"/>
    <mergeCell ref="AJ673:AJ674"/>
    <mergeCell ref="AK673:AK674"/>
    <mergeCell ref="AL673:AL674"/>
    <mergeCell ref="B675:B676"/>
    <mergeCell ref="C675:C676"/>
    <mergeCell ref="AJ675:AJ676"/>
    <mergeCell ref="AK675:AK676"/>
    <mergeCell ref="AL675:AL676"/>
    <mergeCell ref="B677:B678"/>
    <mergeCell ref="C677:C678"/>
    <mergeCell ref="AJ677:AJ678"/>
    <mergeCell ref="AK677:AK678"/>
    <mergeCell ref="AL677:AL678"/>
    <mergeCell ref="B679:B680"/>
    <mergeCell ref="C679:C680"/>
    <mergeCell ref="AJ679:AJ680"/>
    <mergeCell ref="AK679:AK680"/>
    <mergeCell ref="AL679:AL680"/>
    <mergeCell ref="B681:B682"/>
    <mergeCell ref="C681:C682"/>
    <mergeCell ref="AJ681:AJ682"/>
    <mergeCell ref="AK681:AK682"/>
    <mergeCell ref="AL681:AL682"/>
    <mergeCell ref="B683:B684"/>
    <mergeCell ref="C683:C684"/>
    <mergeCell ref="AJ683:AJ684"/>
    <mergeCell ref="AK683:AK684"/>
    <mergeCell ref="AL683:AL684"/>
    <mergeCell ref="B685:B686"/>
    <mergeCell ref="C685:C686"/>
    <mergeCell ref="AJ685:AJ686"/>
    <mergeCell ref="AK685:AK686"/>
    <mergeCell ref="AL685:AL686"/>
    <mergeCell ref="B687:B688"/>
    <mergeCell ref="C687:C688"/>
    <mergeCell ref="AJ687:AJ688"/>
    <mergeCell ref="AK687:AK688"/>
    <mergeCell ref="AL687:AL688"/>
    <mergeCell ref="B689:B690"/>
    <mergeCell ref="C689:C690"/>
    <mergeCell ref="AJ689:AJ690"/>
    <mergeCell ref="AK689:AK690"/>
    <mergeCell ref="AL689:AL690"/>
    <mergeCell ref="B691:B692"/>
    <mergeCell ref="C691:C692"/>
    <mergeCell ref="AJ691:AJ692"/>
    <mergeCell ref="AK691:AK692"/>
    <mergeCell ref="AL691:AL692"/>
    <mergeCell ref="B693:B694"/>
    <mergeCell ref="C693:C694"/>
    <mergeCell ref="AJ693:AJ694"/>
    <mergeCell ref="AK693:AK694"/>
    <mergeCell ref="AL693:AL694"/>
    <mergeCell ref="B695:B696"/>
    <mergeCell ref="C695:C696"/>
    <mergeCell ref="AJ695:AJ696"/>
    <mergeCell ref="AK695:AK696"/>
    <mergeCell ref="AL695:AL696"/>
    <mergeCell ref="B697:B698"/>
    <mergeCell ref="C697:C698"/>
    <mergeCell ref="AJ697:AJ698"/>
    <mergeCell ref="AK697:AK698"/>
    <mergeCell ref="AL697:AL698"/>
    <mergeCell ref="B699:B700"/>
    <mergeCell ref="C699:C700"/>
    <mergeCell ref="AJ699:AJ700"/>
    <mergeCell ref="AK699:AK700"/>
    <mergeCell ref="AL699:AL700"/>
    <mergeCell ref="B701:B702"/>
    <mergeCell ref="C701:C702"/>
    <mergeCell ref="AJ701:AJ702"/>
    <mergeCell ref="AK701:AK702"/>
    <mergeCell ref="AL701:AL702"/>
    <mergeCell ref="B703:B704"/>
    <mergeCell ref="C703:C704"/>
    <mergeCell ref="AJ703:AJ704"/>
    <mergeCell ref="AK703:AK704"/>
    <mergeCell ref="AL703:AL704"/>
    <mergeCell ref="B705:B706"/>
    <mergeCell ref="C705:C706"/>
    <mergeCell ref="AJ705:AJ706"/>
    <mergeCell ref="AK705:AK706"/>
    <mergeCell ref="AL705:AL706"/>
    <mergeCell ref="B707:B708"/>
    <mergeCell ref="C707:C708"/>
    <mergeCell ref="AJ707:AJ708"/>
    <mergeCell ref="AK707:AK708"/>
    <mergeCell ref="AL707:AL708"/>
    <mergeCell ref="B709:B710"/>
    <mergeCell ref="C709:C710"/>
    <mergeCell ref="AJ709:AJ710"/>
    <mergeCell ref="AK709:AK710"/>
    <mergeCell ref="AL709:AL710"/>
    <mergeCell ref="B711:B712"/>
    <mergeCell ref="C711:C712"/>
    <mergeCell ref="AJ711:AJ712"/>
    <mergeCell ref="AK711:AK712"/>
    <mergeCell ref="AL711:AL712"/>
    <mergeCell ref="B713:B714"/>
    <mergeCell ref="C713:C714"/>
    <mergeCell ref="AJ713:AJ714"/>
    <mergeCell ref="AK713:AK714"/>
    <mergeCell ref="AL713:AL714"/>
    <mergeCell ref="B715:B716"/>
    <mergeCell ref="C715:C716"/>
    <mergeCell ref="AJ715:AJ716"/>
    <mergeCell ref="AK715:AK716"/>
    <mergeCell ref="AL715:AL716"/>
    <mergeCell ref="B717:B718"/>
    <mergeCell ref="C717:C718"/>
    <mergeCell ref="AJ717:AJ718"/>
    <mergeCell ref="AK717:AK718"/>
    <mergeCell ref="AL717:AL718"/>
    <mergeCell ref="B719:B720"/>
    <mergeCell ref="C719:C720"/>
    <mergeCell ref="AJ719:AJ720"/>
    <mergeCell ref="AK719:AK720"/>
    <mergeCell ref="AL719:AL720"/>
    <mergeCell ref="B721:B722"/>
    <mergeCell ref="C721:C722"/>
    <mergeCell ref="AJ721:AJ722"/>
    <mergeCell ref="AK721:AK722"/>
    <mergeCell ref="AL721:AL722"/>
    <mergeCell ref="B723:B724"/>
    <mergeCell ref="C723:C724"/>
    <mergeCell ref="AJ723:AJ724"/>
    <mergeCell ref="AK723:AK724"/>
    <mergeCell ref="AL723:AL724"/>
    <mergeCell ref="B725:B726"/>
    <mergeCell ref="C725:C726"/>
    <mergeCell ref="AJ725:AJ726"/>
    <mergeCell ref="AK725:AK726"/>
    <mergeCell ref="AL725:AL726"/>
    <mergeCell ref="B727:B728"/>
    <mergeCell ref="C727:C728"/>
    <mergeCell ref="AJ727:AJ728"/>
    <mergeCell ref="AK727:AK728"/>
    <mergeCell ref="AL727:AL728"/>
    <mergeCell ref="B729:B730"/>
    <mergeCell ref="C729:C730"/>
    <mergeCell ref="AJ729:AJ730"/>
    <mergeCell ref="AK729:AK730"/>
    <mergeCell ref="AL729:AL730"/>
    <mergeCell ref="B731:B732"/>
    <mergeCell ref="C731:C732"/>
    <mergeCell ref="AJ731:AJ732"/>
    <mergeCell ref="AK731:AK732"/>
    <mergeCell ref="AL731:AL732"/>
    <mergeCell ref="B733:B734"/>
    <mergeCell ref="C733:C734"/>
    <mergeCell ref="AJ733:AJ734"/>
    <mergeCell ref="AK733:AK734"/>
    <mergeCell ref="AL733:AL734"/>
    <mergeCell ref="B735:B736"/>
    <mergeCell ref="C735:C736"/>
    <mergeCell ref="AJ735:AJ736"/>
    <mergeCell ref="AK735:AK736"/>
    <mergeCell ref="AL735:AL736"/>
    <mergeCell ref="B737:B738"/>
    <mergeCell ref="C737:C738"/>
    <mergeCell ref="AJ737:AJ738"/>
    <mergeCell ref="AK737:AK738"/>
    <mergeCell ref="AL737:AL738"/>
    <mergeCell ref="B739:B740"/>
    <mergeCell ref="C739:C740"/>
    <mergeCell ref="AJ739:AJ740"/>
    <mergeCell ref="AK739:AK740"/>
    <mergeCell ref="AL739:AL740"/>
    <mergeCell ref="B741:B742"/>
    <mergeCell ref="C741:C742"/>
    <mergeCell ref="AJ741:AJ742"/>
    <mergeCell ref="AK741:AK742"/>
    <mergeCell ref="AL741:AL742"/>
    <mergeCell ref="B743:B744"/>
    <mergeCell ref="C743:C744"/>
    <mergeCell ref="AJ743:AJ744"/>
    <mergeCell ref="AK743:AK744"/>
    <mergeCell ref="AL743:AL744"/>
    <mergeCell ref="B745:B746"/>
    <mergeCell ref="C745:C746"/>
    <mergeCell ref="AJ745:AJ746"/>
    <mergeCell ref="AK745:AK746"/>
    <mergeCell ref="AL745:AL746"/>
    <mergeCell ref="B747:B748"/>
    <mergeCell ref="C747:C748"/>
    <mergeCell ref="AJ747:AJ748"/>
    <mergeCell ref="AK747:AK748"/>
    <mergeCell ref="AL747:AL748"/>
    <mergeCell ref="B749:B750"/>
    <mergeCell ref="C749:C750"/>
    <mergeCell ref="AJ749:AJ750"/>
    <mergeCell ref="AK749:AK750"/>
    <mergeCell ref="AL749:AL750"/>
    <mergeCell ref="B751:B752"/>
    <mergeCell ref="C751:C752"/>
    <mergeCell ref="AJ751:AJ752"/>
    <mergeCell ref="AK751:AK752"/>
    <mergeCell ref="AL751:AL752"/>
    <mergeCell ref="B753:B754"/>
    <mergeCell ref="C753:C754"/>
    <mergeCell ref="AJ753:AJ754"/>
    <mergeCell ref="AK753:AK754"/>
    <mergeCell ref="AL753:AL754"/>
    <mergeCell ref="B755:B756"/>
    <mergeCell ref="C755:C756"/>
    <mergeCell ref="AJ755:AJ756"/>
    <mergeCell ref="AK755:AK756"/>
    <mergeCell ref="AL755:AL756"/>
    <mergeCell ref="B757:B758"/>
    <mergeCell ref="C757:C758"/>
    <mergeCell ref="AJ757:AJ758"/>
    <mergeCell ref="AK757:AK758"/>
    <mergeCell ref="AL757:AL758"/>
    <mergeCell ref="B759:B760"/>
    <mergeCell ref="C759:C760"/>
    <mergeCell ref="AJ759:AJ760"/>
    <mergeCell ref="AK759:AK760"/>
    <mergeCell ref="AL759:AL760"/>
    <mergeCell ref="B761:B762"/>
    <mergeCell ref="C761:C762"/>
    <mergeCell ref="AJ761:AJ762"/>
    <mergeCell ref="AK761:AK762"/>
    <mergeCell ref="AL761:AL762"/>
    <mergeCell ref="B763:B764"/>
    <mergeCell ref="C763:C764"/>
    <mergeCell ref="AJ763:AJ764"/>
    <mergeCell ref="AK763:AK764"/>
    <mergeCell ref="AL763:AL764"/>
    <mergeCell ref="B765:B766"/>
    <mergeCell ref="C765:C766"/>
    <mergeCell ref="AJ765:AJ766"/>
    <mergeCell ref="AK765:AK766"/>
    <mergeCell ref="AL765:AL766"/>
    <mergeCell ref="B767:B768"/>
    <mergeCell ref="C767:C768"/>
    <mergeCell ref="AJ767:AJ768"/>
    <mergeCell ref="AK767:AK768"/>
    <mergeCell ref="AL767:AL768"/>
    <mergeCell ref="B769:B770"/>
    <mergeCell ref="C769:C770"/>
    <mergeCell ref="AJ769:AJ770"/>
    <mergeCell ref="AK769:AK770"/>
    <mergeCell ref="AL769:AL770"/>
    <mergeCell ref="B771:B772"/>
    <mergeCell ref="C771:C772"/>
    <mergeCell ref="AJ771:AJ772"/>
    <mergeCell ref="AK771:AK772"/>
    <mergeCell ref="AL771:AL772"/>
    <mergeCell ref="B773:B774"/>
    <mergeCell ref="C773:C774"/>
    <mergeCell ref="AJ773:AJ774"/>
    <mergeCell ref="AK773:AK774"/>
    <mergeCell ref="AL773:AL774"/>
    <mergeCell ref="B775:B776"/>
    <mergeCell ref="C775:C776"/>
    <mergeCell ref="AJ775:AJ776"/>
    <mergeCell ref="AK775:AK776"/>
    <mergeCell ref="AL775:AL776"/>
    <mergeCell ref="B777:B778"/>
    <mergeCell ref="C777:C778"/>
    <mergeCell ref="AJ777:AJ778"/>
    <mergeCell ref="AK777:AK778"/>
    <mergeCell ref="AL777:AL778"/>
    <mergeCell ref="B779:B780"/>
    <mergeCell ref="C779:C780"/>
    <mergeCell ref="AJ779:AJ780"/>
    <mergeCell ref="AK779:AK780"/>
    <mergeCell ref="AL779:AL780"/>
    <mergeCell ref="B781:B782"/>
    <mergeCell ref="C781:C782"/>
    <mergeCell ref="AJ781:AJ782"/>
    <mergeCell ref="AK781:AK782"/>
    <mergeCell ref="AL781:AL782"/>
    <mergeCell ref="B783:B784"/>
    <mergeCell ref="C783:C784"/>
    <mergeCell ref="AJ783:AJ784"/>
    <mergeCell ref="AK783:AK784"/>
    <mergeCell ref="AL783:AL784"/>
    <mergeCell ref="B785:B786"/>
    <mergeCell ref="C785:C786"/>
    <mergeCell ref="AJ785:AJ786"/>
    <mergeCell ref="AK785:AK786"/>
    <mergeCell ref="AL785:AL786"/>
    <mergeCell ref="B787:B788"/>
    <mergeCell ref="C787:C788"/>
    <mergeCell ref="AJ787:AJ788"/>
    <mergeCell ref="AK787:AK788"/>
    <mergeCell ref="AL787:AL788"/>
    <mergeCell ref="B789:B790"/>
    <mergeCell ref="C789:C790"/>
    <mergeCell ref="AJ789:AJ790"/>
    <mergeCell ref="AK789:AK790"/>
    <mergeCell ref="AL789:AL790"/>
    <mergeCell ref="B791:B792"/>
    <mergeCell ref="C791:C792"/>
    <mergeCell ref="AJ791:AJ792"/>
    <mergeCell ref="AK791:AK792"/>
    <mergeCell ref="AL791:AL792"/>
    <mergeCell ref="B793:B794"/>
    <mergeCell ref="C793:C794"/>
    <mergeCell ref="AJ793:AJ794"/>
    <mergeCell ref="AK793:AK794"/>
    <mergeCell ref="AL793:AL794"/>
    <mergeCell ref="B795:B796"/>
    <mergeCell ref="C795:C796"/>
    <mergeCell ref="AJ795:AJ796"/>
    <mergeCell ref="AK795:AK796"/>
    <mergeCell ref="AL795:AL796"/>
    <mergeCell ref="B797:B798"/>
    <mergeCell ref="C797:C798"/>
    <mergeCell ref="AJ797:AJ798"/>
    <mergeCell ref="AK797:AK798"/>
    <mergeCell ref="AL797:AL798"/>
    <mergeCell ref="B799:B800"/>
    <mergeCell ref="C799:C800"/>
    <mergeCell ref="AJ799:AJ800"/>
    <mergeCell ref="AK799:AK800"/>
    <mergeCell ref="AL799:AL800"/>
    <mergeCell ref="B801:B802"/>
    <mergeCell ref="C801:C802"/>
    <mergeCell ref="AJ801:AJ802"/>
    <mergeCell ref="AK801:AK802"/>
    <mergeCell ref="AL801:AL802"/>
    <mergeCell ref="B803:B804"/>
    <mergeCell ref="C803:C804"/>
    <mergeCell ref="AJ803:AJ804"/>
    <mergeCell ref="AK803:AK804"/>
    <mergeCell ref="AL803:AL804"/>
    <mergeCell ref="B805:B806"/>
    <mergeCell ref="C805:C806"/>
    <mergeCell ref="AJ805:AJ806"/>
    <mergeCell ref="AK805:AK806"/>
    <mergeCell ref="AL805:AL806"/>
    <mergeCell ref="B807:B808"/>
    <mergeCell ref="C807:C808"/>
    <mergeCell ref="AJ807:AJ808"/>
    <mergeCell ref="AK807:AK808"/>
    <mergeCell ref="AL807:AL808"/>
    <mergeCell ref="B809:B810"/>
    <mergeCell ref="C809:C810"/>
    <mergeCell ref="AJ809:AJ810"/>
    <mergeCell ref="AK809:AK810"/>
    <mergeCell ref="AL809:AL810"/>
    <mergeCell ref="B811:B812"/>
    <mergeCell ref="C811:C812"/>
    <mergeCell ref="AJ811:AJ812"/>
    <mergeCell ref="AK811:AK812"/>
    <mergeCell ref="AL811:AL812"/>
    <mergeCell ref="B813:B814"/>
    <mergeCell ref="C813:C814"/>
    <mergeCell ref="AJ813:AJ814"/>
    <mergeCell ref="AK813:AK814"/>
    <mergeCell ref="AL813:AL814"/>
    <mergeCell ref="B815:B816"/>
    <mergeCell ref="C815:C816"/>
    <mergeCell ref="AJ815:AJ816"/>
    <mergeCell ref="AK815:AK816"/>
    <mergeCell ref="AL815:AL816"/>
    <mergeCell ref="B817:B818"/>
    <mergeCell ref="C817:C818"/>
    <mergeCell ref="AJ817:AJ818"/>
    <mergeCell ref="AK817:AK818"/>
    <mergeCell ref="AL817:AL818"/>
    <mergeCell ref="B819:B820"/>
    <mergeCell ref="C819:C820"/>
    <mergeCell ref="AJ819:AJ820"/>
    <mergeCell ref="AK819:AK820"/>
    <mergeCell ref="AL819:AL820"/>
    <mergeCell ref="A821:A850"/>
    <mergeCell ref="B821:B822"/>
    <mergeCell ref="C821:C822"/>
    <mergeCell ref="AJ821:AJ822"/>
    <mergeCell ref="AK821:AK822"/>
    <mergeCell ref="AL821:AL822"/>
    <mergeCell ref="B823:B824"/>
    <mergeCell ref="C823:C824"/>
    <mergeCell ref="AJ823:AJ824"/>
    <mergeCell ref="AK823:AK824"/>
    <mergeCell ref="AL823:AL824"/>
    <mergeCell ref="B825:B826"/>
    <mergeCell ref="C825:C826"/>
    <mergeCell ref="AJ825:AJ826"/>
    <mergeCell ref="AK825:AK826"/>
    <mergeCell ref="AL825:AL826"/>
    <mergeCell ref="B827:B828"/>
    <mergeCell ref="C827:C828"/>
    <mergeCell ref="AJ827:AJ828"/>
    <mergeCell ref="AK827:AK828"/>
    <mergeCell ref="AL827:AL828"/>
    <mergeCell ref="B829:B830"/>
    <mergeCell ref="C829:C830"/>
    <mergeCell ref="AJ829:AJ830"/>
    <mergeCell ref="AK829:AK830"/>
    <mergeCell ref="AL829:AL830"/>
    <mergeCell ref="B831:B832"/>
    <mergeCell ref="C831:C832"/>
    <mergeCell ref="AJ831:AJ832"/>
    <mergeCell ref="AK831:AK832"/>
    <mergeCell ref="AL831:AL832"/>
    <mergeCell ref="B833:B834"/>
    <mergeCell ref="C833:C834"/>
    <mergeCell ref="AJ833:AJ834"/>
    <mergeCell ref="AK833:AK834"/>
    <mergeCell ref="AL833:AL834"/>
    <mergeCell ref="B835:B836"/>
    <mergeCell ref="C835:C836"/>
    <mergeCell ref="AJ835:AJ836"/>
    <mergeCell ref="AK835:AK836"/>
    <mergeCell ref="AL835:AL836"/>
    <mergeCell ref="B837:B838"/>
    <mergeCell ref="C837:C838"/>
    <mergeCell ref="AJ837:AJ838"/>
    <mergeCell ref="AK837:AK838"/>
    <mergeCell ref="AL837:AL838"/>
    <mergeCell ref="B839:B840"/>
    <mergeCell ref="C839:C840"/>
    <mergeCell ref="AJ839:AJ840"/>
    <mergeCell ref="AK839:AK840"/>
    <mergeCell ref="AL839:AL840"/>
    <mergeCell ref="B841:B842"/>
    <mergeCell ref="C841:C842"/>
    <mergeCell ref="AJ841:AJ842"/>
    <mergeCell ref="AK841:AK842"/>
    <mergeCell ref="AL841:AL842"/>
    <mergeCell ref="B843:B844"/>
    <mergeCell ref="C843:C844"/>
    <mergeCell ref="AJ843:AJ844"/>
    <mergeCell ref="AK843:AK844"/>
    <mergeCell ref="AL843:AL844"/>
    <mergeCell ref="B845:B846"/>
    <mergeCell ref="C845:C846"/>
    <mergeCell ref="AJ845:AJ846"/>
    <mergeCell ref="AK845:AK846"/>
    <mergeCell ref="AL845:AL846"/>
    <mergeCell ref="B847:B848"/>
    <mergeCell ref="C847:C848"/>
    <mergeCell ref="AJ847:AJ848"/>
    <mergeCell ref="AK847:AK848"/>
    <mergeCell ref="AL847:AL848"/>
    <mergeCell ref="B849:B850"/>
    <mergeCell ref="C849:C850"/>
    <mergeCell ref="AJ849:AJ850"/>
    <mergeCell ref="AK849:AK850"/>
    <mergeCell ref="AL849:AL850"/>
    <mergeCell ref="A851:A880"/>
    <mergeCell ref="B851:B852"/>
    <mergeCell ref="C851:C852"/>
    <mergeCell ref="AJ851:AJ852"/>
    <mergeCell ref="AK851:AK852"/>
    <mergeCell ref="AL851:AL852"/>
    <mergeCell ref="B853:B854"/>
    <mergeCell ref="C853:C854"/>
    <mergeCell ref="AJ853:AJ854"/>
    <mergeCell ref="AK853:AK854"/>
    <mergeCell ref="AL853:AL854"/>
    <mergeCell ref="B855:B856"/>
    <mergeCell ref="C855:C856"/>
    <mergeCell ref="AJ855:AJ856"/>
    <mergeCell ref="AK855:AK856"/>
    <mergeCell ref="AL855:AL856"/>
    <mergeCell ref="B857:B858"/>
    <mergeCell ref="C857:C858"/>
    <mergeCell ref="AJ857:AJ858"/>
    <mergeCell ref="AK857:AK858"/>
    <mergeCell ref="AL857:AL858"/>
    <mergeCell ref="B859:B860"/>
    <mergeCell ref="C859:C860"/>
    <mergeCell ref="AJ859:AJ860"/>
    <mergeCell ref="AK859:AK860"/>
    <mergeCell ref="AL859:AL860"/>
    <mergeCell ref="B861:B862"/>
    <mergeCell ref="C861:C862"/>
    <mergeCell ref="AJ861:AJ862"/>
    <mergeCell ref="AK861:AK862"/>
    <mergeCell ref="AL861:AL862"/>
    <mergeCell ref="B863:B864"/>
    <mergeCell ref="C863:C864"/>
    <mergeCell ref="AJ863:AJ864"/>
    <mergeCell ref="AK863:AK864"/>
    <mergeCell ref="AL863:AL864"/>
    <mergeCell ref="B865:B866"/>
    <mergeCell ref="C865:C866"/>
    <mergeCell ref="AJ865:AJ866"/>
    <mergeCell ref="AK865:AK866"/>
    <mergeCell ref="AL865:AL866"/>
    <mergeCell ref="B867:B868"/>
    <mergeCell ref="C867:C868"/>
    <mergeCell ref="AJ867:AJ868"/>
    <mergeCell ref="AK867:AK868"/>
    <mergeCell ref="AL867:AL868"/>
    <mergeCell ref="B869:B870"/>
    <mergeCell ref="C869:C870"/>
    <mergeCell ref="AJ869:AJ870"/>
    <mergeCell ref="AK869:AK870"/>
    <mergeCell ref="AL869:AL870"/>
    <mergeCell ref="B871:B872"/>
    <mergeCell ref="C871:C872"/>
    <mergeCell ref="AJ871:AJ872"/>
    <mergeCell ref="AK871:AK872"/>
    <mergeCell ref="AL871:AL872"/>
    <mergeCell ref="B873:B874"/>
    <mergeCell ref="C873:C874"/>
    <mergeCell ref="AJ873:AJ874"/>
    <mergeCell ref="AK873:AK874"/>
    <mergeCell ref="AL873:AL874"/>
    <mergeCell ref="B875:B876"/>
    <mergeCell ref="C875:C876"/>
    <mergeCell ref="AJ875:AJ876"/>
    <mergeCell ref="AK875:AK876"/>
    <mergeCell ref="AL875:AL876"/>
    <mergeCell ref="B877:B878"/>
    <mergeCell ref="C877:C878"/>
    <mergeCell ref="AJ877:AJ878"/>
    <mergeCell ref="AK877:AK878"/>
    <mergeCell ref="AL877:AL878"/>
    <mergeCell ref="B879:B880"/>
    <mergeCell ref="C879:C880"/>
    <mergeCell ref="AJ879:AJ880"/>
    <mergeCell ref="AK879:AK880"/>
    <mergeCell ref="AL879:AL880"/>
    <mergeCell ref="A881:A912"/>
    <mergeCell ref="B881:B882"/>
    <mergeCell ref="C881:C882"/>
    <mergeCell ref="AJ881:AJ882"/>
    <mergeCell ref="AK881:AK882"/>
    <mergeCell ref="AL881:AL882"/>
    <mergeCell ref="B883:B884"/>
    <mergeCell ref="C883:C884"/>
    <mergeCell ref="AJ883:AJ884"/>
    <mergeCell ref="AK883:AK884"/>
    <mergeCell ref="AL883:AL884"/>
    <mergeCell ref="B885:B886"/>
    <mergeCell ref="C885:C886"/>
    <mergeCell ref="AJ885:AJ886"/>
    <mergeCell ref="AK885:AK886"/>
    <mergeCell ref="AL885:AL886"/>
    <mergeCell ref="B887:B888"/>
    <mergeCell ref="C887:C888"/>
    <mergeCell ref="AJ887:AJ888"/>
    <mergeCell ref="AK887:AK888"/>
    <mergeCell ref="AL887:AL888"/>
    <mergeCell ref="B889:B890"/>
    <mergeCell ref="C889:C890"/>
    <mergeCell ref="AJ889:AJ890"/>
    <mergeCell ref="AK889:AK890"/>
    <mergeCell ref="AL889:AL890"/>
    <mergeCell ref="B891:B892"/>
    <mergeCell ref="C891:C892"/>
    <mergeCell ref="AJ891:AJ892"/>
    <mergeCell ref="AK891:AK892"/>
    <mergeCell ref="AL891:AL892"/>
    <mergeCell ref="B893:B894"/>
    <mergeCell ref="C893:C894"/>
    <mergeCell ref="AJ893:AJ894"/>
    <mergeCell ref="AK893:AK894"/>
    <mergeCell ref="AL893:AL894"/>
    <mergeCell ref="B895:B896"/>
    <mergeCell ref="C895:C896"/>
    <mergeCell ref="AJ895:AJ896"/>
    <mergeCell ref="AK895:AK896"/>
    <mergeCell ref="AL895:AL896"/>
    <mergeCell ref="B897:B898"/>
    <mergeCell ref="C897:C898"/>
    <mergeCell ref="AJ897:AJ898"/>
    <mergeCell ref="AK897:AK898"/>
    <mergeCell ref="AL897:AL898"/>
    <mergeCell ref="B899:B900"/>
    <mergeCell ref="C899:C900"/>
    <mergeCell ref="AJ899:AJ900"/>
    <mergeCell ref="AK899:AK900"/>
    <mergeCell ref="AL899:AL900"/>
    <mergeCell ref="B901:B902"/>
    <mergeCell ref="C901:C902"/>
    <mergeCell ref="AJ901:AJ902"/>
    <mergeCell ref="AK901:AK902"/>
    <mergeCell ref="AL901:AL902"/>
    <mergeCell ref="B903:B904"/>
    <mergeCell ref="C903:C904"/>
    <mergeCell ref="AJ903:AJ904"/>
    <mergeCell ref="AK903:AK904"/>
    <mergeCell ref="AL903:AL904"/>
    <mergeCell ref="B905:B906"/>
    <mergeCell ref="C905:C906"/>
    <mergeCell ref="AJ905:AJ906"/>
    <mergeCell ref="AK905:AK906"/>
    <mergeCell ref="AL905:AL906"/>
    <mergeCell ref="B907:B908"/>
    <mergeCell ref="C907:C908"/>
    <mergeCell ref="AJ907:AJ908"/>
    <mergeCell ref="AK907:AK908"/>
    <mergeCell ref="AL907:AL908"/>
    <mergeCell ref="B909:B910"/>
    <mergeCell ref="C909:C910"/>
    <mergeCell ref="AJ909:AJ910"/>
    <mergeCell ref="AK909:AK910"/>
    <mergeCell ref="AL909:AL910"/>
    <mergeCell ref="B911:B912"/>
    <mergeCell ref="C911:C912"/>
    <mergeCell ref="AJ911:AJ912"/>
    <mergeCell ref="AK911:AK912"/>
    <mergeCell ref="AL911:AL912"/>
    <mergeCell ref="A913:A1000"/>
    <mergeCell ref="B913:B914"/>
    <mergeCell ref="C913:C914"/>
    <mergeCell ref="AJ913:AJ914"/>
    <mergeCell ref="AK913:AK914"/>
    <mergeCell ref="AL913:AL914"/>
    <mergeCell ref="B915:B916"/>
    <mergeCell ref="C915:C916"/>
    <mergeCell ref="AJ915:AJ916"/>
    <mergeCell ref="AK915:AK916"/>
    <mergeCell ref="AL915:AL916"/>
    <mergeCell ref="B917:B918"/>
    <mergeCell ref="C917:C918"/>
    <mergeCell ref="AJ917:AJ918"/>
    <mergeCell ref="AK917:AK918"/>
    <mergeCell ref="AL917:AL918"/>
    <mergeCell ref="B919:B920"/>
    <mergeCell ref="C919:C920"/>
    <mergeCell ref="AJ919:AJ920"/>
    <mergeCell ref="AK919:AK920"/>
    <mergeCell ref="AL919:AL920"/>
    <mergeCell ref="B921:B922"/>
    <mergeCell ref="C921:C922"/>
    <mergeCell ref="AJ921:AJ922"/>
    <mergeCell ref="AK921:AK922"/>
    <mergeCell ref="AL921:AL922"/>
    <mergeCell ref="B923:B924"/>
    <mergeCell ref="C923:C924"/>
    <mergeCell ref="AJ923:AJ924"/>
    <mergeCell ref="AK923:AK924"/>
    <mergeCell ref="AL923:AL924"/>
    <mergeCell ref="B925:B926"/>
    <mergeCell ref="C925:C926"/>
    <mergeCell ref="AJ925:AJ926"/>
    <mergeCell ref="AK925:AK926"/>
    <mergeCell ref="AL925:AL926"/>
    <mergeCell ref="B927:B928"/>
    <mergeCell ref="C927:C928"/>
    <mergeCell ref="AJ927:AJ928"/>
    <mergeCell ref="AK927:AK928"/>
    <mergeCell ref="AL927:AL928"/>
    <mergeCell ref="B929:B930"/>
    <mergeCell ref="C929:C930"/>
    <mergeCell ref="AJ929:AJ930"/>
    <mergeCell ref="AK929:AK930"/>
    <mergeCell ref="AL929:AL930"/>
    <mergeCell ref="B931:B932"/>
    <mergeCell ref="C931:C932"/>
    <mergeCell ref="AJ931:AJ932"/>
    <mergeCell ref="AK931:AK932"/>
    <mergeCell ref="AL931:AL932"/>
    <mergeCell ref="B933:B934"/>
    <mergeCell ref="C933:C934"/>
    <mergeCell ref="AJ933:AJ934"/>
    <mergeCell ref="AK933:AK934"/>
    <mergeCell ref="AL933:AL934"/>
    <mergeCell ref="B935:B936"/>
    <mergeCell ref="C935:C936"/>
    <mergeCell ref="AJ935:AJ936"/>
    <mergeCell ref="AK935:AK936"/>
    <mergeCell ref="AL935:AL936"/>
    <mergeCell ref="B937:B938"/>
    <mergeCell ref="C937:C938"/>
    <mergeCell ref="AJ937:AJ938"/>
    <mergeCell ref="AK937:AK938"/>
    <mergeCell ref="AL937:AL938"/>
    <mergeCell ref="B939:B940"/>
    <mergeCell ref="C939:C940"/>
    <mergeCell ref="AJ939:AJ940"/>
    <mergeCell ref="AK939:AK940"/>
    <mergeCell ref="AL939:AL940"/>
    <mergeCell ref="B941:B942"/>
    <mergeCell ref="C941:C942"/>
    <mergeCell ref="AJ941:AJ942"/>
    <mergeCell ref="AK941:AK942"/>
    <mergeCell ref="AL941:AL942"/>
    <mergeCell ref="B943:B944"/>
    <mergeCell ref="C943:C944"/>
    <mergeCell ref="AJ943:AJ944"/>
    <mergeCell ref="AK943:AK944"/>
    <mergeCell ref="AL943:AL944"/>
    <mergeCell ref="B945:B946"/>
    <mergeCell ref="C945:C946"/>
    <mergeCell ref="AJ945:AJ946"/>
    <mergeCell ref="AK945:AK946"/>
    <mergeCell ref="AL945:AL946"/>
    <mergeCell ref="B947:B948"/>
    <mergeCell ref="C947:C948"/>
    <mergeCell ref="AJ947:AJ948"/>
    <mergeCell ref="AK947:AK948"/>
    <mergeCell ref="AL947:AL948"/>
    <mergeCell ref="B949:B950"/>
    <mergeCell ref="C949:C950"/>
    <mergeCell ref="AJ949:AJ950"/>
    <mergeCell ref="AK949:AK950"/>
    <mergeCell ref="AL949:AL950"/>
    <mergeCell ref="B951:B952"/>
    <mergeCell ref="C951:C952"/>
    <mergeCell ref="AJ951:AJ952"/>
    <mergeCell ref="AK951:AK952"/>
    <mergeCell ref="AL951:AL952"/>
    <mergeCell ref="B953:B954"/>
    <mergeCell ref="C953:C954"/>
    <mergeCell ref="AJ953:AJ954"/>
    <mergeCell ref="AK953:AK954"/>
    <mergeCell ref="AL953:AL954"/>
    <mergeCell ref="B955:B956"/>
    <mergeCell ref="C955:C956"/>
    <mergeCell ref="AJ955:AJ956"/>
    <mergeCell ref="AK955:AK956"/>
    <mergeCell ref="AL955:AL956"/>
    <mergeCell ref="B957:B958"/>
    <mergeCell ref="C957:C958"/>
    <mergeCell ref="AJ957:AJ958"/>
    <mergeCell ref="AK957:AK958"/>
    <mergeCell ref="AL957:AL958"/>
    <mergeCell ref="B959:B960"/>
    <mergeCell ref="C959:C960"/>
    <mergeCell ref="AJ959:AJ960"/>
    <mergeCell ref="AK959:AK960"/>
    <mergeCell ref="AL959:AL960"/>
    <mergeCell ref="B961:B962"/>
    <mergeCell ref="C961:C962"/>
    <mergeCell ref="AJ961:AJ962"/>
    <mergeCell ref="AK961:AK962"/>
    <mergeCell ref="AL961:AL962"/>
    <mergeCell ref="B963:B964"/>
    <mergeCell ref="C963:C964"/>
    <mergeCell ref="AJ963:AJ964"/>
    <mergeCell ref="AK963:AK964"/>
    <mergeCell ref="AL963:AL964"/>
    <mergeCell ref="B965:B966"/>
    <mergeCell ref="C965:C966"/>
    <mergeCell ref="AJ965:AJ966"/>
    <mergeCell ref="AK965:AK966"/>
    <mergeCell ref="AL965:AL966"/>
    <mergeCell ref="B967:B968"/>
    <mergeCell ref="C967:C968"/>
    <mergeCell ref="AJ967:AJ968"/>
    <mergeCell ref="AK967:AK968"/>
    <mergeCell ref="AL967:AL968"/>
    <mergeCell ref="B969:B970"/>
    <mergeCell ref="C969:C970"/>
    <mergeCell ref="AJ969:AJ970"/>
    <mergeCell ref="AK969:AK970"/>
    <mergeCell ref="AL969:AL970"/>
    <mergeCell ref="B971:B972"/>
    <mergeCell ref="C971:C972"/>
    <mergeCell ref="AJ971:AJ972"/>
    <mergeCell ref="AK971:AK972"/>
    <mergeCell ref="AL971:AL972"/>
    <mergeCell ref="B973:B974"/>
    <mergeCell ref="C973:C974"/>
    <mergeCell ref="AJ973:AJ974"/>
    <mergeCell ref="AK973:AK974"/>
    <mergeCell ref="AL973:AL974"/>
    <mergeCell ref="B975:B976"/>
    <mergeCell ref="C975:C976"/>
    <mergeCell ref="AJ975:AJ976"/>
    <mergeCell ref="AK975:AK976"/>
    <mergeCell ref="AL975:AL976"/>
    <mergeCell ref="B977:B978"/>
    <mergeCell ref="C977:C978"/>
    <mergeCell ref="AJ977:AJ978"/>
    <mergeCell ref="AK977:AK978"/>
    <mergeCell ref="AL977:AL978"/>
    <mergeCell ref="B979:B980"/>
    <mergeCell ref="C979:C980"/>
    <mergeCell ref="AJ979:AJ980"/>
    <mergeCell ref="AK979:AK980"/>
    <mergeCell ref="AL979:AL980"/>
    <mergeCell ref="B981:B982"/>
    <mergeCell ref="C981:C982"/>
    <mergeCell ref="AJ981:AJ982"/>
    <mergeCell ref="AK981:AK982"/>
    <mergeCell ref="AL981:AL982"/>
    <mergeCell ref="B983:B984"/>
    <mergeCell ref="C983:C984"/>
    <mergeCell ref="AJ983:AJ984"/>
    <mergeCell ref="AK983:AK984"/>
    <mergeCell ref="AL983:AL984"/>
    <mergeCell ref="B985:B986"/>
    <mergeCell ref="C985:C986"/>
    <mergeCell ref="AJ985:AJ986"/>
    <mergeCell ref="AK985:AK986"/>
    <mergeCell ref="AL985:AL986"/>
    <mergeCell ref="B987:B988"/>
    <mergeCell ref="C987:C988"/>
    <mergeCell ref="AJ987:AJ988"/>
    <mergeCell ref="AK987:AK988"/>
    <mergeCell ref="AL987:AL988"/>
    <mergeCell ref="B989:B990"/>
    <mergeCell ref="C989:C990"/>
    <mergeCell ref="AJ989:AJ990"/>
    <mergeCell ref="AK989:AK990"/>
    <mergeCell ref="AL989:AL990"/>
    <mergeCell ref="B991:B992"/>
    <mergeCell ref="C991:C992"/>
    <mergeCell ref="AJ991:AJ992"/>
    <mergeCell ref="AK991:AK992"/>
    <mergeCell ref="AL991:AL992"/>
    <mergeCell ref="B993:B994"/>
    <mergeCell ref="C993:C994"/>
    <mergeCell ref="AJ993:AJ994"/>
    <mergeCell ref="AK993:AK994"/>
    <mergeCell ref="AL993:AL994"/>
    <mergeCell ref="B995:B996"/>
    <mergeCell ref="C995:C996"/>
    <mergeCell ref="AJ995:AJ996"/>
    <mergeCell ref="AK995:AK996"/>
    <mergeCell ref="AL995:AL996"/>
    <mergeCell ref="B997:B998"/>
    <mergeCell ref="C997:C998"/>
    <mergeCell ref="AJ997:AJ998"/>
    <mergeCell ref="AK997:AK998"/>
    <mergeCell ref="AL997:AL998"/>
    <mergeCell ref="B999:B1000"/>
    <mergeCell ref="C999:C1000"/>
    <mergeCell ref="AJ999:AJ1000"/>
    <mergeCell ref="AK999:AK1000"/>
    <mergeCell ref="AL999:AL1000"/>
    <mergeCell ref="A1001:A1010"/>
    <mergeCell ref="B1001:B1002"/>
    <mergeCell ref="C1001:C1002"/>
    <mergeCell ref="AJ1001:AJ1002"/>
    <mergeCell ref="AK1001:AK1002"/>
    <mergeCell ref="AL1001:AL1002"/>
    <mergeCell ref="B1003:B1004"/>
    <mergeCell ref="C1003:C1004"/>
    <mergeCell ref="AJ1003:AJ1004"/>
    <mergeCell ref="AK1003:AK1004"/>
    <mergeCell ref="AL1003:AL1004"/>
    <mergeCell ref="B1005:B1006"/>
    <mergeCell ref="C1005:C1006"/>
    <mergeCell ref="AJ1005:AJ1006"/>
    <mergeCell ref="AK1005:AK1006"/>
    <mergeCell ref="AL1005:AL1006"/>
    <mergeCell ref="B1007:B1008"/>
    <mergeCell ref="C1007:C1008"/>
    <mergeCell ref="AJ1007:AJ1008"/>
    <mergeCell ref="AK1007:AK1008"/>
    <mergeCell ref="AL1007:AL1008"/>
    <mergeCell ref="B1009:B1010"/>
    <mergeCell ref="C1009:C1010"/>
    <mergeCell ref="AJ1009:AJ1010"/>
    <mergeCell ref="AK1009:AK1010"/>
    <mergeCell ref="AL1009:AL1010"/>
    <mergeCell ref="A1011:A1018"/>
    <mergeCell ref="B1011:B1012"/>
    <mergeCell ref="C1011:C1012"/>
    <mergeCell ref="AJ1011:AJ1012"/>
    <mergeCell ref="AK1011:AK1012"/>
    <mergeCell ref="AL1011:AL1012"/>
    <mergeCell ref="B1013:B1014"/>
    <mergeCell ref="C1013:C1014"/>
    <mergeCell ref="AJ1013:AJ1014"/>
    <mergeCell ref="AK1013:AK1014"/>
    <mergeCell ref="AL1013:AL1014"/>
    <mergeCell ref="B1015:B1016"/>
    <mergeCell ref="C1015:C1016"/>
    <mergeCell ref="AJ1015:AJ1016"/>
    <mergeCell ref="AK1015:AK1016"/>
    <mergeCell ref="AL1015:AL1016"/>
    <mergeCell ref="B1017:B1018"/>
    <mergeCell ref="C1017:C1018"/>
    <mergeCell ref="AJ1017:AJ1018"/>
    <mergeCell ref="AK1017:AK1018"/>
    <mergeCell ref="AL1017:AL1018"/>
    <mergeCell ref="A1019:A1044"/>
    <mergeCell ref="B1019:B1020"/>
    <mergeCell ref="C1019:C1020"/>
    <mergeCell ref="AJ1019:AJ1020"/>
    <mergeCell ref="AK1019:AK1020"/>
    <mergeCell ref="AL1019:AL1020"/>
    <mergeCell ref="B1021:B1022"/>
    <mergeCell ref="C1021:C1022"/>
    <mergeCell ref="AJ1021:AJ1022"/>
    <mergeCell ref="AK1021:AK1022"/>
    <mergeCell ref="AL1021:AL1022"/>
    <mergeCell ref="B1023:B1024"/>
    <mergeCell ref="C1023:C1024"/>
    <mergeCell ref="AJ1023:AJ1024"/>
    <mergeCell ref="AK1023:AK1024"/>
    <mergeCell ref="AL1023:AL1024"/>
    <mergeCell ref="B1025:B1026"/>
    <mergeCell ref="C1025:C1026"/>
    <mergeCell ref="AJ1025:AJ1026"/>
    <mergeCell ref="AK1025:AK1026"/>
    <mergeCell ref="AL1025:AL1026"/>
    <mergeCell ref="B1027:B1028"/>
    <mergeCell ref="C1027:C1028"/>
    <mergeCell ref="AJ1027:AJ1028"/>
    <mergeCell ref="AK1027:AK1028"/>
    <mergeCell ref="AL1027:AL1028"/>
    <mergeCell ref="B1029:B1030"/>
    <mergeCell ref="C1029:C1030"/>
    <mergeCell ref="AJ1029:AJ1030"/>
    <mergeCell ref="AK1029:AK1030"/>
    <mergeCell ref="AL1029:AL1030"/>
    <mergeCell ref="B1031:B1032"/>
    <mergeCell ref="C1031:C1032"/>
    <mergeCell ref="AJ1031:AJ1032"/>
    <mergeCell ref="AK1031:AK1032"/>
    <mergeCell ref="AL1031:AL1032"/>
    <mergeCell ref="B1033:B1034"/>
    <mergeCell ref="C1033:C1034"/>
    <mergeCell ref="AJ1033:AJ1034"/>
    <mergeCell ref="AK1033:AK1034"/>
    <mergeCell ref="AL1033:AL1034"/>
    <mergeCell ref="B1035:B1036"/>
    <mergeCell ref="C1035:C1036"/>
    <mergeCell ref="AJ1035:AJ1036"/>
    <mergeCell ref="AK1035:AK1036"/>
    <mergeCell ref="AL1035:AL1036"/>
    <mergeCell ref="B1037:B1038"/>
    <mergeCell ref="C1037:C1038"/>
    <mergeCell ref="AJ1037:AJ1038"/>
    <mergeCell ref="AK1037:AK1038"/>
    <mergeCell ref="AL1037:AL1038"/>
    <mergeCell ref="B1039:B1040"/>
    <mergeCell ref="C1039:C1040"/>
    <mergeCell ref="AJ1039:AJ1040"/>
    <mergeCell ref="AK1039:AK1040"/>
    <mergeCell ref="AL1039:AL1040"/>
    <mergeCell ref="B1041:B1042"/>
    <mergeCell ref="C1041:C1042"/>
    <mergeCell ref="AJ1041:AJ1042"/>
    <mergeCell ref="AK1041:AK1042"/>
    <mergeCell ref="AL1041:AL1042"/>
    <mergeCell ref="B1043:B1044"/>
    <mergeCell ref="C1043:C1044"/>
    <mergeCell ref="AJ1043:AJ1044"/>
    <mergeCell ref="AK1043:AK1044"/>
    <mergeCell ref="AL1043:AL1044"/>
    <mergeCell ref="A1045:A1088"/>
    <mergeCell ref="B1045:B1046"/>
    <mergeCell ref="C1045:C1046"/>
    <mergeCell ref="AJ1045:AJ1046"/>
    <mergeCell ref="AK1045:AK1046"/>
    <mergeCell ref="AL1045:AL1046"/>
    <mergeCell ref="B1047:B1048"/>
    <mergeCell ref="C1047:C1048"/>
    <mergeCell ref="AJ1047:AJ1048"/>
    <mergeCell ref="AK1047:AK1048"/>
    <mergeCell ref="AL1047:AL1048"/>
    <mergeCell ref="B1049:B1050"/>
    <mergeCell ref="C1049:C1050"/>
    <mergeCell ref="AJ1049:AJ1050"/>
    <mergeCell ref="AK1049:AK1050"/>
    <mergeCell ref="AL1049:AL1050"/>
    <mergeCell ref="B1051:B1052"/>
    <mergeCell ref="C1051:C1052"/>
    <mergeCell ref="AJ1051:AJ1052"/>
    <mergeCell ref="AK1051:AK1052"/>
    <mergeCell ref="AL1051:AL1052"/>
    <mergeCell ref="B1053:B1054"/>
    <mergeCell ref="C1053:C1054"/>
    <mergeCell ref="AJ1053:AJ1054"/>
    <mergeCell ref="AK1053:AK1054"/>
    <mergeCell ref="AL1053:AL1054"/>
    <mergeCell ref="B1055:B1056"/>
    <mergeCell ref="C1055:C1056"/>
    <mergeCell ref="AJ1055:AJ1056"/>
    <mergeCell ref="AK1055:AK1056"/>
    <mergeCell ref="AL1055:AL1056"/>
    <mergeCell ref="B1057:B1058"/>
    <mergeCell ref="C1057:C1058"/>
    <mergeCell ref="AJ1057:AJ1058"/>
    <mergeCell ref="AK1057:AK1058"/>
    <mergeCell ref="AL1057:AL1058"/>
    <mergeCell ref="B1059:B1060"/>
    <mergeCell ref="C1059:C1060"/>
    <mergeCell ref="AJ1059:AJ1060"/>
    <mergeCell ref="AK1059:AK1060"/>
    <mergeCell ref="AL1059:AL1060"/>
    <mergeCell ref="B1061:B1062"/>
    <mergeCell ref="C1061:C1062"/>
    <mergeCell ref="AJ1061:AJ1062"/>
    <mergeCell ref="AK1061:AK1062"/>
    <mergeCell ref="AL1061:AL1062"/>
    <mergeCell ref="B1063:B1064"/>
    <mergeCell ref="C1063:C1064"/>
    <mergeCell ref="AJ1063:AJ1064"/>
    <mergeCell ref="AK1063:AK1064"/>
    <mergeCell ref="AL1063:AL1064"/>
    <mergeCell ref="B1065:B1066"/>
    <mergeCell ref="C1065:C1066"/>
    <mergeCell ref="AJ1065:AJ1066"/>
    <mergeCell ref="AK1065:AK1066"/>
    <mergeCell ref="AL1065:AL1066"/>
    <mergeCell ref="B1067:B1068"/>
    <mergeCell ref="C1067:C1068"/>
    <mergeCell ref="AJ1067:AJ1068"/>
    <mergeCell ref="AK1067:AK1068"/>
    <mergeCell ref="AL1067:AL1068"/>
    <mergeCell ref="B1069:B1070"/>
    <mergeCell ref="C1069:C1070"/>
    <mergeCell ref="AJ1069:AJ1070"/>
    <mergeCell ref="AK1069:AK1070"/>
    <mergeCell ref="AL1069:AL1070"/>
    <mergeCell ref="B1071:B1072"/>
    <mergeCell ref="C1071:C1072"/>
    <mergeCell ref="AJ1071:AJ1072"/>
    <mergeCell ref="AK1071:AK1072"/>
    <mergeCell ref="AL1071:AL1072"/>
    <mergeCell ref="B1073:B1074"/>
    <mergeCell ref="C1073:C1074"/>
    <mergeCell ref="AJ1073:AJ1074"/>
    <mergeCell ref="AK1073:AK1074"/>
    <mergeCell ref="AL1073:AL1074"/>
    <mergeCell ref="B1075:B1076"/>
    <mergeCell ref="C1075:C1076"/>
    <mergeCell ref="AJ1075:AJ1076"/>
    <mergeCell ref="AK1075:AK1076"/>
    <mergeCell ref="AL1075:AL1076"/>
    <mergeCell ref="B1077:B1078"/>
    <mergeCell ref="C1077:C1078"/>
    <mergeCell ref="AJ1077:AJ1078"/>
    <mergeCell ref="AK1077:AK1078"/>
    <mergeCell ref="AL1077:AL1078"/>
    <mergeCell ref="B1079:B1080"/>
    <mergeCell ref="C1079:C1080"/>
    <mergeCell ref="AJ1079:AJ1080"/>
    <mergeCell ref="AK1079:AK1080"/>
    <mergeCell ref="AL1079:AL1080"/>
    <mergeCell ref="B1081:B1082"/>
    <mergeCell ref="C1081:C1082"/>
    <mergeCell ref="AJ1081:AJ1082"/>
    <mergeCell ref="AK1081:AK1082"/>
    <mergeCell ref="AL1081:AL1082"/>
    <mergeCell ref="B1083:B1084"/>
    <mergeCell ref="C1083:C1084"/>
    <mergeCell ref="AJ1083:AJ1084"/>
    <mergeCell ref="AK1083:AK1084"/>
    <mergeCell ref="AL1083:AL1084"/>
    <mergeCell ref="B1085:B1086"/>
    <mergeCell ref="C1085:C1086"/>
    <mergeCell ref="AJ1085:AJ1086"/>
    <mergeCell ref="AK1085:AK1086"/>
    <mergeCell ref="AL1085:AL1086"/>
    <mergeCell ref="B1087:B1088"/>
    <mergeCell ref="C1087:C1088"/>
    <mergeCell ref="AJ1087:AJ1088"/>
    <mergeCell ref="AK1087:AK1088"/>
    <mergeCell ref="AL1087:AL1088"/>
    <mergeCell ref="A1089:A1176"/>
    <mergeCell ref="B1089:B1090"/>
    <mergeCell ref="C1089:C1090"/>
    <mergeCell ref="AJ1089:AJ1090"/>
    <mergeCell ref="AK1089:AK1090"/>
    <mergeCell ref="AL1089:AL1090"/>
    <mergeCell ref="B1091:B1092"/>
    <mergeCell ref="C1091:C1092"/>
    <mergeCell ref="AJ1091:AJ1092"/>
    <mergeCell ref="AK1091:AK1092"/>
    <mergeCell ref="AL1091:AL1092"/>
    <mergeCell ref="B1093:B1094"/>
    <mergeCell ref="C1093:C1094"/>
    <mergeCell ref="AJ1093:AJ1094"/>
    <mergeCell ref="AK1093:AK1094"/>
    <mergeCell ref="AL1093:AL1094"/>
    <mergeCell ref="B1095:B1096"/>
    <mergeCell ref="C1095:C1096"/>
    <mergeCell ref="AJ1095:AJ1096"/>
    <mergeCell ref="AK1095:AK1096"/>
    <mergeCell ref="AL1095:AL1096"/>
    <mergeCell ref="B1097:B1098"/>
    <mergeCell ref="C1097:C1098"/>
    <mergeCell ref="AJ1097:AJ1098"/>
    <mergeCell ref="AK1097:AK1098"/>
    <mergeCell ref="AL1097:AL1098"/>
    <mergeCell ref="B1099:B1100"/>
    <mergeCell ref="C1099:C1100"/>
    <mergeCell ref="AJ1099:AJ1100"/>
    <mergeCell ref="AK1099:AK1100"/>
    <mergeCell ref="AL1099:AL1100"/>
    <mergeCell ref="B1101:B1102"/>
    <mergeCell ref="C1101:C1102"/>
    <mergeCell ref="AJ1101:AJ1102"/>
    <mergeCell ref="AK1101:AK1102"/>
    <mergeCell ref="AL1101:AL1102"/>
    <mergeCell ref="B1103:B1104"/>
    <mergeCell ref="C1103:C1104"/>
    <mergeCell ref="AJ1103:AJ1104"/>
    <mergeCell ref="AK1103:AK1104"/>
    <mergeCell ref="AL1103:AL1104"/>
    <mergeCell ref="B1105:B1106"/>
    <mergeCell ref="C1105:C1106"/>
    <mergeCell ref="AJ1105:AJ1106"/>
    <mergeCell ref="AK1105:AK1106"/>
    <mergeCell ref="AL1105:AL1106"/>
    <mergeCell ref="B1107:B1108"/>
    <mergeCell ref="C1107:C1108"/>
    <mergeCell ref="AJ1107:AJ1108"/>
    <mergeCell ref="AK1107:AK1108"/>
    <mergeCell ref="AL1107:AL1108"/>
    <mergeCell ref="B1109:B1110"/>
    <mergeCell ref="C1109:C1110"/>
    <mergeCell ref="AJ1109:AJ1110"/>
    <mergeCell ref="AK1109:AK1110"/>
    <mergeCell ref="AL1109:AL1110"/>
    <mergeCell ref="B1111:B1112"/>
    <mergeCell ref="C1111:C1112"/>
    <mergeCell ref="AJ1111:AJ1112"/>
    <mergeCell ref="AK1111:AK1112"/>
    <mergeCell ref="AL1111:AL1112"/>
    <mergeCell ref="B1113:B1114"/>
    <mergeCell ref="C1113:C1114"/>
    <mergeCell ref="AJ1113:AJ1114"/>
    <mergeCell ref="AK1113:AK1114"/>
    <mergeCell ref="AL1113:AL1114"/>
    <mergeCell ref="B1115:B1116"/>
    <mergeCell ref="C1115:C1116"/>
    <mergeCell ref="AJ1115:AJ1116"/>
    <mergeCell ref="AK1115:AK1116"/>
    <mergeCell ref="AL1115:AL1116"/>
    <mergeCell ref="B1117:B1118"/>
    <mergeCell ref="C1117:C1118"/>
    <mergeCell ref="AJ1117:AJ1118"/>
    <mergeCell ref="AK1117:AK1118"/>
    <mergeCell ref="AL1117:AL1118"/>
    <mergeCell ref="B1119:B1120"/>
    <mergeCell ref="C1119:C1120"/>
    <mergeCell ref="AJ1119:AJ1120"/>
    <mergeCell ref="AK1119:AK1120"/>
    <mergeCell ref="AL1119:AL1120"/>
    <mergeCell ref="B1121:B1122"/>
    <mergeCell ref="C1121:C1122"/>
    <mergeCell ref="AJ1121:AJ1122"/>
    <mergeCell ref="AK1121:AK1122"/>
    <mergeCell ref="AL1121:AL1122"/>
    <mergeCell ref="B1123:B1124"/>
    <mergeCell ref="C1123:C1124"/>
    <mergeCell ref="AJ1123:AJ1124"/>
    <mergeCell ref="AK1123:AK1124"/>
    <mergeCell ref="AL1123:AL1124"/>
    <mergeCell ref="B1125:B1126"/>
    <mergeCell ref="C1125:C1126"/>
    <mergeCell ref="AJ1125:AJ1126"/>
    <mergeCell ref="AK1125:AK1126"/>
    <mergeCell ref="AL1125:AL1126"/>
    <mergeCell ref="B1127:B1128"/>
    <mergeCell ref="C1127:C1128"/>
    <mergeCell ref="AJ1127:AJ1128"/>
    <mergeCell ref="AK1127:AK1128"/>
    <mergeCell ref="AL1127:AL1128"/>
    <mergeCell ref="B1129:B1130"/>
    <mergeCell ref="C1129:C1130"/>
    <mergeCell ref="AJ1129:AJ1130"/>
    <mergeCell ref="AK1129:AK1130"/>
    <mergeCell ref="AL1129:AL1130"/>
    <mergeCell ref="B1131:B1132"/>
    <mergeCell ref="C1131:C1132"/>
    <mergeCell ref="AJ1131:AJ1132"/>
    <mergeCell ref="AK1131:AK1132"/>
    <mergeCell ref="AL1131:AL1132"/>
    <mergeCell ref="B1133:B1134"/>
    <mergeCell ref="C1133:C1134"/>
    <mergeCell ref="AJ1133:AJ1134"/>
    <mergeCell ref="AK1133:AK1134"/>
    <mergeCell ref="AL1133:AL1134"/>
    <mergeCell ref="B1135:B1136"/>
    <mergeCell ref="C1135:C1136"/>
    <mergeCell ref="AJ1135:AJ1136"/>
    <mergeCell ref="AK1135:AK1136"/>
    <mergeCell ref="AL1135:AL1136"/>
    <mergeCell ref="B1137:B1138"/>
    <mergeCell ref="C1137:C1138"/>
    <mergeCell ref="AJ1137:AJ1138"/>
    <mergeCell ref="AK1137:AK1138"/>
    <mergeCell ref="AL1137:AL1138"/>
    <mergeCell ref="B1139:B1140"/>
    <mergeCell ref="C1139:C1140"/>
    <mergeCell ref="AJ1139:AJ1140"/>
    <mergeCell ref="AK1139:AK1140"/>
    <mergeCell ref="AL1139:AL1140"/>
    <mergeCell ref="B1141:B1142"/>
    <mergeCell ref="C1141:C1142"/>
    <mergeCell ref="AJ1141:AJ1142"/>
    <mergeCell ref="AK1141:AK1142"/>
    <mergeCell ref="AL1141:AL1142"/>
    <mergeCell ref="B1143:B1144"/>
    <mergeCell ref="C1143:C1144"/>
    <mergeCell ref="AJ1143:AJ1144"/>
    <mergeCell ref="AK1143:AK1144"/>
    <mergeCell ref="AL1143:AL1144"/>
    <mergeCell ref="B1145:B1146"/>
    <mergeCell ref="C1145:C1146"/>
    <mergeCell ref="AJ1145:AJ1146"/>
    <mergeCell ref="AK1145:AK1146"/>
    <mergeCell ref="AL1145:AL1146"/>
    <mergeCell ref="B1147:B1148"/>
    <mergeCell ref="C1147:C1148"/>
    <mergeCell ref="AJ1147:AJ1148"/>
    <mergeCell ref="AK1147:AK1148"/>
    <mergeCell ref="AL1147:AL1148"/>
    <mergeCell ref="B1149:B1150"/>
    <mergeCell ref="C1149:C1150"/>
    <mergeCell ref="AJ1149:AJ1150"/>
    <mergeCell ref="AK1149:AK1150"/>
    <mergeCell ref="AL1149:AL1150"/>
    <mergeCell ref="B1151:B1152"/>
    <mergeCell ref="C1151:C1152"/>
    <mergeCell ref="AJ1151:AJ1152"/>
    <mergeCell ref="AK1151:AK1152"/>
    <mergeCell ref="AL1151:AL1152"/>
    <mergeCell ref="B1153:B1154"/>
    <mergeCell ref="C1153:C1154"/>
    <mergeCell ref="AJ1153:AJ1154"/>
    <mergeCell ref="AK1153:AK1154"/>
    <mergeCell ref="AL1153:AL1154"/>
    <mergeCell ref="B1155:B1156"/>
    <mergeCell ref="C1155:C1156"/>
    <mergeCell ref="AJ1155:AJ1156"/>
    <mergeCell ref="AK1155:AK1156"/>
    <mergeCell ref="AL1155:AL1156"/>
    <mergeCell ref="B1157:B1158"/>
    <mergeCell ref="C1157:C1158"/>
    <mergeCell ref="AJ1157:AJ1158"/>
    <mergeCell ref="AK1157:AK1158"/>
    <mergeCell ref="AL1157:AL1158"/>
    <mergeCell ref="B1159:B1160"/>
    <mergeCell ref="C1159:C1160"/>
    <mergeCell ref="AJ1159:AJ1160"/>
    <mergeCell ref="AK1159:AK1160"/>
    <mergeCell ref="AL1159:AL1160"/>
    <mergeCell ref="B1161:B1162"/>
    <mergeCell ref="C1161:C1162"/>
    <mergeCell ref="AJ1161:AJ1162"/>
    <mergeCell ref="AK1161:AK1162"/>
    <mergeCell ref="AL1161:AL1162"/>
    <mergeCell ref="B1163:B1164"/>
    <mergeCell ref="C1163:C1164"/>
    <mergeCell ref="AJ1163:AJ1164"/>
    <mergeCell ref="AK1163:AK1164"/>
    <mergeCell ref="AL1163:AL1164"/>
    <mergeCell ref="B1165:B1166"/>
    <mergeCell ref="C1165:C1166"/>
    <mergeCell ref="AJ1165:AJ1166"/>
    <mergeCell ref="AK1165:AK1166"/>
    <mergeCell ref="AL1165:AL1166"/>
    <mergeCell ref="B1167:B1168"/>
    <mergeCell ref="C1167:C1168"/>
    <mergeCell ref="AJ1167:AJ1168"/>
    <mergeCell ref="AK1167:AK1168"/>
    <mergeCell ref="AL1167:AL1168"/>
    <mergeCell ref="B1169:B1170"/>
    <mergeCell ref="C1169:C1170"/>
    <mergeCell ref="AJ1169:AJ1170"/>
    <mergeCell ref="AK1169:AK1170"/>
    <mergeCell ref="AL1169:AL1170"/>
    <mergeCell ref="B1171:B1172"/>
    <mergeCell ref="C1171:C1172"/>
    <mergeCell ref="AJ1171:AJ1172"/>
    <mergeCell ref="AK1171:AK1172"/>
    <mergeCell ref="AL1171:AL1172"/>
    <mergeCell ref="B1173:B1174"/>
    <mergeCell ref="C1173:C1174"/>
    <mergeCell ref="AJ1173:AJ1174"/>
    <mergeCell ref="AK1173:AK1174"/>
    <mergeCell ref="AL1173:AL1174"/>
    <mergeCell ref="B1175:B1176"/>
    <mergeCell ref="C1175:C1176"/>
    <mergeCell ref="AJ1175:AJ1176"/>
    <mergeCell ref="AK1175:AK1176"/>
    <mergeCell ref="AL1175:AL1176"/>
    <mergeCell ref="A1177:A1274"/>
    <mergeCell ref="B1177:B1178"/>
    <mergeCell ref="C1177:C1178"/>
    <mergeCell ref="AJ1177:AJ1178"/>
    <mergeCell ref="AK1177:AK1178"/>
    <mergeCell ref="AL1177:AL1178"/>
    <mergeCell ref="B1179:B1180"/>
    <mergeCell ref="C1179:C1180"/>
    <mergeCell ref="AJ1179:AJ1180"/>
    <mergeCell ref="AK1179:AK1180"/>
    <mergeCell ref="AL1179:AL1180"/>
    <mergeCell ref="B1181:B1182"/>
    <mergeCell ref="C1181:C1182"/>
    <mergeCell ref="AJ1181:AJ1182"/>
    <mergeCell ref="AK1181:AK1182"/>
    <mergeCell ref="AL1181:AL1182"/>
    <mergeCell ref="B1183:B1184"/>
    <mergeCell ref="C1183:C1184"/>
    <mergeCell ref="AJ1183:AJ1184"/>
    <mergeCell ref="AK1183:AK1184"/>
    <mergeCell ref="AL1183:AL1184"/>
    <mergeCell ref="B1185:B1186"/>
    <mergeCell ref="C1185:C1186"/>
    <mergeCell ref="AJ1185:AJ1186"/>
    <mergeCell ref="AK1185:AK1186"/>
    <mergeCell ref="AL1185:AL1186"/>
    <mergeCell ref="B1187:B1188"/>
    <mergeCell ref="C1187:C1188"/>
    <mergeCell ref="AJ1187:AJ1188"/>
    <mergeCell ref="AK1187:AK1188"/>
    <mergeCell ref="AL1187:AL1188"/>
    <mergeCell ref="B1189:B1190"/>
    <mergeCell ref="C1189:C1190"/>
    <mergeCell ref="AJ1189:AJ1190"/>
    <mergeCell ref="AK1189:AK1190"/>
    <mergeCell ref="AL1189:AL1190"/>
    <mergeCell ref="B1191:B1192"/>
    <mergeCell ref="C1191:C1192"/>
    <mergeCell ref="AJ1191:AJ1192"/>
    <mergeCell ref="AK1191:AK1192"/>
    <mergeCell ref="AL1191:AL1192"/>
    <mergeCell ref="B1193:B1194"/>
    <mergeCell ref="C1193:C1194"/>
    <mergeCell ref="AJ1193:AJ1194"/>
    <mergeCell ref="AK1193:AK1194"/>
    <mergeCell ref="AL1193:AL1194"/>
    <mergeCell ref="B1195:B1196"/>
    <mergeCell ref="C1195:C1196"/>
    <mergeCell ref="AJ1195:AJ1196"/>
    <mergeCell ref="AK1195:AK1196"/>
    <mergeCell ref="AL1195:AL1196"/>
    <mergeCell ref="B1197:B1198"/>
    <mergeCell ref="C1197:C1198"/>
    <mergeCell ref="AJ1197:AJ1198"/>
    <mergeCell ref="AK1197:AK1198"/>
    <mergeCell ref="AL1197:AL1198"/>
    <mergeCell ref="B1199:B1200"/>
    <mergeCell ref="C1199:C1200"/>
    <mergeCell ref="AJ1199:AJ1200"/>
    <mergeCell ref="AK1199:AK1200"/>
    <mergeCell ref="AL1199:AL1200"/>
    <mergeCell ref="B1201:B1202"/>
    <mergeCell ref="C1201:C1202"/>
    <mergeCell ref="AJ1201:AJ1202"/>
    <mergeCell ref="AK1201:AK1202"/>
    <mergeCell ref="AL1201:AL1202"/>
    <mergeCell ref="B1203:B1204"/>
    <mergeCell ref="C1203:C1204"/>
    <mergeCell ref="AJ1203:AJ1204"/>
    <mergeCell ref="AK1203:AK1204"/>
    <mergeCell ref="AL1203:AL1204"/>
    <mergeCell ref="B1205:B1206"/>
    <mergeCell ref="C1205:C1206"/>
    <mergeCell ref="AJ1205:AJ1206"/>
    <mergeCell ref="AK1205:AK1206"/>
    <mergeCell ref="AL1205:AL1206"/>
    <mergeCell ref="B1207:B1208"/>
    <mergeCell ref="C1207:C1208"/>
    <mergeCell ref="AJ1207:AJ1208"/>
    <mergeCell ref="AK1207:AK1208"/>
    <mergeCell ref="AL1207:AL1208"/>
    <mergeCell ref="B1209:B1210"/>
    <mergeCell ref="C1209:C1210"/>
    <mergeCell ref="AJ1209:AJ1210"/>
    <mergeCell ref="AK1209:AK1210"/>
    <mergeCell ref="AL1209:AL1210"/>
    <mergeCell ref="B1211:B1212"/>
    <mergeCell ref="C1211:C1212"/>
    <mergeCell ref="AJ1211:AJ1212"/>
    <mergeCell ref="AK1211:AK1212"/>
    <mergeCell ref="AL1211:AL1212"/>
    <mergeCell ref="B1213:B1214"/>
    <mergeCell ref="C1213:C1214"/>
    <mergeCell ref="AJ1213:AJ1214"/>
    <mergeCell ref="AK1213:AK1214"/>
    <mergeCell ref="AL1213:AL1214"/>
    <mergeCell ref="B1215:B1216"/>
    <mergeCell ref="C1215:C1216"/>
    <mergeCell ref="AJ1215:AJ1216"/>
    <mergeCell ref="AK1215:AK1216"/>
    <mergeCell ref="AL1215:AL1216"/>
    <mergeCell ref="B1217:B1218"/>
    <mergeCell ref="C1217:C1218"/>
    <mergeCell ref="AJ1217:AJ1218"/>
    <mergeCell ref="AK1217:AK1218"/>
    <mergeCell ref="AL1217:AL1218"/>
    <mergeCell ref="B1219:B1220"/>
    <mergeCell ref="C1219:C1220"/>
    <mergeCell ref="AJ1219:AJ1220"/>
    <mergeCell ref="AK1219:AK1220"/>
    <mergeCell ref="AL1219:AL1220"/>
    <mergeCell ref="B1221:B1222"/>
    <mergeCell ref="C1221:C1222"/>
    <mergeCell ref="AJ1221:AJ1222"/>
    <mergeCell ref="AK1221:AK1222"/>
    <mergeCell ref="AL1221:AL1222"/>
    <mergeCell ref="B1223:B1224"/>
    <mergeCell ref="C1223:C1224"/>
    <mergeCell ref="AJ1223:AJ1224"/>
    <mergeCell ref="AK1223:AK1224"/>
    <mergeCell ref="AL1223:AL1224"/>
    <mergeCell ref="B1225:B1226"/>
    <mergeCell ref="C1225:C1226"/>
    <mergeCell ref="AJ1225:AJ1226"/>
    <mergeCell ref="AK1225:AK1226"/>
    <mergeCell ref="AL1225:AL1226"/>
    <mergeCell ref="B1227:B1228"/>
    <mergeCell ref="C1227:C1228"/>
    <mergeCell ref="AJ1227:AJ1228"/>
    <mergeCell ref="AK1227:AK1228"/>
    <mergeCell ref="AL1227:AL1228"/>
    <mergeCell ref="B1229:B1230"/>
    <mergeCell ref="C1229:C1230"/>
    <mergeCell ref="AJ1229:AJ1230"/>
    <mergeCell ref="AK1229:AK1230"/>
    <mergeCell ref="AL1229:AL1230"/>
    <mergeCell ref="B1231:B1232"/>
    <mergeCell ref="C1231:C1232"/>
    <mergeCell ref="AJ1231:AJ1232"/>
    <mergeCell ref="AK1231:AK1232"/>
    <mergeCell ref="AL1231:AL1232"/>
    <mergeCell ref="B1233:B1234"/>
    <mergeCell ref="C1233:C1234"/>
    <mergeCell ref="AJ1233:AJ1234"/>
    <mergeCell ref="AK1233:AK1234"/>
    <mergeCell ref="AL1233:AL1234"/>
    <mergeCell ref="B1235:B1236"/>
    <mergeCell ref="C1235:C1236"/>
    <mergeCell ref="AJ1235:AJ1236"/>
    <mergeCell ref="AK1235:AK1236"/>
    <mergeCell ref="AL1235:AL1236"/>
    <mergeCell ref="B1237:B1238"/>
    <mergeCell ref="C1237:C1238"/>
    <mergeCell ref="AJ1237:AJ1238"/>
    <mergeCell ref="AK1237:AK1238"/>
    <mergeCell ref="AL1237:AL1238"/>
    <mergeCell ref="B1239:B1240"/>
    <mergeCell ref="C1239:C1240"/>
    <mergeCell ref="AJ1239:AJ1240"/>
    <mergeCell ref="AK1239:AK1240"/>
    <mergeCell ref="AL1239:AL1240"/>
    <mergeCell ref="B1241:B1242"/>
    <mergeCell ref="C1241:C1242"/>
    <mergeCell ref="AJ1241:AJ1242"/>
    <mergeCell ref="AK1241:AK1242"/>
    <mergeCell ref="AL1241:AL1242"/>
    <mergeCell ref="B1243:B1244"/>
    <mergeCell ref="C1243:C1244"/>
    <mergeCell ref="AJ1243:AJ1244"/>
    <mergeCell ref="AK1243:AK1244"/>
    <mergeCell ref="AL1243:AL1244"/>
    <mergeCell ref="B1245:B1246"/>
    <mergeCell ref="C1245:C1246"/>
    <mergeCell ref="AJ1245:AJ1246"/>
    <mergeCell ref="AK1245:AK1246"/>
    <mergeCell ref="AL1245:AL1246"/>
    <mergeCell ref="B1247:B1248"/>
    <mergeCell ref="C1247:C1248"/>
    <mergeCell ref="AJ1247:AJ1248"/>
    <mergeCell ref="AK1247:AK1248"/>
    <mergeCell ref="AL1247:AL1248"/>
    <mergeCell ref="B1249:B1250"/>
    <mergeCell ref="C1249:C1250"/>
    <mergeCell ref="AJ1249:AJ1250"/>
    <mergeCell ref="AK1249:AK1250"/>
    <mergeCell ref="AL1249:AL1250"/>
    <mergeCell ref="B1251:B1252"/>
    <mergeCell ref="C1251:C1252"/>
    <mergeCell ref="AJ1251:AJ1252"/>
    <mergeCell ref="AK1251:AK1252"/>
    <mergeCell ref="AL1251:AL1252"/>
    <mergeCell ref="B1253:B1254"/>
    <mergeCell ref="C1253:C1254"/>
    <mergeCell ref="AJ1253:AJ1254"/>
    <mergeCell ref="AK1253:AK1254"/>
    <mergeCell ref="AL1253:AL1254"/>
    <mergeCell ref="B1255:B1256"/>
    <mergeCell ref="C1255:C1256"/>
    <mergeCell ref="AJ1255:AJ1256"/>
    <mergeCell ref="AK1255:AK1256"/>
    <mergeCell ref="AL1255:AL1256"/>
    <mergeCell ref="B1257:B1258"/>
    <mergeCell ref="C1257:C1258"/>
    <mergeCell ref="AJ1257:AJ1258"/>
    <mergeCell ref="AK1257:AK1258"/>
    <mergeCell ref="AL1257:AL1258"/>
    <mergeCell ref="B1259:B1260"/>
    <mergeCell ref="C1259:C1260"/>
    <mergeCell ref="AJ1259:AJ1260"/>
    <mergeCell ref="AK1259:AK1260"/>
    <mergeCell ref="AL1259:AL1260"/>
    <mergeCell ref="B1261:B1262"/>
    <mergeCell ref="C1261:C1262"/>
    <mergeCell ref="AJ1261:AJ1262"/>
    <mergeCell ref="AK1261:AK1262"/>
    <mergeCell ref="AL1261:AL1262"/>
    <mergeCell ref="B1263:B1264"/>
    <mergeCell ref="C1263:C1264"/>
    <mergeCell ref="AJ1263:AJ1264"/>
    <mergeCell ref="AK1263:AK1264"/>
    <mergeCell ref="AL1263:AL1264"/>
    <mergeCell ref="B1265:B1266"/>
    <mergeCell ref="C1265:C1266"/>
    <mergeCell ref="AJ1265:AJ1266"/>
    <mergeCell ref="AK1265:AK1266"/>
    <mergeCell ref="AL1265:AL1266"/>
    <mergeCell ref="B1267:B1268"/>
    <mergeCell ref="C1267:C1268"/>
    <mergeCell ref="AJ1267:AJ1268"/>
    <mergeCell ref="AK1267:AK1268"/>
    <mergeCell ref="AL1267:AL1268"/>
    <mergeCell ref="B1269:B1270"/>
    <mergeCell ref="C1269:C1270"/>
    <mergeCell ref="AJ1269:AJ1270"/>
    <mergeCell ref="AK1269:AK1270"/>
    <mergeCell ref="AL1269:AL1270"/>
    <mergeCell ref="B1271:B1272"/>
    <mergeCell ref="C1271:C1272"/>
    <mergeCell ref="AJ1271:AJ1272"/>
    <mergeCell ref="AK1271:AK1272"/>
    <mergeCell ref="AL1271:AL1272"/>
    <mergeCell ref="B1273:B1274"/>
    <mergeCell ref="C1273:C1274"/>
    <mergeCell ref="AJ1273:AJ1274"/>
    <mergeCell ref="AK1273:AK1274"/>
    <mergeCell ref="AL1273:AL1274"/>
    <mergeCell ref="A1275:A1574"/>
    <mergeCell ref="B1275:B1276"/>
    <mergeCell ref="C1275:C1276"/>
    <mergeCell ref="AJ1275:AJ1276"/>
    <mergeCell ref="AK1275:AK1276"/>
    <mergeCell ref="AL1275:AL1276"/>
    <mergeCell ref="B1277:B1278"/>
    <mergeCell ref="C1277:C1278"/>
    <mergeCell ref="AJ1277:AJ1278"/>
    <mergeCell ref="AK1277:AK1278"/>
    <mergeCell ref="AL1277:AL1278"/>
    <mergeCell ref="B1279:B1280"/>
    <mergeCell ref="C1279:C1280"/>
    <mergeCell ref="AJ1279:AJ1280"/>
    <mergeCell ref="AK1279:AK1280"/>
    <mergeCell ref="AL1279:AL1280"/>
    <mergeCell ref="B1281:B1282"/>
    <mergeCell ref="C1281:C1282"/>
    <mergeCell ref="AJ1281:AJ1282"/>
    <mergeCell ref="AK1281:AK1282"/>
    <mergeCell ref="AL1281:AL1282"/>
    <mergeCell ref="B1283:B1284"/>
    <mergeCell ref="C1283:C1284"/>
    <mergeCell ref="AJ1283:AJ1284"/>
    <mergeCell ref="AK1283:AK1284"/>
    <mergeCell ref="AL1283:AL1284"/>
    <mergeCell ref="B1285:B1286"/>
    <mergeCell ref="C1285:C1286"/>
    <mergeCell ref="AJ1285:AJ1286"/>
    <mergeCell ref="AK1285:AK1286"/>
    <mergeCell ref="AL1285:AL1286"/>
    <mergeCell ref="B1287:B1288"/>
    <mergeCell ref="C1287:C1288"/>
    <mergeCell ref="AJ1287:AJ1288"/>
    <mergeCell ref="AK1287:AK1288"/>
    <mergeCell ref="AL1287:AL1288"/>
    <mergeCell ref="B1289:B1290"/>
    <mergeCell ref="C1289:C1290"/>
    <mergeCell ref="AJ1289:AJ1290"/>
    <mergeCell ref="AK1289:AK1290"/>
    <mergeCell ref="AL1289:AL1290"/>
    <mergeCell ref="B1291:B1292"/>
    <mergeCell ref="C1291:C1292"/>
    <mergeCell ref="AJ1291:AJ1292"/>
    <mergeCell ref="AK1291:AK1292"/>
    <mergeCell ref="AL1291:AL1292"/>
    <mergeCell ref="B1293:B1294"/>
    <mergeCell ref="C1293:C1294"/>
    <mergeCell ref="AJ1293:AJ1294"/>
    <mergeCell ref="AK1293:AK1294"/>
    <mergeCell ref="AL1293:AL1294"/>
    <mergeCell ref="B1295:B1296"/>
    <mergeCell ref="C1295:C1296"/>
    <mergeCell ref="AJ1295:AJ1296"/>
    <mergeCell ref="AK1295:AK1296"/>
    <mergeCell ref="AL1295:AL1296"/>
    <mergeCell ref="B1297:B1298"/>
    <mergeCell ref="C1297:C1298"/>
    <mergeCell ref="AJ1297:AJ1298"/>
    <mergeCell ref="AK1297:AK1298"/>
    <mergeCell ref="AL1297:AL1298"/>
    <mergeCell ref="B1299:B1300"/>
    <mergeCell ref="C1299:C1300"/>
    <mergeCell ref="AJ1299:AJ1300"/>
    <mergeCell ref="AK1299:AK1300"/>
    <mergeCell ref="AL1299:AL1300"/>
    <mergeCell ref="B1301:B1302"/>
    <mergeCell ref="C1301:C1302"/>
    <mergeCell ref="AJ1301:AJ1302"/>
    <mergeCell ref="AK1301:AK1302"/>
    <mergeCell ref="AL1301:AL1302"/>
    <mergeCell ref="B1303:B1304"/>
    <mergeCell ref="C1303:C1304"/>
    <mergeCell ref="AJ1303:AJ1304"/>
    <mergeCell ref="AK1303:AK1304"/>
    <mergeCell ref="AL1303:AL1304"/>
    <mergeCell ref="B1305:B1306"/>
    <mergeCell ref="C1305:C1306"/>
    <mergeCell ref="AJ1305:AJ1306"/>
    <mergeCell ref="AK1305:AK1306"/>
    <mergeCell ref="AL1305:AL1306"/>
    <mergeCell ref="B1307:B1308"/>
    <mergeCell ref="C1307:C1308"/>
    <mergeCell ref="AJ1307:AJ1308"/>
    <mergeCell ref="AK1307:AK1308"/>
    <mergeCell ref="AL1307:AL1308"/>
    <mergeCell ref="B1309:B1310"/>
    <mergeCell ref="C1309:C1310"/>
    <mergeCell ref="AJ1309:AJ1310"/>
    <mergeCell ref="AK1309:AK1310"/>
    <mergeCell ref="AL1309:AL1310"/>
    <mergeCell ref="B1311:B1312"/>
    <mergeCell ref="C1311:C1312"/>
    <mergeCell ref="AJ1311:AJ1312"/>
    <mergeCell ref="AK1311:AK1312"/>
    <mergeCell ref="AL1311:AL1312"/>
    <mergeCell ref="B1313:B1314"/>
    <mergeCell ref="C1313:C1314"/>
    <mergeCell ref="AJ1313:AJ1314"/>
    <mergeCell ref="AK1313:AK1314"/>
    <mergeCell ref="AL1313:AL1314"/>
    <mergeCell ref="B1315:B1316"/>
    <mergeCell ref="C1315:C1316"/>
    <mergeCell ref="AJ1315:AJ1316"/>
    <mergeCell ref="AK1315:AK1316"/>
    <mergeCell ref="AL1315:AL1316"/>
    <mergeCell ref="B1317:B1318"/>
    <mergeCell ref="C1317:C1318"/>
    <mergeCell ref="AJ1317:AJ1318"/>
    <mergeCell ref="AK1317:AK1318"/>
    <mergeCell ref="AL1317:AL1318"/>
    <mergeCell ref="B1319:B1320"/>
    <mergeCell ref="C1319:C1320"/>
    <mergeCell ref="AJ1319:AJ1320"/>
    <mergeCell ref="AK1319:AK1320"/>
    <mergeCell ref="AL1319:AL1320"/>
    <mergeCell ref="B1321:B1322"/>
    <mergeCell ref="C1321:C1322"/>
    <mergeCell ref="AJ1321:AJ1322"/>
    <mergeCell ref="AK1321:AK1322"/>
    <mergeCell ref="AL1321:AL1322"/>
    <mergeCell ref="B1323:B1324"/>
    <mergeCell ref="C1323:C1324"/>
    <mergeCell ref="AJ1323:AJ1324"/>
    <mergeCell ref="AK1323:AK1324"/>
    <mergeCell ref="AL1323:AL1324"/>
    <mergeCell ref="B1325:B1326"/>
    <mergeCell ref="C1325:C1326"/>
    <mergeCell ref="AJ1325:AJ1326"/>
    <mergeCell ref="AK1325:AK1326"/>
    <mergeCell ref="AL1325:AL1326"/>
    <mergeCell ref="B1327:B1328"/>
    <mergeCell ref="C1327:C1328"/>
    <mergeCell ref="AJ1327:AJ1328"/>
    <mergeCell ref="AK1327:AK1328"/>
    <mergeCell ref="AL1327:AL1328"/>
    <mergeCell ref="B1329:B1330"/>
    <mergeCell ref="C1329:C1330"/>
    <mergeCell ref="AJ1329:AJ1330"/>
    <mergeCell ref="AK1329:AK1330"/>
    <mergeCell ref="AL1329:AL1330"/>
    <mergeCell ref="B1331:B1332"/>
    <mergeCell ref="C1331:C1332"/>
    <mergeCell ref="AJ1331:AJ1332"/>
    <mergeCell ref="AK1331:AK1332"/>
    <mergeCell ref="AL1331:AL1332"/>
    <mergeCell ref="B1333:B1334"/>
    <mergeCell ref="C1333:C1334"/>
    <mergeCell ref="AJ1333:AJ1334"/>
    <mergeCell ref="AK1333:AK1334"/>
    <mergeCell ref="AL1333:AL1334"/>
    <mergeCell ref="B1335:B1336"/>
    <mergeCell ref="C1335:C1336"/>
    <mergeCell ref="AJ1335:AJ1336"/>
    <mergeCell ref="AK1335:AK1336"/>
    <mergeCell ref="AL1335:AL1336"/>
    <mergeCell ref="B1337:B1338"/>
    <mergeCell ref="C1337:C1338"/>
    <mergeCell ref="AJ1337:AJ1338"/>
    <mergeCell ref="AK1337:AK1338"/>
    <mergeCell ref="AL1337:AL1338"/>
    <mergeCell ref="B1339:B1340"/>
    <mergeCell ref="C1339:C1340"/>
    <mergeCell ref="AJ1339:AJ1340"/>
    <mergeCell ref="AK1339:AK1340"/>
    <mergeCell ref="AL1339:AL1340"/>
    <mergeCell ref="B1341:B1342"/>
    <mergeCell ref="C1341:C1342"/>
    <mergeCell ref="AJ1341:AJ1342"/>
    <mergeCell ref="AK1341:AK1342"/>
    <mergeCell ref="AL1341:AL1342"/>
    <mergeCell ref="B1343:B1344"/>
    <mergeCell ref="C1343:C1344"/>
    <mergeCell ref="AJ1343:AJ1344"/>
    <mergeCell ref="AK1343:AK1344"/>
    <mergeCell ref="AL1343:AL1344"/>
    <mergeCell ref="B1345:B1346"/>
    <mergeCell ref="C1345:C1346"/>
    <mergeCell ref="AJ1345:AJ1346"/>
    <mergeCell ref="AK1345:AK1346"/>
    <mergeCell ref="AL1345:AL1346"/>
    <mergeCell ref="B1347:B1348"/>
    <mergeCell ref="C1347:C1348"/>
    <mergeCell ref="AJ1347:AJ1348"/>
    <mergeCell ref="AK1347:AK1348"/>
    <mergeCell ref="AL1347:AL1348"/>
    <mergeCell ref="B1349:B1350"/>
    <mergeCell ref="C1349:C1350"/>
    <mergeCell ref="AJ1349:AJ1350"/>
    <mergeCell ref="AK1349:AK1350"/>
    <mergeCell ref="AL1349:AL1350"/>
    <mergeCell ref="B1351:B1352"/>
    <mergeCell ref="C1351:C1352"/>
    <mergeCell ref="AJ1351:AJ1352"/>
    <mergeCell ref="AK1351:AK1352"/>
    <mergeCell ref="AL1351:AL1352"/>
    <mergeCell ref="B1353:B1354"/>
    <mergeCell ref="C1353:C1354"/>
    <mergeCell ref="AJ1353:AJ1354"/>
    <mergeCell ref="AK1353:AK1354"/>
    <mergeCell ref="AL1353:AL1354"/>
    <mergeCell ref="B1355:B1356"/>
    <mergeCell ref="C1355:C1356"/>
    <mergeCell ref="AJ1355:AJ1356"/>
    <mergeCell ref="AK1355:AK1356"/>
    <mergeCell ref="AL1355:AL1356"/>
    <mergeCell ref="B1357:B1358"/>
    <mergeCell ref="C1357:C1358"/>
    <mergeCell ref="AJ1357:AJ1358"/>
    <mergeCell ref="AK1357:AK1358"/>
    <mergeCell ref="AL1357:AL1358"/>
    <mergeCell ref="B1359:B1360"/>
    <mergeCell ref="C1359:C1360"/>
    <mergeCell ref="AJ1359:AJ1360"/>
    <mergeCell ref="AK1359:AK1360"/>
    <mergeCell ref="AL1359:AL1360"/>
    <mergeCell ref="B1361:B1362"/>
    <mergeCell ref="C1361:C1362"/>
    <mergeCell ref="AJ1361:AJ1362"/>
    <mergeCell ref="AK1361:AK1362"/>
    <mergeCell ref="AL1361:AL1362"/>
    <mergeCell ref="B1363:B1364"/>
    <mergeCell ref="C1363:C1364"/>
    <mergeCell ref="AJ1363:AJ1364"/>
    <mergeCell ref="AK1363:AK1364"/>
    <mergeCell ref="AL1363:AL1364"/>
    <mergeCell ref="B1365:B1366"/>
    <mergeCell ref="C1365:C1366"/>
    <mergeCell ref="AJ1365:AJ1366"/>
    <mergeCell ref="AK1365:AK1366"/>
    <mergeCell ref="AL1365:AL1366"/>
    <mergeCell ref="B1367:B1368"/>
    <mergeCell ref="C1367:C1368"/>
    <mergeCell ref="AJ1367:AJ1368"/>
    <mergeCell ref="AK1367:AK1368"/>
    <mergeCell ref="AL1367:AL1368"/>
    <mergeCell ref="B1369:B1370"/>
    <mergeCell ref="C1369:C1370"/>
    <mergeCell ref="AJ1369:AJ1370"/>
    <mergeCell ref="AK1369:AK1370"/>
    <mergeCell ref="AL1369:AL1370"/>
    <mergeCell ref="B1371:B1372"/>
    <mergeCell ref="C1371:C1372"/>
    <mergeCell ref="AJ1371:AJ1372"/>
    <mergeCell ref="AK1371:AK1372"/>
    <mergeCell ref="AL1371:AL1372"/>
    <mergeCell ref="B1373:B1374"/>
    <mergeCell ref="C1373:C1374"/>
    <mergeCell ref="AJ1373:AJ1374"/>
    <mergeCell ref="AK1373:AK1374"/>
    <mergeCell ref="AL1373:AL1374"/>
    <mergeCell ref="B1375:B1376"/>
    <mergeCell ref="C1375:C1376"/>
    <mergeCell ref="AJ1375:AJ1376"/>
    <mergeCell ref="AK1375:AK1376"/>
    <mergeCell ref="AL1375:AL1376"/>
    <mergeCell ref="B1377:B1378"/>
    <mergeCell ref="C1377:C1378"/>
    <mergeCell ref="AJ1377:AJ1378"/>
    <mergeCell ref="AK1377:AK1378"/>
    <mergeCell ref="AL1377:AL1378"/>
    <mergeCell ref="B1379:B1380"/>
    <mergeCell ref="C1379:C1380"/>
    <mergeCell ref="AJ1379:AJ1380"/>
    <mergeCell ref="AK1379:AK1380"/>
    <mergeCell ref="AL1379:AL1380"/>
    <mergeCell ref="B1381:B1382"/>
    <mergeCell ref="C1381:C1382"/>
    <mergeCell ref="AJ1381:AJ1382"/>
    <mergeCell ref="AK1381:AK1382"/>
    <mergeCell ref="AL1381:AL1382"/>
    <mergeCell ref="B1383:B1384"/>
    <mergeCell ref="C1383:C1384"/>
    <mergeCell ref="AJ1383:AJ1384"/>
    <mergeCell ref="AK1383:AK1384"/>
    <mergeCell ref="AL1383:AL1384"/>
    <mergeCell ref="B1385:B1386"/>
    <mergeCell ref="C1385:C1386"/>
    <mergeCell ref="AJ1385:AJ1386"/>
    <mergeCell ref="AK1385:AK1386"/>
    <mergeCell ref="AL1385:AL1386"/>
    <mergeCell ref="B1387:B1388"/>
    <mergeCell ref="C1387:C1388"/>
    <mergeCell ref="AJ1387:AJ1388"/>
    <mergeCell ref="AK1387:AK1388"/>
    <mergeCell ref="AL1387:AL1388"/>
    <mergeCell ref="B1389:B1390"/>
    <mergeCell ref="C1389:C1390"/>
    <mergeCell ref="AJ1389:AJ1390"/>
    <mergeCell ref="AK1389:AK1390"/>
    <mergeCell ref="AL1389:AL1390"/>
    <mergeCell ref="B1391:B1392"/>
    <mergeCell ref="C1391:C1392"/>
    <mergeCell ref="AJ1391:AJ1392"/>
    <mergeCell ref="AK1391:AK1392"/>
    <mergeCell ref="AL1391:AL1392"/>
    <mergeCell ref="B1393:B1394"/>
    <mergeCell ref="C1393:C1394"/>
    <mergeCell ref="AJ1393:AJ1394"/>
    <mergeCell ref="AK1393:AK1394"/>
    <mergeCell ref="AL1393:AL1394"/>
    <mergeCell ref="B1395:B1396"/>
    <mergeCell ref="C1395:C1396"/>
    <mergeCell ref="AJ1395:AJ1396"/>
    <mergeCell ref="AK1395:AK1396"/>
    <mergeCell ref="AL1395:AL1396"/>
    <mergeCell ref="B1397:B1398"/>
    <mergeCell ref="C1397:C1398"/>
    <mergeCell ref="AJ1397:AJ1398"/>
    <mergeCell ref="AK1397:AK1398"/>
    <mergeCell ref="AL1397:AL1398"/>
    <mergeCell ref="B1399:B1400"/>
    <mergeCell ref="C1399:C1400"/>
    <mergeCell ref="AJ1399:AJ1400"/>
    <mergeCell ref="AK1399:AK1400"/>
    <mergeCell ref="AL1399:AL1400"/>
    <mergeCell ref="B1401:B1402"/>
    <mergeCell ref="C1401:C1402"/>
    <mergeCell ref="AJ1401:AJ1402"/>
    <mergeCell ref="AK1401:AK1402"/>
    <mergeCell ref="AL1401:AL1402"/>
    <mergeCell ref="B1403:B1404"/>
    <mergeCell ref="C1403:C1404"/>
    <mergeCell ref="AJ1403:AJ1404"/>
    <mergeCell ref="AK1403:AK1404"/>
    <mergeCell ref="AL1403:AL1404"/>
    <mergeCell ref="B1405:B1406"/>
    <mergeCell ref="C1405:C1406"/>
    <mergeCell ref="AJ1405:AJ1406"/>
    <mergeCell ref="AK1405:AK1406"/>
    <mergeCell ref="AL1405:AL1406"/>
    <mergeCell ref="B1407:B1408"/>
    <mergeCell ref="C1407:C1408"/>
    <mergeCell ref="AJ1407:AJ1408"/>
    <mergeCell ref="AK1407:AK1408"/>
    <mergeCell ref="AL1407:AL1408"/>
    <mergeCell ref="B1409:B1410"/>
    <mergeCell ref="C1409:C1410"/>
    <mergeCell ref="AJ1409:AJ1410"/>
    <mergeCell ref="AK1409:AK1410"/>
    <mergeCell ref="AL1409:AL1410"/>
    <mergeCell ref="B1411:B1412"/>
    <mergeCell ref="C1411:C1412"/>
    <mergeCell ref="AJ1411:AJ1412"/>
    <mergeCell ref="AK1411:AK1412"/>
    <mergeCell ref="AL1411:AL1412"/>
    <mergeCell ref="B1413:B1414"/>
    <mergeCell ref="C1413:C1414"/>
    <mergeCell ref="AJ1413:AJ1414"/>
    <mergeCell ref="AK1413:AK1414"/>
    <mergeCell ref="AL1413:AL1414"/>
    <mergeCell ref="B1415:B1416"/>
    <mergeCell ref="C1415:C1416"/>
    <mergeCell ref="AJ1415:AJ1416"/>
    <mergeCell ref="AK1415:AK1416"/>
    <mergeCell ref="AL1415:AL1416"/>
    <mergeCell ref="B1417:B1418"/>
    <mergeCell ref="C1417:C1418"/>
    <mergeCell ref="AJ1417:AJ1418"/>
    <mergeCell ref="AK1417:AK1418"/>
    <mergeCell ref="AL1417:AL1418"/>
    <mergeCell ref="B1419:B1420"/>
    <mergeCell ref="C1419:C1420"/>
    <mergeCell ref="AJ1419:AJ1420"/>
    <mergeCell ref="AK1419:AK1420"/>
    <mergeCell ref="AL1419:AL1420"/>
    <mergeCell ref="B1421:B1422"/>
    <mergeCell ref="C1421:C1422"/>
    <mergeCell ref="AJ1421:AJ1422"/>
    <mergeCell ref="AK1421:AK1422"/>
    <mergeCell ref="AL1421:AL1422"/>
    <mergeCell ref="B1423:B1424"/>
    <mergeCell ref="C1423:C1424"/>
    <mergeCell ref="AJ1423:AJ1424"/>
    <mergeCell ref="AK1423:AK1424"/>
    <mergeCell ref="AL1423:AL1424"/>
    <mergeCell ref="B1425:B1426"/>
    <mergeCell ref="C1425:C1426"/>
    <mergeCell ref="AJ1425:AJ1426"/>
    <mergeCell ref="AK1425:AK1426"/>
    <mergeCell ref="AL1425:AL1426"/>
    <mergeCell ref="B1427:B1428"/>
    <mergeCell ref="C1427:C1428"/>
    <mergeCell ref="AJ1427:AJ1428"/>
    <mergeCell ref="AK1427:AK1428"/>
    <mergeCell ref="AL1427:AL1428"/>
    <mergeCell ref="B1429:B1430"/>
    <mergeCell ref="C1429:C1430"/>
    <mergeCell ref="AJ1429:AJ1430"/>
    <mergeCell ref="AK1429:AK1430"/>
    <mergeCell ref="AL1429:AL1430"/>
    <mergeCell ref="B1431:B1432"/>
    <mergeCell ref="C1431:C1432"/>
    <mergeCell ref="AJ1431:AJ1432"/>
    <mergeCell ref="AK1431:AK1432"/>
    <mergeCell ref="AL1431:AL1432"/>
    <mergeCell ref="B1433:B1434"/>
    <mergeCell ref="C1433:C1434"/>
    <mergeCell ref="AJ1433:AJ1434"/>
    <mergeCell ref="AK1433:AK1434"/>
    <mergeCell ref="AL1433:AL1434"/>
    <mergeCell ref="B1435:B1436"/>
    <mergeCell ref="C1435:C1436"/>
    <mergeCell ref="AJ1435:AJ1436"/>
    <mergeCell ref="AK1435:AK1436"/>
    <mergeCell ref="AL1435:AL1436"/>
    <mergeCell ref="B1437:B1438"/>
    <mergeCell ref="C1437:C1438"/>
    <mergeCell ref="AJ1437:AJ1438"/>
    <mergeCell ref="AK1437:AK1438"/>
    <mergeCell ref="AL1437:AL1438"/>
    <mergeCell ref="B1439:B1440"/>
    <mergeCell ref="C1439:C1440"/>
    <mergeCell ref="AJ1439:AJ1440"/>
    <mergeCell ref="AK1439:AK1440"/>
    <mergeCell ref="AL1439:AL1440"/>
    <mergeCell ref="B1441:B1442"/>
    <mergeCell ref="C1441:C1442"/>
    <mergeCell ref="AJ1441:AJ1442"/>
    <mergeCell ref="AK1441:AK1442"/>
    <mergeCell ref="AL1441:AL1442"/>
    <mergeCell ref="B1443:B1444"/>
    <mergeCell ref="C1443:C1444"/>
    <mergeCell ref="AJ1443:AJ1444"/>
    <mergeCell ref="AK1443:AK1444"/>
    <mergeCell ref="AL1443:AL1444"/>
    <mergeCell ref="B1445:B1446"/>
    <mergeCell ref="C1445:C1446"/>
    <mergeCell ref="AJ1445:AJ1446"/>
    <mergeCell ref="AK1445:AK1446"/>
    <mergeCell ref="AL1445:AL1446"/>
    <mergeCell ref="B1447:B1448"/>
    <mergeCell ref="C1447:C1448"/>
    <mergeCell ref="AJ1447:AJ1448"/>
    <mergeCell ref="AK1447:AK1448"/>
    <mergeCell ref="AL1447:AL1448"/>
    <mergeCell ref="B1449:B1450"/>
    <mergeCell ref="C1449:C1450"/>
    <mergeCell ref="AJ1449:AJ1450"/>
    <mergeCell ref="AK1449:AK1450"/>
    <mergeCell ref="AL1449:AL1450"/>
    <mergeCell ref="B1451:B1452"/>
    <mergeCell ref="C1451:C1452"/>
    <mergeCell ref="AJ1451:AJ1452"/>
    <mergeCell ref="AK1451:AK1452"/>
    <mergeCell ref="AL1451:AL1452"/>
    <mergeCell ref="B1453:B1454"/>
    <mergeCell ref="C1453:C1454"/>
    <mergeCell ref="AJ1453:AJ1454"/>
    <mergeCell ref="AK1453:AK1454"/>
    <mergeCell ref="AL1453:AL1454"/>
    <mergeCell ref="B1455:B1456"/>
    <mergeCell ref="C1455:C1456"/>
    <mergeCell ref="AJ1455:AJ1456"/>
    <mergeCell ref="AK1455:AK1456"/>
    <mergeCell ref="AL1455:AL1456"/>
    <mergeCell ref="B1457:B1458"/>
    <mergeCell ref="C1457:C1458"/>
    <mergeCell ref="AJ1457:AJ1458"/>
    <mergeCell ref="AK1457:AK1458"/>
    <mergeCell ref="AL1457:AL1458"/>
    <mergeCell ref="B1459:B1460"/>
    <mergeCell ref="C1459:C1460"/>
    <mergeCell ref="AJ1459:AJ1460"/>
    <mergeCell ref="AK1459:AK1460"/>
    <mergeCell ref="AL1459:AL1460"/>
    <mergeCell ref="B1461:B1462"/>
    <mergeCell ref="C1461:C1462"/>
    <mergeCell ref="AJ1461:AJ1462"/>
    <mergeCell ref="AK1461:AK1462"/>
    <mergeCell ref="AL1461:AL1462"/>
    <mergeCell ref="B1463:B1464"/>
    <mergeCell ref="C1463:C1464"/>
    <mergeCell ref="AJ1463:AJ1464"/>
    <mergeCell ref="AK1463:AK1464"/>
    <mergeCell ref="AL1463:AL1464"/>
    <mergeCell ref="B1465:B1466"/>
    <mergeCell ref="C1465:C1466"/>
    <mergeCell ref="AJ1465:AJ1466"/>
    <mergeCell ref="AK1465:AK1466"/>
    <mergeCell ref="AL1465:AL1466"/>
    <mergeCell ref="B1467:B1468"/>
    <mergeCell ref="C1467:C1468"/>
    <mergeCell ref="AJ1467:AJ1468"/>
    <mergeCell ref="AK1467:AK1468"/>
    <mergeCell ref="AL1467:AL1468"/>
    <mergeCell ref="B1469:B1470"/>
    <mergeCell ref="C1469:C1470"/>
    <mergeCell ref="AJ1469:AJ1470"/>
    <mergeCell ref="AK1469:AK1470"/>
    <mergeCell ref="AL1469:AL1470"/>
    <mergeCell ref="B1471:B1472"/>
    <mergeCell ref="C1471:C1472"/>
    <mergeCell ref="AJ1471:AJ1472"/>
    <mergeCell ref="AK1471:AK1472"/>
    <mergeCell ref="AL1471:AL1472"/>
    <mergeCell ref="B1473:B1474"/>
    <mergeCell ref="C1473:C1474"/>
    <mergeCell ref="AJ1473:AJ1474"/>
    <mergeCell ref="AK1473:AK1474"/>
    <mergeCell ref="AL1473:AL1474"/>
    <mergeCell ref="B1475:B1476"/>
    <mergeCell ref="C1475:C1476"/>
    <mergeCell ref="AJ1475:AJ1476"/>
    <mergeCell ref="AK1475:AK1476"/>
    <mergeCell ref="AL1475:AL1476"/>
    <mergeCell ref="B1477:B1478"/>
    <mergeCell ref="C1477:C1478"/>
    <mergeCell ref="AJ1477:AJ1478"/>
    <mergeCell ref="AK1477:AK1478"/>
    <mergeCell ref="AL1477:AL1478"/>
    <mergeCell ref="B1479:B1480"/>
    <mergeCell ref="C1479:C1480"/>
    <mergeCell ref="AJ1479:AJ1480"/>
    <mergeCell ref="AK1479:AK1480"/>
    <mergeCell ref="AL1479:AL1480"/>
    <mergeCell ref="B1481:B1482"/>
    <mergeCell ref="C1481:C1482"/>
    <mergeCell ref="AJ1481:AJ1482"/>
    <mergeCell ref="AK1481:AK1482"/>
    <mergeCell ref="AL1481:AL1482"/>
    <mergeCell ref="B1483:B1484"/>
    <mergeCell ref="C1483:C1484"/>
    <mergeCell ref="AJ1483:AJ1484"/>
    <mergeCell ref="AK1483:AK1484"/>
    <mergeCell ref="AL1483:AL1484"/>
    <mergeCell ref="B1485:B1486"/>
    <mergeCell ref="C1485:C1486"/>
    <mergeCell ref="AJ1485:AJ1486"/>
    <mergeCell ref="AK1485:AK1486"/>
    <mergeCell ref="AL1485:AL1486"/>
    <mergeCell ref="B1487:B1488"/>
    <mergeCell ref="C1487:C1488"/>
    <mergeCell ref="AJ1487:AJ1488"/>
    <mergeCell ref="AK1487:AK1488"/>
    <mergeCell ref="AL1487:AL1488"/>
    <mergeCell ref="B1489:B1490"/>
    <mergeCell ref="C1489:C1490"/>
    <mergeCell ref="AJ1489:AJ1490"/>
    <mergeCell ref="AK1489:AK1490"/>
    <mergeCell ref="AL1489:AL1490"/>
    <mergeCell ref="B1491:B1492"/>
    <mergeCell ref="C1491:C1492"/>
    <mergeCell ref="AJ1491:AJ1492"/>
    <mergeCell ref="AK1491:AK1492"/>
    <mergeCell ref="AL1491:AL1492"/>
    <mergeCell ref="B1493:B1494"/>
    <mergeCell ref="C1493:C1494"/>
    <mergeCell ref="AJ1493:AJ1494"/>
    <mergeCell ref="AK1493:AK1494"/>
    <mergeCell ref="AL1493:AL1494"/>
    <mergeCell ref="B1495:B1496"/>
    <mergeCell ref="C1495:C1496"/>
    <mergeCell ref="AJ1495:AJ1496"/>
    <mergeCell ref="AK1495:AK1496"/>
    <mergeCell ref="AL1495:AL1496"/>
    <mergeCell ref="B1497:B1498"/>
    <mergeCell ref="C1497:C1498"/>
    <mergeCell ref="AJ1497:AJ1498"/>
    <mergeCell ref="AK1497:AK1498"/>
    <mergeCell ref="AL1497:AL1498"/>
    <mergeCell ref="B1499:B1500"/>
    <mergeCell ref="C1499:C1500"/>
    <mergeCell ref="AJ1499:AJ1500"/>
    <mergeCell ref="AK1499:AK1500"/>
    <mergeCell ref="AL1499:AL1500"/>
    <mergeCell ref="B1501:B1502"/>
    <mergeCell ref="C1501:C1502"/>
    <mergeCell ref="AJ1501:AJ1502"/>
    <mergeCell ref="AK1501:AK1502"/>
    <mergeCell ref="AL1501:AL1502"/>
    <mergeCell ref="B1503:B1504"/>
    <mergeCell ref="C1503:C1504"/>
    <mergeCell ref="AJ1503:AJ1504"/>
    <mergeCell ref="AK1503:AK1504"/>
    <mergeCell ref="AL1503:AL1504"/>
    <mergeCell ref="B1505:B1506"/>
    <mergeCell ref="C1505:C1506"/>
    <mergeCell ref="AJ1505:AJ1506"/>
    <mergeCell ref="AK1505:AK1506"/>
    <mergeCell ref="AL1505:AL1506"/>
    <mergeCell ref="B1507:B1508"/>
    <mergeCell ref="C1507:C1508"/>
    <mergeCell ref="AJ1507:AJ1508"/>
    <mergeCell ref="AK1507:AK1508"/>
    <mergeCell ref="AL1507:AL1508"/>
    <mergeCell ref="B1509:B1510"/>
    <mergeCell ref="C1509:C1510"/>
    <mergeCell ref="AJ1509:AJ1510"/>
    <mergeCell ref="AK1509:AK1510"/>
    <mergeCell ref="AL1509:AL1510"/>
    <mergeCell ref="B1511:B1512"/>
    <mergeCell ref="C1511:C1512"/>
    <mergeCell ref="AJ1511:AJ1512"/>
    <mergeCell ref="AK1511:AK1512"/>
    <mergeCell ref="AL1511:AL1512"/>
    <mergeCell ref="B1513:B1514"/>
    <mergeCell ref="C1513:C1514"/>
    <mergeCell ref="AJ1513:AJ1514"/>
    <mergeCell ref="AK1513:AK1514"/>
    <mergeCell ref="AL1513:AL1514"/>
    <mergeCell ref="B1515:B1516"/>
    <mergeCell ref="C1515:C1516"/>
    <mergeCell ref="AJ1515:AJ1516"/>
    <mergeCell ref="AK1515:AK1516"/>
    <mergeCell ref="AL1515:AL1516"/>
    <mergeCell ref="B1517:B1518"/>
    <mergeCell ref="C1517:C1518"/>
    <mergeCell ref="AJ1517:AJ1518"/>
    <mergeCell ref="AK1517:AK1518"/>
    <mergeCell ref="AL1517:AL1518"/>
    <mergeCell ref="B1519:B1520"/>
    <mergeCell ref="C1519:C1520"/>
    <mergeCell ref="AJ1519:AJ1520"/>
    <mergeCell ref="AK1519:AK1520"/>
    <mergeCell ref="AL1519:AL1520"/>
    <mergeCell ref="B1521:B1522"/>
    <mergeCell ref="C1521:C1522"/>
    <mergeCell ref="AJ1521:AJ1522"/>
    <mergeCell ref="AK1521:AK1522"/>
    <mergeCell ref="AL1521:AL1522"/>
    <mergeCell ref="B1523:B1524"/>
    <mergeCell ref="C1523:C1524"/>
    <mergeCell ref="AJ1523:AJ1524"/>
    <mergeCell ref="AK1523:AK1524"/>
    <mergeCell ref="AL1523:AL1524"/>
    <mergeCell ref="B1525:B1526"/>
    <mergeCell ref="C1525:C1526"/>
    <mergeCell ref="AJ1525:AJ1526"/>
    <mergeCell ref="AK1525:AK1526"/>
    <mergeCell ref="AL1525:AL1526"/>
    <mergeCell ref="B1527:B1528"/>
    <mergeCell ref="C1527:C1528"/>
    <mergeCell ref="AJ1527:AJ1528"/>
    <mergeCell ref="AK1527:AK1528"/>
    <mergeCell ref="AL1527:AL1528"/>
    <mergeCell ref="B1529:B1530"/>
    <mergeCell ref="C1529:C1530"/>
    <mergeCell ref="AJ1529:AJ1530"/>
    <mergeCell ref="AK1529:AK1530"/>
    <mergeCell ref="AL1529:AL1530"/>
    <mergeCell ref="B1531:B1532"/>
    <mergeCell ref="C1531:C1532"/>
    <mergeCell ref="AJ1531:AJ1532"/>
    <mergeCell ref="AK1531:AK1532"/>
    <mergeCell ref="AL1531:AL1532"/>
    <mergeCell ref="B1533:B1534"/>
    <mergeCell ref="C1533:C1534"/>
    <mergeCell ref="AJ1533:AJ1534"/>
    <mergeCell ref="AK1533:AK1534"/>
    <mergeCell ref="AL1533:AL1534"/>
    <mergeCell ref="B1535:B1536"/>
    <mergeCell ref="C1535:C1536"/>
    <mergeCell ref="AJ1535:AJ1536"/>
    <mergeCell ref="AK1535:AK1536"/>
    <mergeCell ref="AL1535:AL1536"/>
    <mergeCell ref="B1537:B1538"/>
    <mergeCell ref="C1537:C1538"/>
    <mergeCell ref="AJ1537:AJ1538"/>
    <mergeCell ref="AK1537:AK1538"/>
    <mergeCell ref="AL1537:AL1538"/>
    <mergeCell ref="B1539:B1540"/>
    <mergeCell ref="C1539:C1540"/>
    <mergeCell ref="AJ1539:AJ1540"/>
    <mergeCell ref="AK1539:AK1540"/>
    <mergeCell ref="AL1539:AL1540"/>
    <mergeCell ref="B1541:B1542"/>
    <mergeCell ref="C1541:C1542"/>
    <mergeCell ref="AJ1541:AJ1542"/>
    <mergeCell ref="AK1541:AK1542"/>
    <mergeCell ref="AL1541:AL1542"/>
    <mergeCell ref="B1543:B1544"/>
    <mergeCell ref="C1543:C1544"/>
    <mergeCell ref="AJ1543:AJ1544"/>
    <mergeCell ref="AK1543:AK1544"/>
    <mergeCell ref="AL1543:AL1544"/>
    <mergeCell ref="B1545:B1546"/>
    <mergeCell ref="C1545:C1546"/>
    <mergeCell ref="AJ1545:AJ1546"/>
    <mergeCell ref="AK1545:AK1546"/>
    <mergeCell ref="AL1545:AL1546"/>
    <mergeCell ref="B1547:B1548"/>
    <mergeCell ref="C1547:C1548"/>
    <mergeCell ref="AJ1547:AJ1548"/>
    <mergeCell ref="AK1547:AK1548"/>
    <mergeCell ref="AL1547:AL1548"/>
    <mergeCell ref="B1549:B1550"/>
    <mergeCell ref="C1549:C1550"/>
    <mergeCell ref="AJ1549:AJ1550"/>
    <mergeCell ref="AK1549:AK1550"/>
    <mergeCell ref="AL1549:AL1550"/>
    <mergeCell ref="B1551:B1552"/>
    <mergeCell ref="C1551:C1552"/>
    <mergeCell ref="AJ1551:AJ1552"/>
    <mergeCell ref="AK1551:AK1552"/>
    <mergeCell ref="AL1551:AL1552"/>
    <mergeCell ref="B1553:B1554"/>
    <mergeCell ref="C1553:C1554"/>
    <mergeCell ref="AJ1553:AJ1554"/>
    <mergeCell ref="AK1553:AK1554"/>
    <mergeCell ref="AL1553:AL1554"/>
    <mergeCell ref="B1555:B1556"/>
    <mergeCell ref="C1555:C1556"/>
    <mergeCell ref="AJ1555:AJ1556"/>
    <mergeCell ref="AK1555:AK1556"/>
    <mergeCell ref="AL1555:AL1556"/>
    <mergeCell ref="B1557:B1558"/>
    <mergeCell ref="C1557:C1558"/>
    <mergeCell ref="AJ1557:AJ1558"/>
    <mergeCell ref="AK1557:AK1558"/>
    <mergeCell ref="AL1557:AL1558"/>
    <mergeCell ref="B1559:B1560"/>
    <mergeCell ref="C1559:C1560"/>
    <mergeCell ref="AJ1559:AJ1560"/>
    <mergeCell ref="AK1559:AK1560"/>
    <mergeCell ref="AL1559:AL1560"/>
    <mergeCell ref="B1561:B1562"/>
    <mergeCell ref="C1561:C1562"/>
    <mergeCell ref="AJ1561:AJ1562"/>
    <mergeCell ref="AK1561:AK1562"/>
    <mergeCell ref="AL1561:AL1562"/>
    <mergeCell ref="B1563:B1564"/>
    <mergeCell ref="C1563:C1564"/>
    <mergeCell ref="AJ1563:AJ1564"/>
    <mergeCell ref="AK1563:AK1564"/>
    <mergeCell ref="AL1563:AL1564"/>
    <mergeCell ref="B1565:B1566"/>
    <mergeCell ref="C1565:C1566"/>
    <mergeCell ref="AJ1565:AJ1566"/>
    <mergeCell ref="AK1565:AK1566"/>
    <mergeCell ref="AL1565:AL1566"/>
    <mergeCell ref="B1567:B1568"/>
    <mergeCell ref="C1567:C1568"/>
    <mergeCell ref="AJ1567:AJ1568"/>
    <mergeCell ref="AK1567:AK1568"/>
    <mergeCell ref="AL1567:AL1568"/>
    <mergeCell ref="B1569:B1570"/>
    <mergeCell ref="C1569:C1570"/>
    <mergeCell ref="AJ1569:AJ1570"/>
    <mergeCell ref="AK1569:AK1570"/>
    <mergeCell ref="AL1569:AL1570"/>
    <mergeCell ref="B1571:B1572"/>
    <mergeCell ref="C1571:C1572"/>
    <mergeCell ref="AJ1571:AJ1572"/>
    <mergeCell ref="AK1571:AK1572"/>
    <mergeCell ref="AL1571:AL1572"/>
    <mergeCell ref="B1573:B1574"/>
    <mergeCell ref="C1573:C1574"/>
    <mergeCell ref="AJ1573:AJ1574"/>
    <mergeCell ref="AK1573:AK1574"/>
    <mergeCell ref="AL1573:AL1574"/>
    <mergeCell ref="A1575:A1756"/>
    <mergeCell ref="B1575:B1576"/>
    <mergeCell ref="C1575:C1576"/>
    <mergeCell ref="AJ1575:AJ1576"/>
    <mergeCell ref="AK1575:AK1576"/>
    <mergeCell ref="AL1575:AL1576"/>
    <mergeCell ref="B1577:B1578"/>
    <mergeCell ref="C1577:C1578"/>
    <mergeCell ref="AJ1577:AJ1578"/>
    <mergeCell ref="AK1577:AK1578"/>
    <mergeCell ref="AL1577:AL1578"/>
    <mergeCell ref="B1579:B1580"/>
    <mergeCell ref="C1579:C1580"/>
    <mergeCell ref="AJ1579:AJ1580"/>
    <mergeCell ref="AK1579:AK1580"/>
    <mergeCell ref="AL1579:AL1580"/>
    <mergeCell ref="B1581:B1582"/>
    <mergeCell ref="C1581:C1582"/>
    <mergeCell ref="AJ1581:AJ1582"/>
    <mergeCell ref="AK1581:AK1582"/>
    <mergeCell ref="AL1581:AL1582"/>
    <mergeCell ref="B1583:B1584"/>
    <mergeCell ref="C1583:C1584"/>
    <mergeCell ref="AJ1583:AJ1584"/>
    <mergeCell ref="AK1583:AK1584"/>
    <mergeCell ref="AL1583:AL1584"/>
    <mergeCell ref="B1585:B1586"/>
    <mergeCell ref="C1585:C1586"/>
    <mergeCell ref="AJ1585:AJ1586"/>
    <mergeCell ref="AK1585:AK1586"/>
    <mergeCell ref="AL1585:AL1586"/>
    <mergeCell ref="B1587:B1588"/>
    <mergeCell ref="C1587:C1588"/>
    <mergeCell ref="AJ1587:AJ1588"/>
    <mergeCell ref="AK1587:AK1588"/>
    <mergeCell ref="AL1587:AL1588"/>
    <mergeCell ref="B1589:B1590"/>
    <mergeCell ref="C1589:C1590"/>
    <mergeCell ref="AJ1589:AJ1590"/>
    <mergeCell ref="AK1589:AK1590"/>
    <mergeCell ref="AL1589:AL1590"/>
    <mergeCell ref="B1591:B1592"/>
    <mergeCell ref="C1591:C1592"/>
    <mergeCell ref="AJ1591:AJ1592"/>
    <mergeCell ref="AK1591:AK1592"/>
    <mergeCell ref="AL1591:AL1592"/>
    <mergeCell ref="B1593:B1594"/>
    <mergeCell ref="C1593:C1594"/>
    <mergeCell ref="AJ1593:AJ1594"/>
    <mergeCell ref="AK1593:AK1594"/>
    <mergeCell ref="AL1593:AL1594"/>
    <mergeCell ref="B1595:B1596"/>
    <mergeCell ref="C1595:C1596"/>
    <mergeCell ref="AJ1595:AJ1596"/>
    <mergeCell ref="AK1595:AK1596"/>
    <mergeCell ref="AL1595:AL1596"/>
    <mergeCell ref="B1597:B1598"/>
    <mergeCell ref="C1597:C1598"/>
    <mergeCell ref="AJ1597:AJ1598"/>
    <mergeCell ref="AK1597:AK1598"/>
    <mergeCell ref="AL1597:AL1598"/>
    <mergeCell ref="B1599:B1600"/>
    <mergeCell ref="C1599:C1600"/>
    <mergeCell ref="AJ1599:AJ1600"/>
    <mergeCell ref="AK1599:AK1600"/>
    <mergeCell ref="AL1599:AL1600"/>
    <mergeCell ref="B1601:B1602"/>
    <mergeCell ref="C1601:C1602"/>
    <mergeCell ref="AJ1601:AJ1602"/>
    <mergeCell ref="AK1601:AK1602"/>
    <mergeCell ref="AL1601:AL1602"/>
    <mergeCell ref="B1603:B1604"/>
    <mergeCell ref="C1603:C1604"/>
    <mergeCell ref="AJ1603:AJ1604"/>
    <mergeCell ref="AK1603:AK1604"/>
    <mergeCell ref="AL1603:AL1604"/>
    <mergeCell ref="B1605:B1606"/>
    <mergeCell ref="C1605:C1606"/>
    <mergeCell ref="AJ1605:AJ1606"/>
    <mergeCell ref="AK1605:AK1606"/>
    <mergeCell ref="AL1605:AL1606"/>
    <mergeCell ref="B1607:B1608"/>
    <mergeCell ref="C1607:C1608"/>
    <mergeCell ref="AJ1607:AJ1608"/>
    <mergeCell ref="AK1607:AK1608"/>
    <mergeCell ref="AL1607:AL1608"/>
    <mergeCell ref="B1609:B1610"/>
    <mergeCell ref="C1609:C1610"/>
    <mergeCell ref="AJ1609:AJ1610"/>
    <mergeCell ref="AK1609:AK1610"/>
    <mergeCell ref="AL1609:AL1610"/>
    <mergeCell ref="B1611:B1612"/>
    <mergeCell ref="C1611:C1612"/>
    <mergeCell ref="AJ1611:AJ1612"/>
    <mergeCell ref="AK1611:AK1612"/>
    <mergeCell ref="AL1611:AL1612"/>
    <mergeCell ref="B1613:B1614"/>
    <mergeCell ref="C1613:C1614"/>
    <mergeCell ref="AJ1613:AJ1614"/>
    <mergeCell ref="AK1613:AK1614"/>
    <mergeCell ref="AL1613:AL1614"/>
    <mergeCell ref="B1615:B1616"/>
    <mergeCell ref="C1615:C1616"/>
    <mergeCell ref="AJ1615:AJ1616"/>
    <mergeCell ref="AK1615:AK1616"/>
    <mergeCell ref="AL1615:AL1616"/>
    <mergeCell ref="B1617:B1618"/>
    <mergeCell ref="C1617:C1618"/>
    <mergeCell ref="AJ1617:AJ1618"/>
    <mergeCell ref="AK1617:AK1618"/>
    <mergeCell ref="AL1617:AL1618"/>
    <mergeCell ref="B1619:B1620"/>
    <mergeCell ref="C1619:C1620"/>
    <mergeCell ref="AJ1619:AJ1620"/>
    <mergeCell ref="AK1619:AK1620"/>
    <mergeCell ref="AL1619:AL1620"/>
    <mergeCell ref="B1621:B1622"/>
    <mergeCell ref="C1621:C1622"/>
    <mergeCell ref="AJ1621:AJ1622"/>
    <mergeCell ref="AK1621:AK1622"/>
    <mergeCell ref="AL1621:AL1622"/>
    <mergeCell ref="B1623:B1624"/>
    <mergeCell ref="C1623:C1624"/>
    <mergeCell ref="AJ1623:AJ1624"/>
    <mergeCell ref="AK1623:AK1624"/>
    <mergeCell ref="AL1623:AL1624"/>
    <mergeCell ref="B1625:B1626"/>
    <mergeCell ref="C1625:C1626"/>
    <mergeCell ref="AJ1625:AJ1626"/>
    <mergeCell ref="AK1625:AK1626"/>
    <mergeCell ref="AL1625:AL1626"/>
    <mergeCell ref="B1627:B1628"/>
    <mergeCell ref="C1627:C1628"/>
    <mergeCell ref="AJ1627:AJ1628"/>
    <mergeCell ref="AK1627:AK1628"/>
    <mergeCell ref="AL1627:AL1628"/>
    <mergeCell ref="B1629:B1630"/>
    <mergeCell ref="C1629:C1630"/>
    <mergeCell ref="AJ1629:AJ1630"/>
    <mergeCell ref="AK1629:AK1630"/>
    <mergeCell ref="AL1629:AL1630"/>
    <mergeCell ref="B1631:B1632"/>
    <mergeCell ref="C1631:C1632"/>
    <mergeCell ref="AJ1631:AJ1632"/>
    <mergeCell ref="AK1631:AK1632"/>
    <mergeCell ref="AL1631:AL1632"/>
    <mergeCell ref="B1633:B1634"/>
    <mergeCell ref="C1633:C1634"/>
    <mergeCell ref="AJ1633:AJ1634"/>
    <mergeCell ref="AK1633:AK1634"/>
    <mergeCell ref="AL1633:AL1634"/>
    <mergeCell ref="B1635:B1636"/>
    <mergeCell ref="C1635:C1636"/>
    <mergeCell ref="AJ1635:AJ1636"/>
    <mergeCell ref="AK1635:AK1636"/>
    <mergeCell ref="AL1635:AL1636"/>
    <mergeCell ref="B1637:B1638"/>
    <mergeCell ref="C1637:C1638"/>
    <mergeCell ref="AJ1637:AJ1638"/>
    <mergeCell ref="AK1637:AK1638"/>
    <mergeCell ref="AL1637:AL1638"/>
    <mergeCell ref="B1639:B1640"/>
    <mergeCell ref="C1639:C1640"/>
    <mergeCell ref="AJ1639:AJ1640"/>
    <mergeCell ref="AK1639:AK1640"/>
    <mergeCell ref="AL1639:AL1640"/>
    <mergeCell ref="B1641:B1642"/>
    <mergeCell ref="C1641:C1642"/>
    <mergeCell ref="AJ1641:AJ1642"/>
    <mergeCell ref="AK1641:AK1642"/>
    <mergeCell ref="AL1641:AL1642"/>
    <mergeCell ref="B1643:B1644"/>
    <mergeCell ref="C1643:C1644"/>
    <mergeCell ref="AJ1643:AJ1644"/>
    <mergeCell ref="AK1643:AK1644"/>
    <mergeCell ref="AL1643:AL1644"/>
    <mergeCell ref="B1645:B1646"/>
    <mergeCell ref="C1645:C1646"/>
    <mergeCell ref="AJ1645:AJ1646"/>
    <mergeCell ref="AK1645:AK1646"/>
    <mergeCell ref="AL1645:AL1646"/>
    <mergeCell ref="B1647:B1648"/>
    <mergeCell ref="C1647:C1648"/>
    <mergeCell ref="AJ1647:AJ1648"/>
    <mergeCell ref="AK1647:AK1648"/>
    <mergeCell ref="AL1647:AL1648"/>
    <mergeCell ref="B1649:B1650"/>
    <mergeCell ref="C1649:C1650"/>
    <mergeCell ref="AJ1649:AJ1650"/>
    <mergeCell ref="AK1649:AK1650"/>
    <mergeCell ref="AL1649:AL1650"/>
    <mergeCell ref="B1651:B1652"/>
    <mergeCell ref="C1651:C1652"/>
    <mergeCell ref="AJ1651:AJ1652"/>
    <mergeCell ref="AK1651:AK1652"/>
    <mergeCell ref="AL1651:AL1652"/>
    <mergeCell ref="B1653:B1654"/>
    <mergeCell ref="C1653:C1654"/>
    <mergeCell ref="AJ1653:AJ1654"/>
    <mergeCell ref="AK1653:AK1654"/>
    <mergeCell ref="AL1653:AL1654"/>
    <mergeCell ref="B1655:B1656"/>
    <mergeCell ref="C1655:C1656"/>
    <mergeCell ref="AJ1655:AJ1656"/>
    <mergeCell ref="AK1655:AK1656"/>
    <mergeCell ref="AL1655:AL1656"/>
    <mergeCell ref="B1657:B1658"/>
    <mergeCell ref="C1657:C1658"/>
    <mergeCell ref="AJ1657:AJ1658"/>
    <mergeCell ref="AK1657:AK1658"/>
    <mergeCell ref="AL1657:AL1658"/>
    <mergeCell ref="B1659:B1660"/>
    <mergeCell ref="C1659:C1660"/>
    <mergeCell ref="AJ1659:AJ1660"/>
    <mergeCell ref="AK1659:AK1660"/>
    <mergeCell ref="AL1659:AL1660"/>
    <mergeCell ref="B1661:B1662"/>
    <mergeCell ref="C1661:C1662"/>
    <mergeCell ref="AJ1661:AJ1662"/>
    <mergeCell ref="AK1661:AK1662"/>
    <mergeCell ref="AL1661:AL1662"/>
    <mergeCell ref="B1663:B1664"/>
    <mergeCell ref="C1663:C1664"/>
    <mergeCell ref="AJ1663:AJ1664"/>
    <mergeCell ref="AK1663:AK1664"/>
    <mergeCell ref="AL1663:AL1664"/>
    <mergeCell ref="B1665:B1666"/>
    <mergeCell ref="C1665:C1666"/>
    <mergeCell ref="AJ1665:AJ1666"/>
    <mergeCell ref="AK1665:AK1666"/>
    <mergeCell ref="AL1665:AL1666"/>
    <mergeCell ref="B1667:B1668"/>
    <mergeCell ref="C1667:C1668"/>
    <mergeCell ref="AJ1667:AJ1668"/>
    <mergeCell ref="AK1667:AK1668"/>
    <mergeCell ref="AL1667:AL1668"/>
    <mergeCell ref="B1669:B1670"/>
    <mergeCell ref="C1669:C1670"/>
    <mergeCell ref="AJ1669:AJ1670"/>
    <mergeCell ref="AK1669:AK1670"/>
    <mergeCell ref="AL1669:AL1670"/>
    <mergeCell ref="B1671:B1672"/>
    <mergeCell ref="C1671:C1672"/>
    <mergeCell ref="AJ1671:AJ1672"/>
    <mergeCell ref="AK1671:AK1672"/>
    <mergeCell ref="AL1671:AL1672"/>
    <mergeCell ref="B1673:B1674"/>
    <mergeCell ref="C1673:C1674"/>
    <mergeCell ref="AJ1673:AJ1674"/>
    <mergeCell ref="AK1673:AK1674"/>
    <mergeCell ref="AL1673:AL1674"/>
    <mergeCell ref="B1675:B1676"/>
    <mergeCell ref="C1675:C1676"/>
    <mergeCell ref="AJ1675:AJ1676"/>
    <mergeCell ref="AK1675:AK1676"/>
    <mergeCell ref="AL1675:AL1676"/>
    <mergeCell ref="B1677:B1678"/>
    <mergeCell ref="C1677:C1678"/>
    <mergeCell ref="AJ1677:AJ1678"/>
    <mergeCell ref="AK1677:AK1678"/>
    <mergeCell ref="AL1677:AL1678"/>
    <mergeCell ref="B1679:B1680"/>
    <mergeCell ref="C1679:C1680"/>
    <mergeCell ref="AJ1679:AJ1680"/>
    <mergeCell ref="AK1679:AK1680"/>
    <mergeCell ref="AL1679:AL1680"/>
    <mergeCell ref="B1681:B1682"/>
    <mergeCell ref="C1681:C1682"/>
    <mergeCell ref="AJ1681:AJ1682"/>
    <mergeCell ref="AK1681:AK1682"/>
    <mergeCell ref="AL1681:AL1682"/>
    <mergeCell ref="B1683:B1684"/>
    <mergeCell ref="C1683:C1684"/>
    <mergeCell ref="AJ1683:AJ1684"/>
    <mergeCell ref="AK1683:AK1684"/>
    <mergeCell ref="AL1683:AL1684"/>
    <mergeCell ref="B1685:B1686"/>
    <mergeCell ref="C1685:C1686"/>
    <mergeCell ref="AJ1685:AJ1686"/>
    <mergeCell ref="AK1685:AK1686"/>
    <mergeCell ref="AL1685:AL1686"/>
    <mergeCell ref="B1687:B1688"/>
    <mergeCell ref="C1687:C1688"/>
    <mergeCell ref="AJ1687:AJ1688"/>
    <mergeCell ref="AK1687:AK1688"/>
    <mergeCell ref="AL1687:AL1688"/>
    <mergeCell ref="B1689:B1690"/>
    <mergeCell ref="C1689:C1690"/>
    <mergeCell ref="AJ1689:AJ1690"/>
    <mergeCell ref="AK1689:AK1690"/>
    <mergeCell ref="AL1689:AL1690"/>
    <mergeCell ref="B1691:B1692"/>
    <mergeCell ref="C1691:C1692"/>
    <mergeCell ref="AJ1691:AJ1692"/>
    <mergeCell ref="AK1691:AK1692"/>
    <mergeCell ref="AL1691:AL1692"/>
    <mergeCell ref="B1693:B1694"/>
    <mergeCell ref="C1693:C1694"/>
    <mergeCell ref="AJ1693:AJ1694"/>
    <mergeCell ref="AK1693:AK1694"/>
    <mergeCell ref="AL1693:AL1694"/>
    <mergeCell ref="B1695:B1696"/>
    <mergeCell ref="C1695:C1696"/>
    <mergeCell ref="AJ1695:AJ1696"/>
    <mergeCell ref="AK1695:AK1696"/>
    <mergeCell ref="AL1695:AL1696"/>
    <mergeCell ref="B1697:B1698"/>
    <mergeCell ref="C1697:C1698"/>
    <mergeCell ref="AJ1697:AJ1698"/>
    <mergeCell ref="AK1697:AK1698"/>
    <mergeCell ref="AL1697:AL1698"/>
    <mergeCell ref="B1699:B1700"/>
    <mergeCell ref="C1699:C1700"/>
    <mergeCell ref="AJ1699:AJ1700"/>
    <mergeCell ref="AK1699:AK1700"/>
    <mergeCell ref="AL1699:AL1700"/>
    <mergeCell ref="B1701:B1702"/>
    <mergeCell ref="C1701:C1702"/>
    <mergeCell ref="AJ1701:AJ1702"/>
    <mergeCell ref="AK1701:AK1702"/>
    <mergeCell ref="AL1701:AL1702"/>
    <mergeCell ref="B1703:B1704"/>
    <mergeCell ref="C1703:C1704"/>
    <mergeCell ref="AJ1703:AJ1704"/>
    <mergeCell ref="AK1703:AK1704"/>
    <mergeCell ref="AL1703:AL1704"/>
    <mergeCell ref="B1705:B1706"/>
    <mergeCell ref="C1705:C1706"/>
    <mergeCell ref="AJ1705:AJ1706"/>
    <mergeCell ref="AK1705:AK1706"/>
    <mergeCell ref="AL1705:AL1706"/>
    <mergeCell ref="B1707:B1708"/>
    <mergeCell ref="C1707:C1708"/>
    <mergeCell ref="AJ1707:AJ1708"/>
    <mergeCell ref="AK1707:AK1708"/>
    <mergeCell ref="AL1707:AL1708"/>
    <mergeCell ref="B1709:B1710"/>
    <mergeCell ref="C1709:C1710"/>
    <mergeCell ref="AJ1709:AJ1710"/>
    <mergeCell ref="AK1709:AK1710"/>
    <mergeCell ref="AL1709:AL1710"/>
    <mergeCell ref="B1711:B1712"/>
    <mergeCell ref="C1711:C1712"/>
    <mergeCell ref="AJ1711:AJ1712"/>
    <mergeCell ref="AK1711:AK1712"/>
    <mergeCell ref="AL1711:AL1712"/>
    <mergeCell ref="B1713:B1714"/>
    <mergeCell ref="C1713:C1714"/>
    <mergeCell ref="AJ1713:AJ1714"/>
    <mergeCell ref="AK1713:AK1714"/>
    <mergeCell ref="AL1713:AL1714"/>
    <mergeCell ref="B1715:B1716"/>
    <mergeCell ref="C1715:C1716"/>
    <mergeCell ref="AJ1715:AJ1716"/>
    <mergeCell ref="AK1715:AK1716"/>
    <mergeCell ref="AL1715:AL1716"/>
    <mergeCell ref="B1717:B1718"/>
    <mergeCell ref="C1717:C1718"/>
    <mergeCell ref="AJ1717:AJ1718"/>
    <mergeCell ref="AK1717:AK1718"/>
    <mergeCell ref="AL1717:AL1718"/>
    <mergeCell ref="B1719:B1720"/>
    <mergeCell ref="C1719:C1720"/>
    <mergeCell ref="AJ1719:AJ1720"/>
    <mergeCell ref="AK1719:AK1720"/>
    <mergeCell ref="AL1719:AL1720"/>
    <mergeCell ref="B1721:B1722"/>
    <mergeCell ref="C1721:C1722"/>
    <mergeCell ref="AJ1721:AJ1722"/>
    <mergeCell ref="AK1721:AK1722"/>
    <mergeCell ref="AL1721:AL1722"/>
    <mergeCell ref="B1723:B1724"/>
    <mergeCell ref="C1723:C1724"/>
    <mergeCell ref="AJ1723:AJ1724"/>
    <mergeCell ref="AK1723:AK1724"/>
    <mergeCell ref="AL1723:AL1724"/>
    <mergeCell ref="B1725:B1726"/>
    <mergeCell ref="C1725:C1726"/>
    <mergeCell ref="AJ1725:AJ1726"/>
    <mergeCell ref="AK1725:AK1726"/>
    <mergeCell ref="AL1725:AL1726"/>
    <mergeCell ref="B1727:B1728"/>
    <mergeCell ref="C1727:C1728"/>
    <mergeCell ref="AJ1727:AJ1728"/>
    <mergeCell ref="AK1727:AK1728"/>
    <mergeCell ref="AL1727:AL1728"/>
    <mergeCell ref="B1729:B1730"/>
    <mergeCell ref="C1729:C1730"/>
    <mergeCell ref="AJ1729:AJ1730"/>
    <mergeCell ref="AK1729:AK1730"/>
    <mergeCell ref="AL1729:AL1730"/>
    <mergeCell ref="B1731:B1732"/>
    <mergeCell ref="C1731:C1732"/>
    <mergeCell ref="AJ1731:AJ1732"/>
    <mergeCell ref="AK1731:AK1732"/>
    <mergeCell ref="AL1731:AL1732"/>
    <mergeCell ref="B1733:B1734"/>
    <mergeCell ref="C1733:C1734"/>
    <mergeCell ref="AJ1733:AJ1734"/>
    <mergeCell ref="AK1733:AK1734"/>
    <mergeCell ref="AL1733:AL1734"/>
    <mergeCell ref="B1735:B1736"/>
    <mergeCell ref="C1735:C1736"/>
    <mergeCell ref="AJ1735:AJ1736"/>
    <mergeCell ref="AK1735:AK1736"/>
    <mergeCell ref="AL1735:AL1736"/>
    <mergeCell ref="B1737:B1738"/>
    <mergeCell ref="C1737:C1738"/>
    <mergeCell ref="AJ1737:AJ1738"/>
    <mergeCell ref="AK1737:AK1738"/>
    <mergeCell ref="AL1737:AL1738"/>
    <mergeCell ref="B1739:B1740"/>
    <mergeCell ref="C1739:C1740"/>
    <mergeCell ref="AJ1739:AJ1740"/>
    <mergeCell ref="AK1739:AK1740"/>
    <mergeCell ref="AL1739:AL1740"/>
    <mergeCell ref="B1741:B1742"/>
    <mergeCell ref="C1741:C1742"/>
    <mergeCell ref="AJ1741:AJ1742"/>
    <mergeCell ref="AK1741:AK1742"/>
    <mergeCell ref="AL1741:AL1742"/>
    <mergeCell ref="B1743:B1744"/>
    <mergeCell ref="C1743:C1744"/>
    <mergeCell ref="AJ1743:AJ1744"/>
    <mergeCell ref="AK1743:AK1744"/>
    <mergeCell ref="AL1743:AL1744"/>
    <mergeCell ref="B1745:B1746"/>
    <mergeCell ref="C1745:C1746"/>
    <mergeCell ref="AJ1745:AJ1746"/>
    <mergeCell ref="AK1745:AK1746"/>
    <mergeCell ref="AL1745:AL1746"/>
    <mergeCell ref="B1747:B1748"/>
    <mergeCell ref="C1747:C1748"/>
    <mergeCell ref="AJ1747:AJ1748"/>
    <mergeCell ref="AK1747:AK1748"/>
    <mergeCell ref="AL1747:AL1748"/>
    <mergeCell ref="B1749:B1750"/>
    <mergeCell ref="C1749:C1750"/>
    <mergeCell ref="AJ1749:AJ1750"/>
    <mergeCell ref="AK1749:AK1750"/>
    <mergeCell ref="AL1749:AL1750"/>
    <mergeCell ref="B1751:B1752"/>
    <mergeCell ref="C1751:C1752"/>
    <mergeCell ref="AJ1751:AJ1752"/>
    <mergeCell ref="AK1751:AK1752"/>
    <mergeCell ref="AL1751:AL1752"/>
    <mergeCell ref="B1753:B1754"/>
    <mergeCell ref="C1753:C1754"/>
    <mergeCell ref="AJ1753:AJ1754"/>
    <mergeCell ref="AK1753:AK1754"/>
    <mergeCell ref="AL1753:AL1754"/>
    <mergeCell ref="B1755:B1756"/>
    <mergeCell ref="C1755:C1756"/>
    <mergeCell ref="AJ1755:AJ1756"/>
    <mergeCell ref="AK1755:AK1756"/>
    <mergeCell ref="AL1755:AL1756"/>
    <mergeCell ref="A1757:M1758"/>
    <mergeCell ref="N1757:AL1758"/>
  </mergeCells>
  <printOptions horizontalCentered="1"/>
  <pageMargins left="0.31496062992125984" right="0.2362204724409449" top="0.3937007874015748" bottom="0.07874015748031496" header="0.31496062992125984" footer="0.15748031496062992"/>
  <pageSetup paperSize="9" orientation="landscape" horizontalDpi="4294967295" verticalDpi="4294967295" scale="54" fitToWidth="1" fitToHeight="2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4"/>
  <sheetViews>
    <sheetView workbookViewId="0" zoomScale="100" zoomScaleNormal="100">
      <selection activeCell="H15" sqref="H15"/>
    </sheetView>
  </sheetViews>
  <sheetFormatPr defaultRowHeight="13" outlineLevelRow="0" outlineLevelCol="0" x14ac:dyDescent="0" defaultColWidth="8.83203125" customHeight="1"/>
  <cols>
    <col min="1" max="1" width="14.33203125" customWidth="1"/>
    <col min="2" max="2" width="10.33203125" customWidth="1"/>
    <col min="3" max="3" width="42.33203125" customWidth="1"/>
    <col min="4" max="4" width="23.5" customWidth="1"/>
  </cols>
  <sheetData>
    <row r="1" ht="16" customHeight="1" spans="1:19" x14ac:dyDescent="0.25">
      <c r="A1" s="49" t="s">
        <v>0</v>
      </c>
      <c r="B1" s="50"/>
      <c r="C1" s="51"/>
      <c r="D1" s="52" t="s">
        <v>1844</v>
      </c>
      <c r="E1" s="53"/>
      <c r="F1" s="53"/>
      <c r="G1" s="53"/>
      <c r="H1" s="54">
        <v>0</v>
      </c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</row>
    <row r="2" ht="16" customHeight="1" spans="1:19" x14ac:dyDescent="0.25">
      <c r="A2" s="55" t="s">
        <v>1845</v>
      </c>
      <c r="B2" s="56"/>
      <c r="C2" s="57" t="s">
        <v>1846</v>
      </c>
      <c r="D2" s="57"/>
      <c r="E2" s="58"/>
      <c r="F2" s="58"/>
      <c r="G2" s="58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</row>
    <row r="3" ht="14" customHeight="1" spans="1:4" x14ac:dyDescent="0.25">
      <c r="A3" s="60"/>
      <c r="B3" s="60"/>
      <c r="C3" s="60"/>
      <c r="D3" s="60"/>
    </row>
    <row r="4" ht="29" customHeight="1" spans="1:4" x14ac:dyDescent="0.25">
      <c r="A4" s="61" t="s">
        <v>1847</v>
      </c>
      <c r="B4" s="61" t="s">
        <v>1848</v>
      </c>
      <c r="C4" s="61" t="s">
        <v>1849</v>
      </c>
      <c r="D4" s="62" t="s">
        <v>1850</v>
      </c>
    </row>
    <row r="5" ht="18.75" customHeight="1" spans="1:4" x14ac:dyDescent="0.25">
      <c r="A5" s="63" t="s">
        <v>1851</v>
      </c>
      <c r="B5" s="64">
        <v>40265</v>
      </c>
      <c r="C5" s="65" t="s">
        <v>1852</v>
      </c>
      <c r="D5" s="66" t="s">
        <v>1853</v>
      </c>
    </row>
    <row r="6" ht="18.75" customHeight="1" spans="1:4" x14ac:dyDescent="0.25">
      <c r="A6" s="67" t="s">
        <v>1854</v>
      </c>
      <c r="B6" s="68">
        <v>40638</v>
      </c>
      <c r="C6" s="69" t="s">
        <v>1855</v>
      </c>
      <c r="D6" s="70" t="s">
        <v>1856</v>
      </c>
    </row>
    <row r="7" ht="18.75" customHeight="1" spans="1:4" x14ac:dyDescent="0.25">
      <c r="A7" s="71" t="s">
        <v>1857</v>
      </c>
      <c r="B7" s="72">
        <v>40738</v>
      </c>
      <c r="C7" s="73" t="s">
        <v>1858</v>
      </c>
      <c r="D7" s="73" t="s">
        <v>1856</v>
      </c>
    </row>
    <row r="8" ht="18.75" customHeight="1" spans="1:4" x14ac:dyDescent="0.25">
      <c r="A8" s="74" t="s">
        <v>1859</v>
      </c>
      <c r="B8" s="64">
        <v>41310</v>
      </c>
      <c r="C8" s="65" t="s">
        <v>1860</v>
      </c>
      <c r="D8" s="66" t="s">
        <v>1861</v>
      </c>
    </row>
    <row r="9" ht="18.75" customHeight="1" spans="1:4" x14ac:dyDescent="0.25">
      <c r="A9" s="67" t="s">
        <v>1862</v>
      </c>
      <c r="B9" s="68">
        <v>43169</v>
      </c>
      <c r="C9" s="69" t="s">
        <v>1863</v>
      </c>
      <c r="D9" s="70" t="s">
        <v>1864</v>
      </c>
    </row>
    <row r="10" ht="18.75" customHeight="1" spans="1:4" x14ac:dyDescent="0.25">
      <c r="A10" s="71" t="s">
        <v>1865</v>
      </c>
      <c r="B10" s="72">
        <v>45068</v>
      </c>
      <c r="C10" s="73" t="s">
        <v>1866</v>
      </c>
      <c r="D10" s="70" t="s">
        <v>1864</v>
      </c>
    </row>
    <row r="11" ht="18.75" customHeight="1" spans="1:4" x14ac:dyDescent="0.25">
      <c r="A11" s="63" t="s">
        <v>1867</v>
      </c>
      <c r="B11" s="64">
        <v>45506</v>
      </c>
      <c r="C11" s="65" t="s">
        <v>1868</v>
      </c>
      <c r="D11" s="70" t="s">
        <v>1864</v>
      </c>
    </row>
    <row r="12" ht="18.75" customHeight="1" spans="1:4" x14ac:dyDescent="0.25">
      <c r="A12" s="75"/>
      <c r="B12" s="73"/>
      <c r="C12" s="73"/>
      <c r="D12" s="76"/>
    </row>
    <row r="13" ht="18.75" customHeight="1" spans="1:4" x14ac:dyDescent="0.25">
      <c r="A13" s="77"/>
      <c r="B13" s="65"/>
      <c r="C13" s="65"/>
      <c r="D13" s="66"/>
    </row>
    <row r="14" ht="18.75" customHeight="1" spans="1:4" x14ac:dyDescent="0.25">
      <c r="A14" s="75"/>
      <c r="B14" s="73"/>
      <c r="C14" s="73"/>
      <c r="D14" s="76"/>
    </row>
    <row r="15" ht="18.75" customHeight="1" spans="1:4" x14ac:dyDescent="0.25">
      <c r="A15" s="78"/>
      <c r="B15" s="79"/>
      <c r="C15" s="79"/>
      <c r="D15" s="80"/>
    </row>
    <row r="16" ht="18.75" customHeight="1" spans="1:4" x14ac:dyDescent="0.25">
      <c r="A16" s="78"/>
      <c r="B16" s="79"/>
      <c r="C16" s="79"/>
      <c r="D16" s="80"/>
    </row>
    <row r="17" ht="18.75" customHeight="1" spans="1:4" x14ac:dyDescent="0.25">
      <c r="A17" s="78"/>
      <c r="B17" s="79"/>
      <c r="C17" s="79"/>
      <c r="D17" s="80"/>
    </row>
    <row r="18" ht="18.75" customHeight="1" spans="1:4" x14ac:dyDescent="0.25">
      <c r="A18" s="78"/>
      <c r="B18" s="79"/>
      <c r="C18" s="79"/>
      <c r="D18" s="80"/>
    </row>
    <row r="19" ht="18.75" customHeight="1" spans="1:4" x14ac:dyDescent="0.25">
      <c r="A19" s="78"/>
      <c r="B19" s="79"/>
      <c r="C19" s="79"/>
      <c r="D19" s="80"/>
    </row>
    <row r="25" spans="1:4" x14ac:dyDescent="0.25">
      <c r="A25" s="81" t="s">
        <v>1869</v>
      </c>
      <c r="B25" s="81"/>
      <c r="C25" s="7" t="s">
        <v>1870</v>
      </c>
      <c r="D25" s="7"/>
    </row>
    <row r="26" spans="1:4" x14ac:dyDescent="0.25">
      <c r="A26" s="2"/>
      <c r="B26" s="2"/>
      <c r="C26" s="2"/>
      <c r="D26" s="2"/>
    </row>
    <row r="27" spans="1:4" x14ac:dyDescent="0.25">
      <c r="A27" s="2"/>
      <c r="B27" s="2"/>
      <c r="C27" s="2"/>
      <c r="D27" s="2"/>
    </row>
    <row r="28" spans="1:4" x14ac:dyDescent="0.25">
      <c r="A28" s="81" t="s">
        <v>1871</v>
      </c>
      <c r="B28" s="7" t="s">
        <v>1872</v>
      </c>
      <c r="C28" s="7"/>
      <c r="D28" s="7"/>
    </row>
    <row r="29" spans="1:4" x14ac:dyDescent="0.25">
      <c r="A29" s="2"/>
      <c r="B29" s="2"/>
      <c r="C29" s="2"/>
      <c r="D29" s="2"/>
    </row>
    <row r="30" spans="1:4" x14ac:dyDescent="0.25">
      <c r="A30" s="2"/>
      <c r="B30" s="2"/>
      <c r="C30" s="2"/>
      <c r="D30" s="2"/>
    </row>
    <row r="31" spans="1:4" x14ac:dyDescent="0.25">
      <c r="A31" s="81" t="s">
        <v>1873</v>
      </c>
      <c r="B31" s="7"/>
      <c r="C31" s="7"/>
      <c r="D31" s="7"/>
    </row>
    <row r="32" spans="1:4" x14ac:dyDescent="0.25">
      <c r="A32" s="2"/>
      <c r="B32" s="2"/>
      <c r="C32" s="2"/>
      <c r="D32" s="2"/>
    </row>
    <row r="33" spans="1:4" x14ac:dyDescent="0.25">
      <c r="A33" s="2"/>
      <c r="B33" s="2"/>
      <c r="C33" s="2"/>
      <c r="D33" s="2"/>
    </row>
    <row r="34" spans="1:4" x14ac:dyDescent="0.25">
      <c r="A34" s="81" t="s">
        <v>1874</v>
      </c>
      <c r="B34" s="7"/>
      <c r="C34" s="7"/>
      <c r="D34" s="7"/>
    </row>
  </sheetData>
  <mergeCells count="3">
    <mergeCell ref="H1:S1"/>
    <mergeCell ref="C2:D2"/>
    <mergeCell ref="H2:S2"/>
  </mergeCells>
  <pageMargins left="0.7" right="0.18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AYLIK</vt:lpstr>
      <vt:lpstr>KAPAK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İlkay Erginoz</dc:creator>
  <cp:lastModifiedBy>Hüseyin Özgül</cp:lastModifiedBy>
  <cp:lastPrinted>2023-05-05T06:53:05Z</cp:lastPrinted>
  <dcterms:created xsi:type="dcterms:W3CDTF">1998-04-27T07:32:34Z</dcterms:created>
  <dcterms:modified xsi:type="dcterms:W3CDTF">2024-08-14T10:11:50Z</dcterms:modified>
</cp:coreProperties>
</file>